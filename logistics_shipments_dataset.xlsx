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BISHEK\Desktop\project\dashbord final\"/>
    </mc:Choice>
  </mc:AlternateContent>
  <xr:revisionPtr revIDLastSave="0" documentId="13_ncr:1_{9594CADF-AFD6-4D19-9AE6-0DE0FB8F674A}" xr6:coauthVersionLast="47" xr6:coauthVersionMax="47" xr10:uidLastSave="{00000000-0000-0000-0000-000000000000}"/>
  <bookViews>
    <workbookView xWindow="-108" yWindow="-108" windowWidth="23256" windowHeight="13896" firstSheet="2" activeTab="5" xr2:uid="{CC84F08C-CD10-4015-9941-344EF7F4221F}"/>
  </bookViews>
  <sheets>
    <sheet name="logistics_shipments_dataset (m)" sheetId="1" r:id="rId1"/>
    <sheet name="Dashboard" sheetId="8" r:id="rId2"/>
    <sheet name="average days taken to delivery" sheetId="6" r:id="rId3"/>
    <sheet name="count of og status" sheetId="7" r:id="rId4"/>
    <sheet name="Courrier comapany" sheetId="4" r:id="rId5"/>
    <sheet name="Location_wise_cost" sheetId="5" r:id="rId6"/>
  </sheets>
  <definedNames>
    <definedName name="Slicer_Carrier">#N/A</definedName>
  </definedNames>
  <calcPr calcId="191029"/>
  <pivotCaches>
    <pivotCache cacheId="1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alcChain>
</file>

<file path=xl/sharedStrings.xml><?xml version="1.0" encoding="utf-8"?>
<sst xmlns="http://schemas.openxmlformats.org/spreadsheetml/2006/main" count="10060" uniqueCount="2056">
  <si>
    <t>Shipment_ID</t>
  </si>
  <si>
    <t>Origin_Warehouse</t>
  </si>
  <si>
    <t>Destination</t>
  </si>
  <si>
    <t>Carrier</t>
  </si>
  <si>
    <t>Shipment_Date</t>
  </si>
  <si>
    <t>Delivery_Date</t>
  </si>
  <si>
    <t>Weight_kg</t>
  </si>
  <si>
    <t>Cost</t>
  </si>
  <si>
    <t>Status</t>
  </si>
  <si>
    <t>Distance_miles</t>
  </si>
  <si>
    <t>Transit_Days</t>
  </si>
  <si>
    <t>SH10000</t>
  </si>
  <si>
    <t>Warehouse_MIA</t>
  </si>
  <si>
    <t>San Francisco</t>
  </si>
  <si>
    <t>UPS</t>
  </si>
  <si>
    <t>Delivered</t>
  </si>
  <si>
    <t>SH10001</t>
  </si>
  <si>
    <t>Atlanta</t>
  </si>
  <si>
    <t>DHL</t>
  </si>
  <si>
    <t>SH10002</t>
  </si>
  <si>
    <t>Warehouse_LA</t>
  </si>
  <si>
    <t>Houston</t>
  </si>
  <si>
    <t>SH10003</t>
  </si>
  <si>
    <t>Warehouse_BOS</t>
  </si>
  <si>
    <t>Seattle</t>
  </si>
  <si>
    <t>OnTrac</t>
  </si>
  <si>
    <t>SH10004</t>
  </si>
  <si>
    <t>Warehouse_SF</t>
  </si>
  <si>
    <t>Dallas</t>
  </si>
  <si>
    <t>SH10005</t>
  </si>
  <si>
    <t>Warehouse_ATL</t>
  </si>
  <si>
    <t>New York</t>
  </si>
  <si>
    <t>FedEx</t>
  </si>
  <si>
    <t>SH10006</t>
  </si>
  <si>
    <t>SH10007</t>
  </si>
  <si>
    <t>Warehouse_CHI</t>
  </si>
  <si>
    <t>Portland</t>
  </si>
  <si>
    <t>Amazon Logistics</t>
  </si>
  <si>
    <t>SH10008</t>
  </si>
  <si>
    <t>Warehouse_HOU</t>
  </si>
  <si>
    <t>Detroit</t>
  </si>
  <si>
    <t>SH10009</t>
  </si>
  <si>
    <t>LaserShip</t>
  </si>
  <si>
    <t>SH10010</t>
  </si>
  <si>
    <t>Chicago</t>
  </si>
  <si>
    <t>SH10011</t>
  </si>
  <si>
    <t>Boston</t>
  </si>
  <si>
    <t>Delayed</t>
  </si>
  <si>
    <t>SH10012</t>
  </si>
  <si>
    <t>Warehouse_SEA</t>
  </si>
  <si>
    <t>SH10013</t>
  </si>
  <si>
    <t>Warehouse_NYC</t>
  </si>
  <si>
    <t>Phoenix</t>
  </si>
  <si>
    <t>SH10014</t>
  </si>
  <si>
    <t>Miami</t>
  </si>
  <si>
    <t>SH10015</t>
  </si>
  <si>
    <t>Warehouse_DEN</t>
  </si>
  <si>
    <t>Minneapolis</t>
  </si>
  <si>
    <t>SH10016</t>
  </si>
  <si>
    <t>USPS</t>
  </si>
  <si>
    <t>Lost</t>
  </si>
  <si>
    <t>SH10017</t>
  </si>
  <si>
    <t>In Transit</t>
  </si>
  <si>
    <t>SH10018</t>
  </si>
  <si>
    <t>SH10019</t>
  </si>
  <si>
    <t>SH10020</t>
  </si>
  <si>
    <t>SH10021</t>
  </si>
  <si>
    <t>Returned</t>
  </si>
  <si>
    <t>SH10022</t>
  </si>
  <si>
    <t>SH10023</t>
  </si>
  <si>
    <t>Los Angeles</t>
  </si>
  <si>
    <t>SH10024</t>
  </si>
  <si>
    <t>SH10025</t>
  </si>
  <si>
    <t>SH10026</t>
  </si>
  <si>
    <t>SH10027</t>
  </si>
  <si>
    <t>SH10028</t>
  </si>
  <si>
    <t>SH10029</t>
  </si>
  <si>
    <t>SH10030</t>
  </si>
  <si>
    <t>SH10031</t>
  </si>
  <si>
    <t>SH10032</t>
  </si>
  <si>
    <t>SH10033</t>
  </si>
  <si>
    <t>Denver</t>
  </si>
  <si>
    <t>SH10034</t>
  </si>
  <si>
    <t>SH10035</t>
  </si>
  <si>
    <t>SH10036</t>
  </si>
  <si>
    <t>SH10037</t>
  </si>
  <si>
    <t>SH10038</t>
  </si>
  <si>
    <t>SH10039</t>
  </si>
  <si>
    <t>SH10040</t>
  </si>
  <si>
    <t>SH10041</t>
  </si>
  <si>
    <t>SH10042</t>
  </si>
  <si>
    <t>SH10043</t>
  </si>
  <si>
    <t>SH10044</t>
  </si>
  <si>
    <t>SH10045</t>
  </si>
  <si>
    <t>SH10046</t>
  </si>
  <si>
    <t>SH10047</t>
  </si>
  <si>
    <t>SH10048</t>
  </si>
  <si>
    <t>SH10049</t>
  </si>
  <si>
    <t>SH10050</t>
  </si>
  <si>
    <t>SH10051</t>
  </si>
  <si>
    <t>SH10052</t>
  </si>
  <si>
    <t>SH10053</t>
  </si>
  <si>
    <t>SH10054</t>
  </si>
  <si>
    <t>SH10055</t>
  </si>
  <si>
    <t>SH10056</t>
  </si>
  <si>
    <t>SH10057</t>
  </si>
  <si>
    <t>SH10058</t>
  </si>
  <si>
    <t>SH10059</t>
  </si>
  <si>
    <t>SH10060</t>
  </si>
  <si>
    <t>SH10061</t>
  </si>
  <si>
    <t>SH10062</t>
  </si>
  <si>
    <t>SH10063</t>
  </si>
  <si>
    <t>SH10064</t>
  </si>
  <si>
    <t>SH10065</t>
  </si>
  <si>
    <t>SH10066</t>
  </si>
  <si>
    <t>SH10067</t>
  </si>
  <si>
    <t>SH10068</t>
  </si>
  <si>
    <t>SH10069</t>
  </si>
  <si>
    <t>SH10070</t>
  </si>
  <si>
    <t>SH10071</t>
  </si>
  <si>
    <t>SH10072</t>
  </si>
  <si>
    <t>SH10073</t>
  </si>
  <si>
    <t>SH10074</t>
  </si>
  <si>
    <t>SH10075</t>
  </si>
  <si>
    <t>SH10076</t>
  </si>
  <si>
    <t>SH10077</t>
  </si>
  <si>
    <t>SH10078</t>
  </si>
  <si>
    <t>SH10079</t>
  </si>
  <si>
    <t>SH10080</t>
  </si>
  <si>
    <t>SH10081</t>
  </si>
  <si>
    <t>SH10082</t>
  </si>
  <si>
    <t>SH10083</t>
  </si>
  <si>
    <t>SH10084</t>
  </si>
  <si>
    <t>SH10085</t>
  </si>
  <si>
    <t>SH10086</t>
  </si>
  <si>
    <t>SH10087</t>
  </si>
  <si>
    <t>SH10088</t>
  </si>
  <si>
    <t>SH10089</t>
  </si>
  <si>
    <t>SH10090</t>
  </si>
  <si>
    <t>SH10091</t>
  </si>
  <si>
    <t>SH10092</t>
  </si>
  <si>
    <t>SH10093</t>
  </si>
  <si>
    <t>SH10094</t>
  </si>
  <si>
    <t>SH10095</t>
  </si>
  <si>
    <t>SH10096</t>
  </si>
  <si>
    <t>SH10097</t>
  </si>
  <si>
    <t>SH10098</t>
  </si>
  <si>
    <t>SH10099</t>
  </si>
  <si>
    <t>SH10100</t>
  </si>
  <si>
    <t>SH10101</t>
  </si>
  <si>
    <t>SH10102</t>
  </si>
  <si>
    <t>SH10103</t>
  </si>
  <si>
    <t>SH10104</t>
  </si>
  <si>
    <t>SH10105</t>
  </si>
  <si>
    <t>SH10106</t>
  </si>
  <si>
    <t>SH10107</t>
  </si>
  <si>
    <t>SH10108</t>
  </si>
  <si>
    <t>SH10109</t>
  </si>
  <si>
    <t>SH10110</t>
  </si>
  <si>
    <t>SH10111</t>
  </si>
  <si>
    <t>SH10112</t>
  </si>
  <si>
    <t>SH10113</t>
  </si>
  <si>
    <t>SH10114</t>
  </si>
  <si>
    <t>SH10115</t>
  </si>
  <si>
    <t>SH10116</t>
  </si>
  <si>
    <t>SH10117</t>
  </si>
  <si>
    <t>SH10118</t>
  </si>
  <si>
    <t>SH10119</t>
  </si>
  <si>
    <t>SH10120</t>
  </si>
  <si>
    <t>SH10121</t>
  </si>
  <si>
    <t>SH10122</t>
  </si>
  <si>
    <t>SH10123</t>
  </si>
  <si>
    <t>SH10124</t>
  </si>
  <si>
    <t>SH10125</t>
  </si>
  <si>
    <t>SH10126</t>
  </si>
  <si>
    <t>SH10127</t>
  </si>
  <si>
    <t>SH10128</t>
  </si>
  <si>
    <t>SH10129</t>
  </si>
  <si>
    <t>SH10130</t>
  </si>
  <si>
    <t>SH10131</t>
  </si>
  <si>
    <t>SH10132</t>
  </si>
  <si>
    <t>SH10133</t>
  </si>
  <si>
    <t>SH10134</t>
  </si>
  <si>
    <t>SH10135</t>
  </si>
  <si>
    <t>SH10136</t>
  </si>
  <si>
    <t>SH10137</t>
  </si>
  <si>
    <t>SH10138</t>
  </si>
  <si>
    <t>SH10139</t>
  </si>
  <si>
    <t>SH10140</t>
  </si>
  <si>
    <t>SH10141</t>
  </si>
  <si>
    <t>SH10142</t>
  </si>
  <si>
    <t>SH10143</t>
  </si>
  <si>
    <t>SH10144</t>
  </si>
  <si>
    <t>SH10145</t>
  </si>
  <si>
    <t>SH10146</t>
  </si>
  <si>
    <t>SH10147</t>
  </si>
  <si>
    <t>SH10148</t>
  </si>
  <si>
    <t>SH10149</t>
  </si>
  <si>
    <t>SH10150</t>
  </si>
  <si>
    <t>SH10151</t>
  </si>
  <si>
    <t>SH10152</t>
  </si>
  <si>
    <t>SH10153</t>
  </si>
  <si>
    <t>SH10154</t>
  </si>
  <si>
    <t>SH10155</t>
  </si>
  <si>
    <t>SH10156</t>
  </si>
  <si>
    <t>SH10157</t>
  </si>
  <si>
    <t>SH10158</t>
  </si>
  <si>
    <t>SH10159</t>
  </si>
  <si>
    <t>SH10160</t>
  </si>
  <si>
    <t>SH10161</t>
  </si>
  <si>
    <t>SH10162</t>
  </si>
  <si>
    <t>SH10163</t>
  </si>
  <si>
    <t>SH10164</t>
  </si>
  <si>
    <t>SH10165</t>
  </si>
  <si>
    <t>SH10166</t>
  </si>
  <si>
    <t>SH10167</t>
  </si>
  <si>
    <t>SH10168</t>
  </si>
  <si>
    <t>SH10169</t>
  </si>
  <si>
    <t>SH10170</t>
  </si>
  <si>
    <t>SH10171</t>
  </si>
  <si>
    <t>SH10172</t>
  </si>
  <si>
    <t>SH10173</t>
  </si>
  <si>
    <t>SH10174</t>
  </si>
  <si>
    <t>SH10175</t>
  </si>
  <si>
    <t>SH10176</t>
  </si>
  <si>
    <t>SH10177</t>
  </si>
  <si>
    <t>SH10178</t>
  </si>
  <si>
    <t>SH10179</t>
  </si>
  <si>
    <t>SH10180</t>
  </si>
  <si>
    <t>SH10181</t>
  </si>
  <si>
    <t>SH10182</t>
  </si>
  <si>
    <t>SH10183</t>
  </si>
  <si>
    <t>SH10184</t>
  </si>
  <si>
    <t>SH10185</t>
  </si>
  <si>
    <t>SH10186</t>
  </si>
  <si>
    <t>SH10187</t>
  </si>
  <si>
    <t>SH10188</t>
  </si>
  <si>
    <t>SH10189</t>
  </si>
  <si>
    <t>SH10190</t>
  </si>
  <si>
    <t>SH10191</t>
  </si>
  <si>
    <t>SH10192</t>
  </si>
  <si>
    <t>SH10193</t>
  </si>
  <si>
    <t>SH10194</t>
  </si>
  <si>
    <t>SH10195</t>
  </si>
  <si>
    <t>SH10196</t>
  </si>
  <si>
    <t>SH10197</t>
  </si>
  <si>
    <t>SH10198</t>
  </si>
  <si>
    <t>SH10199</t>
  </si>
  <si>
    <t>SH10200</t>
  </si>
  <si>
    <t>SH10201</t>
  </si>
  <si>
    <t>SH10202</t>
  </si>
  <si>
    <t>SH10203</t>
  </si>
  <si>
    <t>SH10204</t>
  </si>
  <si>
    <t>SH10205</t>
  </si>
  <si>
    <t>SH10206</t>
  </si>
  <si>
    <t>SH10207</t>
  </si>
  <si>
    <t>SH10208</t>
  </si>
  <si>
    <t>SH10209</t>
  </si>
  <si>
    <t>SH10210</t>
  </si>
  <si>
    <t>SH10211</t>
  </si>
  <si>
    <t>SH10212</t>
  </si>
  <si>
    <t>SH10213</t>
  </si>
  <si>
    <t>SH10214</t>
  </si>
  <si>
    <t>SH10215</t>
  </si>
  <si>
    <t>SH10216</t>
  </si>
  <si>
    <t>SH10217</t>
  </si>
  <si>
    <t>SH10218</t>
  </si>
  <si>
    <t>SH10219</t>
  </si>
  <si>
    <t>SH10220</t>
  </si>
  <si>
    <t>SH10221</t>
  </si>
  <si>
    <t>SH10222</t>
  </si>
  <si>
    <t>SH10223</t>
  </si>
  <si>
    <t>SH10224</t>
  </si>
  <si>
    <t>SH10225</t>
  </si>
  <si>
    <t>SH10226</t>
  </si>
  <si>
    <t>SH10227</t>
  </si>
  <si>
    <t>SH10228</t>
  </si>
  <si>
    <t>SH10229</t>
  </si>
  <si>
    <t>SH10230</t>
  </si>
  <si>
    <t>SH10231</t>
  </si>
  <si>
    <t>SH10232</t>
  </si>
  <si>
    <t>SH10233</t>
  </si>
  <si>
    <t>SH10234</t>
  </si>
  <si>
    <t>SH10235</t>
  </si>
  <si>
    <t>SH10236</t>
  </si>
  <si>
    <t>SH10237</t>
  </si>
  <si>
    <t>SH10238</t>
  </si>
  <si>
    <t>SH10239</t>
  </si>
  <si>
    <t>SH10240</t>
  </si>
  <si>
    <t>SH10241</t>
  </si>
  <si>
    <t>SH10242</t>
  </si>
  <si>
    <t>SH10243</t>
  </si>
  <si>
    <t>SH10244</t>
  </si>
  <si>
    <t>SH10245</t>
  </si>
  <si>
    <t>SH10246</t>
  </si>
  <si>
    <t>SH10247</t>
  </si>
  <si>
    <t>SH10248</t>
  </si>
  <si>
    <t>SH10249</t>
  </si>
  <si>
    <t>SH10250</t>
  </si>
  <si>
    <t>SH10251</t>
  </si>
  <si>
    <t>SH10252</t>
  </si>
  <si>
    <t>SH10253</t>
  </si>
  <si>
    <t>SH10254</t>
  </si>
  <si>
    <t>SH10255</t>
  </si>
  <si>
    <t>SH10256</t>
  </si>
  <si>
    <t>SH10257</t>
  </si>
  <si>
    <t>SH10258</t>
  </si>
  <si>
    <t>SH10259</t>
  </si>
  <si>
    <t>SH10260</t>
  </si>
  <si>
    <t>SH10261</t>
  </si>
  <si>
    <t>SH10262</t>
  </si>
  <si>
    <t>SH10263</t>
  </si>
  <si>
    <t>SH10264</t>
  </si>
  <si>
    <t>SH10265</t>
  </si>
  <si>
    <t>SH10266</t>
  </si>
  <si>
    <t>SH10267</t>
  </si>
  <si>
    <t>SH10268</t>
  </si>
  <si>
    <t>SH10269</t>
  </si>
  <si>
    <t>SH10270</t>
  </si>
  <si>
    <t>SH10271</t>
  </si>
  <si>
    <t>SH10272</t>
  </si>
  <si>
    <t>SH10273</t>
  </si>
  <si>
    <t>SH10274</t>
  </si>
  <si>
    <t>SH10275</t>
  </si>
  <si>
    <t>SH10276</t>
  </si>
  <si>
    <t>SH10277</t>
  </si>
  <si>
    <t>SH10278</t>
  </si>
  <si>
    <t>SH10279</t>
  </si>
  <si>
    <t>SH10280</t>
  </si>
  <si>
    <t>SH10281</t>
  </si>
  <si>
    <t>SH10282</t>
  </si>
  <si>
    <t>SH10283</t>
  </si>
  <si>
    <t>SH10284</t>
  </si>
  <si>
    <t>SH10285</t>
  </si>
  <si>
    <t>SH10286</t>
  </si>
  <si>
    <t>SH10287</t>
  </si>
  <si>
    <t>SH10288</t>
  </si>
  <si>
    <t>SH10289</t>
  </si>
  <si>
    <t>SH10290</t>
  </si>
  <si>
    <t>SH10291</t>
  </si>
  <si>
    <t>SH10292</t>
  </si>
  <si>
    <t>SH10293</t>
  </si>
  <si>
    <t>SH10294</t>
  </si>
  <si>
    <t>SH10295</t>
  </si>
  <si>
    <t>SH10296</t>
  </si>
  <si>
    <t>SH10297</t>
  </si>
  <si>
    <t>SH10298</t>
  </si>
  <si>
    <t>SH10299</t>
  </si>
  <si>
    <t>SH10300</t>
  </si>
  <si>
    <t>SH10301</t>
  </si>
  <si>
    <t>SH10302</t>
  </si>
  <si>
    <t>SH10303</t>
  </si>
  <si>
    <t>SH10304</t>
  </si>
  <si>
    <t>SH10305</t>
  </si>
  <si>
    <t>SH10306</t>
  </si>
  <si>
    <t>SH10307</t>
  </si>
  <si>
    <t>SH10308</t>
  </si>
  <si>
    <t>SH10309</t>
  </si>
  <si>
    <t>SH10310</t>
  </si>
  <si>
    <t>SH10311</t>
  </si>
  <si>
    <t>SH10312</t>
  </si>
  <si>
    <t>SH10313</t>
  </si>
  <si>
    <t>SH10314</t>
  </si>
  <si>
    <t>SH10315</t>
  </si>
  <si>
    <t>SH10316</t>
  </si>
  <si>
    <t>SH10317</t>
  </si>
  <si>
    <t>SH10318</t>
  </si>
  <si>
    <t>SH10319</t>
  </si>
  <si>
    <t>SH10320</t>
  </si>
  <si>
    <t>SH10321</t>
  </si>
  <si>
    <t>SH10322</t>
  </si>
  <si>
    <t>SH10323</t>
  </si>
  <si>
    <t>SH10324</t>
  </si>
  <si>
    <t>SH10325</t>
  </si>
  <si>
    <t>SH10326</t>
  </si>
  <si>
    <t>SH10327</t>
  </si>
  <si>
    <t>SH10328</t>
  </si>
  <si>
    <t>SH10329</t>
  </si>
  <si>
    <t>SH10330</t>
  </si>
  <si>
    <t>SH10331</t>
  </si>
  <si>
    <t>SH10332</t>
  </si>
  <si>
    <t>SH10333</t>
  </si>
  <si>
    <t>SH10334</t>
  </si>
  <si>
    <t>SH10335</t>
  </si>
  <si>
    <t>SH10336</t>
  </si>
  <si>
    <t>SH10337</t>
  </si>
  <si>
    <t>SH10338</t>
  </si>
  <si>
    <t>SH10339</t>
  </si>
  <si>
    <t>SH10340</t>
  </si>
  <si>
    <t>SH10341</t>
  </si>
  <si>
    <t>SH10342</t>
  </si>
  <si>
    <t>SH10343</t>
  </si>
  <si>
    <t>SH10344</t>
  </si>
  <si>
    <t>SH10345</t>
  </si>
  <si>
    <t>SH10346</t>
  </si>
  <si>
    <t>SH10347</t>
  </si>
  <si>
    <t>SH10348</t>
  </si>
  <si>
    <t>SH10349</t>
  </si>
  <si>
    <t>SH10350</t>
  </si>
  <si>
    <t>SH10351</t>
  </si>
  <si>
    <t>SH10352</t>
  </si>
  <si>
    <t>SH10353</t>
  </si>
  <si>
    <t>SH10354</t>
  </si>
  <si>
    <t>SH10355</t>
  </si>
  <si>
    <t>SH10356</t>
  </si>
  <si>
    <t>SH10357</t>
  </si>
  <si>
    <t>SH10358</t>
  </si>
  <si>
    <t>SH10359</t>
  </si>
  <si>
    <t>SH10360</t>
  </si>
  <si>
    <t>SH10361</t>
  </si>
  <si>
    <t>SH10362</t>
  </si>
  <si>
    <t>SH10363</t>
  </si>
  <si>
    <t>SH10364</t>
  </si>
  <si>
    <t>SH10365</t>
  </si>
  <si>
    <t>SH10366</t>
  </si>
  <si>
    <t>SH10367</t>
  </si>
  <si>
    <t>SH10368</t>
  </si>
  <si>
    <t>SH10369</t>
  </si>
  <si>
    <t>SH10370</t>
  </si>
  <si>
    <t>SH10371</t>
  </si>
  <si>
    <t>SH10372</t>
  </si>
  <si>
    <t>SH10373</t>
  </si>
  <si>
    <t>SH10374</t>
  </si>
  <si>
    <t>SH10375</t>
  </si>
  <si>
    <t>SH10376</t>
  </si>
  <si>
    <t>SH10377</t>
  </si>
  <si>
    <t>SH10378</t>
  </si>
  <si>
    <t>SH10379</t>
  </si>
  <si>
    <t>SH10380</t>
  </si>
  <si>
    <t>SH10381</t>
  </si>
  <si>
    <t>SH10382</t>
  </si>
  <si>
    <t>SH10383</t>
  </si>
  <si>
    <t>SH10384</t>
  </si>
  <si>
    <t>SH10385</t>
  </si>
  <si>
    <t>SH10386</t>
  </si>
  <si>
    <t>SH10387</t>
  </si>
  <si>
    <t>SH10388</t>
  </si>
  <si>
    <t>SH10389</t>
  </si>
  <si>
    <t>SH10390</t>
  </si>
  <si>
    <t>SH10391</t>
  </si>
  <si>
    <t>SH10392</t>
  </si>
  <si>
    <t>SH10393</t>
  </si>
  <si>
    <t>SH10394</t>
  </si>
  <si>
    <t>SH10395</t>
  </si>
  <si>
    <t>SH10396</t>
  </si>
  <si>
    <t>SH10397</t>
  </si>
  <si>
    <t>SH10398</t>
  </si>
  <si>
    <t>SH10399</t>
  </si>
  <si>
    <t>SH10400</t>
  </si>
  <si>
    <t>SH10401</t>
  </si>
  <si>
    <t>SH10402</t>
  </si>
  <si>
    <t>SH10403</t>
  </si>
  <si>
    <t>SH10404</t>
  </si>
  <si>
    <t>SH10405</t>
  </si>
  <si>
    <t>SH10406</t>
  </si>
  <si>
    <t>SH10407</t>
  </si>
  <si>
    <t>SH10408</t>
  </si>
  <si>
    <t>SH10409</t>
  </si>
  <si>
    <t>SH10410</t>
  </si>
  <si>
    <t>SH10411</t>
  </si>
  <si>
    <t>SH10412</t>
  </si>
  <si>
    <t>SH10413</t>
  </si>
  <si>
    <t>SH10414</t>
  </si>
  <si>
    <t>SH10415</t>
  </si>
  <si>
    <t>SH10416</t>
  </si>
  <si>
    <t>SH10417</t>
  </si>
  <si>
    <t>SH10418</t>
  </si>
  <si>
    <t>SH10419</t>
  </si>
  <si>
    <t>SH10420</t>
  </si>
  <si>
    <t>SH10421</t>
  </si>
  <si>
    <t>SH10422</t>
  </si>
  <si>
    <t>SH10423</t>
  </si>
  <si>
    <t>SH10424</t>
  </si>
  <si>
    <t>SH10425</t>
  </si>
  <si>
    <t>SH10426</t>
  </si>
  <si>
    <t>SH10427</t>
  </si>
  <si>
    <t>SH10428</t>
  </si>
  <si>
    <t>SH10429</t>
  </si>
  <si>
    <t>SH10430</t>
  </si>
  <si>
    <t>SH10431</t>
  </si>
  <si>
    <t>SH10432</t>
  </si>
  <si>
    <t>SH10433</t>
  </si>
  <si>
    <t>SH10434</t>
  </si>
  <si>
    <t>SH10435</t>
  </si>
  <si>
    <t>SH10436</t>
  </si>
  <si>
    <t>SH10437</t>
  </si>
  <si>
    <t>SH10438</t>
  </si>
  <si>
    <t>SH10439</t>
  </si>
  <si>
    <t>SH10440</t>
  </si>
  <si>
    <t>SH10441</t>
  </si>
  <si>
    <t>SH10442</t>
  </si>
  <si>
    <t>SH10443</t>
  </si>
  <si>
    <t>SH10444</t>
  </si>
  <si>
    <t>SH10445</t>
  </si>
  <si>
    <t>SH10446</t>
  </si>
  <si>
    <t>SH10447</t>
  </si>
  <si>
    <t>SH10448</t>
  </si>
  <si>
    <t>SH10449</t>
  </si>
  <si>
    <t>SH10450</t>
  </si>
  <si>
    <t>SH10451</t>
  </si>
  <si>
    <t>SH10452</t>
  </si>
  <si>
    <t>SH10453</t>
  </si>
  <si>
    <t>SH10454</t>
  </si>
  <si>
    <t>SH10455</t>
  </si>
  <si>
    <t>SH10456</t>
  </si>
  <si>
    <t>SH10457</t>
  </si>
  <si>
    <t>SH10458</t>
  </si>
  <si>
    <t>SH10459</t>
  </si>
  <si>
    <t>SH10460</t>
  </si>
  <si>
    <t>SH10461</t>
  </si>
  <si>
    <t>SH10462</t>
  </si>
  <si>
    <t>SH10463</t>
  </si>
  <si>
    <t>SH10464</t>
  </si>
  <si>
    <t>SH10465</t>
  </si>
  <si>
    <t>SH10466</t>
  </si>
  <si>
    <t>SH10467</t>
  </si>
  <si>
    <t>SH10468</t>
  </si>
  <si>
    <t>SH10469</t>
  </si>
  <si>
    <t>SH10470</t>
  </si>
  <si>
    <t>SH10471</t>
  </si>
  <si>
    <t>SH10472</t>
  </si>
  <si>
    <t>SH10473</t>
  </si>
  <si>
    <t>SH10474</t>
  </si>
  <si>
    <t>SH10475</t>
  </si>
  <si>
    <t>SH10476</t>
  </si>
  <si>
    <t>SH10477</t>
  </si>
  <si>
    <t>SH10478</t>
  </si>
  <si>
    <t>SH10479</t>
  </si>
  <si>
    <t>SH10480</t>
  </si>
  <si>
    <t>SH10481</t>
  </si>
  <si>
    <t>SH10482</t>
  </si>
  <si>
    <t>SH10483</t>
  </si>
  <si>
    <t>SH10484</t>
  </si>
  <si>
    <t>SH10485</t>
  </si>
  <si>
    <t>SH10486</t>
  </si>
  <si>
    <t>SH10487</t>
  </si>
  <si>
    <t>SH10488</t>
  </si>
  <si>
    <t>SH10489</t>
  </si>
  <si>
    <t>SH10490</t>
  </si>
  <si>
    <t>SH10491</t>
  </si>
  <si>
    <t>SH10492</t>
  </si>
  <si>
    <t>SH10493</t>
  </si>
  <si>
    <t>SH10494</t>
  </si>
  <si>
    <t>SH10495</t>
  </si>
  <si>
    <t>SH10496</t>
  </si>
  <si>
    <t>SH10497</t>
  </si>
  <si>
    <t>SH10498</t>
  </si>
  <si>
    <t>SH10499</t>
  </si>
  <si>
    <t>SH10500</t>
  </si>
  <si>
    <t>SH10501</t>
  </si>
  <si>
    <t>SH10502</t>
  </si>
  <si>
    <t>SH10503</t>
  </si>
  <si>
    <t>SH10504</t>
  </si>
  <si>
    <t>SH10505</t>
  </si>
  <si>
    <t>SH10506</t>
  </si>
  <si>
    <t>SH10507</t>
  </si>
  <si>
    <t>SH10508</t>
  </si>
  <si>
    <t>SH10509</t>
  </si>
  <si>
    <t>SH10510</t>
  </si>
  <si>
    <t>SH10511</t>
  </si>
  <si>
    <t>SH10512</t>
  </si>
  <si>
    <t>SH10513</t>
  </si>
  <si>
    <t>SH10514</t>
  </si>
  <si>
    <t>SH10515</t>
  </si>
  <si>
    <t>SH10516</t>
  </si>
  <si>
    <t>SH10517</t>
  </si>
  <si>
    <t>SH10518</t>
  </si>
  <si>
    <t>SH10519</t>
  </si>
  <si>
    <t>SH10520</t>
  </si>
  <si>
    <t>SH10521</t>
  </si>
  <si>
    <t>SH10522</t>
  </si>
  <si>
    <t>SH10523</t>
  </si>
  <si>
    <t>SH10524</t>
  </si>
  <si>
    <t>SH10525</t>
  </si>
  <si>
    <t>SH10526</t>
  </si>
  <si>
    <t>SH10527</t>
  </si>
  <si>
    <t>SH10528</t>
  </si>
  <si>
    <t>SH10529</t>
  </si>
  <si>
    <t>SH10530</t>
  </si>
  <si>
    <t>SH10531</t>
  </si>
  <si>
    <t>SH10532</t>
  </si>
  <si>
    <t>SH10533</t>
  </si>
  <si>
    <t>SH10534</t>
  </si>
  <si>
    <t>SH10535</t>
  </si>
  <si>
    <t>SH10536</t>
  </si>
  <si>
    <t>SH10537</t>
  </si>
  <si>
    <t>SH10538</t>
  </si>
  <si>
    <t>SH10539</t>
  </si>
  <si>
    <t>SH10540</t>
  </si>
  <si>
    <t>SH10541</t>
  </si>
  <si>
    <t>SH10542</t>
  </si>
  <si>
    <t>SH10543</t>
  </si>
  <si>
    <t>SH10544</t>
  </si>
  <si>
    <t>SH10545</t>
  </si>
  <si>
    <t>SH10546</t>
  </si>
  <si>
    <t>SH10547</t>
  </si>
  <si>
    <t>SH10548</t>
  </si>
  <si>
    <t>SH10549</t>
  </si>
  <si>
    <t>SH10550</t>
  </si>
  <si>
    <t>SH10551</t>
  </si>
  <si>
    <t>SH10552</t>
  </si>
  <si>
    <t>SH10553</t>
  </si>
  <si>
    <t>SH10554</t>
  </si>
  <si>
    <t>SH10555</t>
  </si>
  <si>
    <t>SH10556</t>
  </si>
  <si>
    <t>SH10557</t>
  </si>
  <si>
    <t>SH10558</t>
  </si>
  <si>
    <t>SH10559</t>
  </si>
  <si>
    <t>SH10560</t>
  </si>
  <si>
    <t>SH10561</t>
  </si>
  <si>
    <t>SH10562</t>
  </si>
  <si>
    <t>SH10563</t>
  </si>
  <si>
    <t>SH10564</t>
  </si>
  <si>
    <t>SH10565</t>
  </si>
  <si>
    <t>SH10566</t>
  </si>
  <si>
    <t>SH10567</t>
  </si>
  <si>
    <t>SH10568</t>
  </si>
  <si>
    <t>SH10569</t>
  </si>
  <si>
    <t>SH10570</t>
  </si>
  <si>
    <t>SH10571</t>
  </si>
  <si>
    <t>SH10572</t>
  </si>
  <si>
    <t>SH10573</t>
  </si>
  <si>
    <t>SH10574</t>
  </si>
  <si>
    <t>SH10575</t>
  </si>
  <si>
    <t>SH10576</t>
  </si>
  <si>
    <t>SH10577</t>
  </si>
  <si>
    <t>SH10578</t>
  </si>
  <si>
    <t>SH10579</t>
  </si>
  <si>
    <t>SH10580</t>
  </si>
  <si>
    <t>SH10581</t>
  </si>
  <si>
    <t>SH10582</t>
  </si>
  <si>
    <t>SH10583</t>
  </si>
  <si>
    <t>SH10584</t>
  </si>
  <si>
    <t>SH10585</t>
  </si>
  <si>
    <t>SH10586</t>
  </si>
  <si>
    <t>SH10587</t>
  </si>
  <si>
    <t>SH10588</t>
  </si>
  <si>
    <t>SH10589</t>
  </si>
  <si>
    <t>SH10590</t>
  </si>
  <si>
    <t>SH10591</t>
  </si>
  <si>
    <t>SH10592</t>
  </si>
  <si>
    <t>SH10593</t>
  </si>
  <si>
    <t>SH10594</t>
  </si>
  <si>
    <t>SH10595</t>
  </si>
  <si>
    <t>SH10596</t>
  </si>
  <si>
    <t>SH10597</t>
  </si>
  <si>
    <t>SH10598</t>
  </si>
  <si>
    <t>SH10599</t>
  </si>
  <si>
    <t>SH10600</t>
  </si>
  <si>
    <t>SH10601</t>
  </si>
  <si>
    <t>SH10602</t>
  </si>
  <si>
    <t>SH10603</t>
  </si>
  <si>
    <t>SH10604</t>
  </si>
  <si>
    <t>SH10605</t>
  </si>
  <si>
    <t>SH10606</t>
  </si>
  <si>
    <t>SH10607</t>
  </si>
  <si>
    <t>SH10608</t>
  </si>
  <si>
    <t>SH10609</t>
  </si>
  <si>
    <t>SH10610</t>
  </si>
  <si>
    <t>SH10611</t>
  </si>
  <si>
    <t>SH10612</t>
  </si>
  <si>
    <t>SH10613</t>
  </si>
  <si>
    <t>SH10614</t>
  </si>
  <si>
    <t>SH10615</t>
  </si>
  <si>
    <t>SH10616</t>
  </si>
  <si>
    <t>SH10617</t>
  </si>
  <si>
    <t>SH10618</t>
  </si>
  <si>
    <t>SH10619</t>
  </si>
  <si>
    <t>SH10620</t>
  </si>
  <si>
    <t>SH10621</t>
  </si>
  <si>
    <t>SH10622</t>
  </si>
  <si>
    <t>SH10623</t>
  </si>
  <si>
    <t>SH10624</t>
  </si>
  <si>
    <t>SH10625</t>
  </si>
  <si>
    <t>SH10626</t>
  </si>
  <si>
    <t>SH10627</t>
  </si>
  <si>
    <t>SH10628</t>
  </si>
  <si>
    <t>SH10629</t>
  </si>
  <si>
    <t>SH10630</t>
  </si>
  <si>
    <t>SH10631</t>
  </si>
  <si>
    <t>SH10632</t>
  </si>
  <si>
    <t>SH10633</t>
  </si>
  <si>
    <t>SH10634</t>
  </si>
  <si>
    <t>SH10635</t>
  </si>
  <si>
    <t>SH10636</t>
  </si>
  <si>
    <t>SH10637</t>
  </si>
  <si>
    <t>SH10638</t>
  </si>
  <si>
    <t>SH10639</t>
  </si>
  <si>
    <t>SH10640</t>
  </si>
  <si>
    <t>SH10641</t>
  </si>
  <si>
    <t>SH10642</t>
  </si>
  <si>
    <t>SH10643</t>
  </si>
  <si>
    <t>SH10644</t>
  </si>
  <si>
    <t>SH10645</t>
  </si>
  <si>
    <t>SH10646</t>
  </si>
  <si>
    <t>SH10647</t>
  </si>
  <si>
    <t>SH10648</t>
  </si>
  <si>
    <t>SH10649</t>
  </si>
  <si>
    <t>SH10650</t>
  </si>
  <si>
    <t>SH10651</t>
  </si>
  <si>
    <t>SH10652</t>
  </si>
  <si>
    <t>SH10653</t>
  </si>
  <si>
    <t>SH10654</t>
  </si>
  <si>
    <t>SH10655</t>
  </si>
  <si>
    <t>SH10656</t>
  </si>
  <si>
    <t>SH10657</t>
  </si>
  <si>
    <t>SH10658</t>
  </si>
  <si>
    <t>SH10659</t>
  </si>
  <si>
    <t>SH10660</t>
  </si>
  <si>
    <t>SH10661</t>
  </si>
  <si>
    <t>SH10662</t>
  </si>
  <si>
    <t>SH10663</t>
  </si>
  <si>
    <t>SH10664</t>
  </si>
  <si>
    <t>SH10665</t>
  </si>
  <si>
    <t>SH10666</t>
  </si>
  <si>
    <t>SH10667</t>
  </si>
  <si>
    <t>SH10668</t>
  </si>
  <si>
    <t>SH10669</t>
  </si>
  <si>
    <t>SH10670</t>
  </si>
  <si>
    <t>SH10671</t>
  </si>
  <si>
    <t>SH10672</t>
  </si>
  <si>
    <t>SH10673</t>
  </si>
  <si>
    <t>SH10674</t>
  </si>
  <si>
    <t>SH10675</t>
  </si>
  <si>
    <t>SH10676</t>
  </si>
  <si>
    <t>SH10677</t>
  </si>
  <si>
    <t>SH10678</t>
  </si>
  <si>
    <t>SH10679</t>
  </si>
  <si>
    <t>SH10680</t>
  </si>
  <si>
    <t>SH10681</t>
  </si>
  <si>
    <t>SH10682</t>
  </si>
  <si>
    <t>SH10683</t>
  </si>
  <si>
    <t>SH10684</t>
  </si>
  <si>
    <t>SH10685</t>
  </si>
  <si>
    <t>SH10686</t>
  </si>
  <si>
    <t>SH10687</t>
  </si>
  <si>
    <t>SH10688</t>
  </si>
  <si>
    <t>SH10689</t>
  </si>
  <si>
    <t>SH10690</t>
  </si>
  <si>
    <t>SH10691</t>
  </si>
  <si>
    <t>SH10692</t>
  </si>
  <si>
    <t>SH10693</t>
  </si>
  <si>
    <t>SH10694</t>
  </si>
  <si>
    <t>SH10695</t>
  </si>
  <si>
    <t>SH10696</t>
  </si>
  <si>
    <t>SH10697</t>
  </si>
  <si>
    <t>SH10698</t>
  </si>
  <si>
    <t>SH10699</t>
  </si>
  <si>
    <t>SH10700</t>
  </si>
  <si>
    <t>SH10701</t>
  </si>
  <si>
    <t>SH10702</t>
  </si>
  <si>
    <t>SH10703</t>
  </si>
  <si>
    <t>SH10704</t>
  </si>
  <si>
    <t>SH10705</t>
  </si>
  <si>
    <t>SH10706</t>
  </si>
  <si>
    <t>SH10707</t>
  </si>
  <si>
    <t>SH10708</t>
  </si>
  <si>
    <t>SH10709</t>
  </si>
  <si>
    <t>SH10710</t>
  </si>
  <si>
    <t>SH10711</t>
  </si>
  <si>
    <t>SH10712</t>
  </si>
  <si>
    <t>SH10713</t>
  </si>
  <si>
    <t>SH10714</t>
  </si>
  <si>
    <t>SH10715</t>
  </si>
  <si>
    <t>SH10716</t>
  </si>
  <si>
    <t>SH10717</t>
  </si>
  <si>
    <t>SH10718</t>
  </si>
  <si>
    <t>SH10719</t>
  </si>
  <si>
    <t>SH10720</t>
  </si>
  <si>
    <t>SH10721</t>
  </si>
  <si>
    <t>SH10722</t>
  </si>
  <si>
    <t>SH10723</t>
  </si>
  <si>
    <t>SH10724</t>
  </si>
  <si>
    <t>SH10725</t>
  </si>
  <si>
    <t>SH10726</t>
  </si>
  <si>
    <t>SH10727</t>
  </si>
  <si>
    <t>SH10728</t>
  </si>
  <si>
    <t>SH10729</t>
  </si>
  <si>
    <t>SH10730</t>
  </si>
  <si>
    <t>SH10731</t>
  </si>
  <si>
    <t>SH10732</t>
  </si>
  <si>
    <t>SH10733</t>
  </si>
  <si>
    <t>SH10734</t>
  </si>
  <si>
    <t>SH10735</t>
  </si>
  <si>
    <t>SH10736</t>
  </si>
  <si>
    <t>SH10737</t>
  </si>
  <si>
    <t>SH10738</t>
  </si>
  <si>
    <t>SH10739</t>
  </si>
  <si>
    <t>SH10740</t>
  </si>
  <si>
    <t>SH10741</t>
  </si>
  <si>
    <t>SH10742</t>
  </si>
  <si>
    <t>SH10743</t>
  </si>
  <si>
    <t>SH10744</t>
  </si>
  <si>
    <t>SH10745</t>
  </si>
  <si>
    <t>SH10746</t>
  </si>
  <si>
    <t>SH10747</t>
  </si>
  <si>
    <t>SH10748</t>
  </si>
  <si>
    <t>SH10749</t>
  </si>
  <si>
    <t>SH10750</t>
  </si>
  <si>
    <t>SH10751</t>
  </si>
  <si>
    <t>SH10752</t>
  </si>
  <si>
    <t>SH10753</t>
  </si>
  <si>
    <t>SH10754</t>
  </si>
  <si>
    <t>SH10755</t>
  </si>
  <si>
    <t>SH10756</t>
  </si>
  <si>
    <t>SH10757</t>
  </si>
  <si>
    <t>SH10758</t>
  </si>
  <si>
    <t>SH10759</t>
  </si>
  <si>
    <t>SH10760</t>
  </si>
  <si>
    <t>SH10761</t>
  </si>
  <si>
    <t>SH10762</t>
  </si>
  <si>
    <t>SH10763</t>
  </si>
  <si>
    <t>SH10764</t>
  </si>
  <si>
    <t>SH10765</t>
  </si>
  <si>
    <t>SH10766</t>
  </si>
  <si>
    <t>SH10767</t>
  </si>
  <si>
    <t>SH10768</t>
  </si>
  <si>
    <t>SH10769</t>
  </si>
  <si>
    <t>SH10770</t>
  </si>
  <si>
    <t>SH10771</t>
  </si>
  <si>
    <t>SH10772</t>
  </si>
  <si>
    <t>SH10773</t>
  </si>
  <si>
    <t>SH10774</t>
  </si>
  <si>
    <t>SH10775</t>
  </si>
  <si>
    <t>SH10776</t>
  </si>
  <si>
    <t>SH10777</t>
  </si>
  <si>
    <t>SH10778</t>
  </si>
  <si>
    <t>SH10779</t>
  </si>
  <si>
    <t>SH10780</t>
  </si>
  <si>
    <t>SH10781</t>
  </si>
  <si>
    <t>SH10782</t>
  </si>
  <si>
    <t>SH10783</t>
  </si>
  <si>
    <t>SH10784</t>
  </si>
  <si>
    <t>SH10785</t>
  </si>
  <si>
    <t>SH10786</t>
  </si>
  <si>
    <t>SH10787</t>
  </si>
  <si>
    <t>SH10788</t>
  </si>
  <si>
    <t>SH10789</t>
  </si>
  <si>
    <t>SH10790</t>
  </si>
  <si>
    <t>SH10791</t>
  </si>
  <si>
    <t>SH10792</t>
  </si>
  <si>
    <t>SH10793</t>
  </si>
  <si>
    <t>SH10794</t>
  </si>
  <si>
    <t>SH10795</t>
  </si>
  <si>
    <t>SH10796</t>
  </si>
  <si>
    <t>SH10797</t>
  </si>
  <si>
    <t>SH10798</t>
  </si>
  <si>
    <t>SH10799</t>
  </si>
  <si>
    <t>SH10800</t>
  </si>
  <si>
    <t>SH10801</t>
  </si>
  <si>
    <t>SH10802</t>
  </si>
  <si>
    <t>SH10803</t>
  </si>
  <si>
    <t>SH10804</t>
  </si>
  <si>
    <t>SH10805</t>
  </si>
  <si>
    <t>SH10806</t>
  </si>
  <si>
    <t>SH10807</t>
  </si>
  <si>
    <t>SH10808</t>
  </si>
  <si>
    <t>SH10809</t>
  </si>
  <si>
    <t>SH10810</t>
  </si>
  <si>
    <t>SH10811</t>
  </si>
  <si>
    <t>SH10812</t>
  </si>
  <si>
    <t>SH10813</t>
  </si>
  <si>
    <t>SH10814</t>
  </si>
  <si>
    <t>SH10815</t>
  </si>
  <si>
    <t>SH10816</t>
  </si>
  <si>
    <t>SH10817</t>
  </si>
  <si>
    <t>SH10818</t>
  </si>
  <si>
    <t>SH10819</t>
  </si>
  <si>
    <t>SH10820</t>
  </si>
  <si>
    <t>SH10821</t>
  </si>
  <si>
    <t>SH10822</t>
  </si>
  <si>
    <t>SH10823</t>
  </si>
  <si>
    <t>SH10824</t>
  </si>
  <si>
    <t>SH10825</t>
  </si>
  <si>
    <t>SH10826</t>
  </si>
  <si>
    <t>SH10827</t>
  </si>
  <si>
    <t>SH10828</t>
  </si>
  <si>
    <t>SH10829</t>
  </si>
  <si>
    <t>SH10830</t>
  </si>
  <si>
    <t>SH10831</t>
  </si>
  <si>
    <t>SH10832</t>
  </si>
  <si>
    <t>SH10833</t>
  </si>
  <si>
    <t>SH10834</t>
  </si>
  <si>
    <t>SH10835</t>
  </si>
  <si>
    <t>SH10836</t>
  </si>
  <si>
    <t>SH10837</t>
  </si>
  <si>
    <t>SH10838</t>
  </si>
  <si>
    <t>SH10839</t>
  </si>
  <si>
    <t>SH10840</t>
  </si>
  <si>
    <t>SH10841</t>
  </si>
  <si>
    <t>SH10842</t>
  </si>
  <si>
    <t>SH10843</t>
  </si>
  <si>
    <t>SH10844</t>
  </si>
  <si>
    <t>SH10845</t>
  </si>
  <si>
    <t>SH10846</t>
  </si>
  <si>
    <t>SH10847</t>
  </si>
  <si>
    <t>SH10848</t>
  </si>
  <si>
    <t>SH10849</t>
  </si>
  <si>
    <t>SH10850</t>
  </si>
  <si>
    <t>SH10851</t>
  </si>
  <si>
    <t>SH10852</t>
  </si>
  <si>
    <t>SH10853</t>
  </si>
  <si>
    <t>SH10854</t>
  </si>
  <si>
    <t>SH10855</t>
  </si>
  <si>
    <t>SH10856</t>
  </si>
  <si>
    <t>SH10857</t>
  </si>
  <si>
    <t>SH10858</t>
  </si>
  <si>
    <t>SH10859</t>
  </si>
  <si>
    <t>SH10860</t>
  </si>
  <si>
    <t>SH10861</t>
  </si>
  <si>
    <t>SH10862</t>
  </si>
  <si>
    <t>SH10863</t>
  </si>
  <si>
    <t>SH10864</t>
  </si>
  <si>
    <t>SH10865</t>
  </si>
  <si>
    <t>SH10866</t>
  </si>
  <si>
    <t>SH10867</t>
  </si>
  <si>
    <t>SH10868</t>
  </si>
  <si>
    <t>SH10869</t>
  </si>
  <si>
    <t>SH10870</t>
  </si>
  <si>
    <t>SH10871</t>
  </si>
  <si>
    <t>SH10872</t>
  </si>
  <si>
    <t>SH10873</t>
  </si>
  <si>
    <t>SH10874</t>
  </si>
  <si>
    <t>SH10875</t>
  </si>
  <si>
    <t>SH10876</t>
  </si>
  <si>
    <t>SH10877</t>
  </si>
  <si>
    <t>SH10878</t>
  </si>
  <si>
    <t>SH10879</t>
  </si>
  <si>
    <t>SH10880</t>
  </si>
  <si>
    <t>SH10881</t>
  </si>
  <si>
    <t>SH10882</t>
  </si>
  <si>
    <t>SH10883</t>
  </si>
  <si>
    <t>SH10884</t>
  </si>
  <si>
    <t>SH10885</t>
  </si>
  <si>
    <t>SH10886</t>
  </si>
  <si>
    <t>SH10887</t>
  </si>
  <si>
    <t>SH10888</t>
  </si>
  <si>
    <t>SH10889</t>
  </si>
  <si>
    <t>SH10890</t>
  </si>
  <si>
    <t>SH10891</t>
  </si>
  <si>
    <t>SH10892</t>
  </si>
  <si>
    <t>SH10893</t>
  </si>
  <si>
    <t>SH10894</t>
  </si>
  <si>
    <t>SH10895</t>
  </si>
  <si>
    <t>SH10896</t>
  </si>
  <si>
    <t>SH10897</t>
  </si>
  <si>
    <t>SH10898</t>
  </si>
  <si>
    <t>SH10899</t>
  </si>
  <si>
    <t>SH10900</t>
  </si>
  <si>
    <t>SH10901</t>
  </si>
  <si>
    <t>SH10902</t>
  </si>
  <si>
    <t>SH10903</t>
  </si>
  <si>
    <t>SH10904</t>
  </si>
  <si>
    <t>SH10905</t>
  </si>
  <si>
    <t>SH10906</t>
  </si>
  <si>
    <t>SH10907</t>
  </si>
  <si>
    <t>SH10908</t>
  </si>
  <si>
    <t>SH10909</t>
  </si>
  <si>
    <t>SH10910</t>
  </si>
  <si>
    <t>SH10911</t>
  </si>
  <si>
    <t>SH10912</t>
  </si>
  <si>
    <t>SH10913</t>
  </si>
  <si>
    <t>SH10914</t>
  </si>
  <si>
    <t>SH10915</t>
  </si>
  <si>
    <t>SH10916</t>
  </si>
  <si>
    <t>SH10917</t>
  </si>
  <si>
    <t>SH10918</t>
  </si>
  <si>
    <t>SH10919</t>
  </si>
  <si>
    <t>SH10920</t>
  </si>
  <si>
    <t>SH10921</t>
  </si>
  <si>
    <t>SH10922</t>
  </si>
  <si>
    <t>SH10923</t>
  </si>
  <si>
    <t>SH10924</t>
  </si>
  <si>
    <t>SH10925</t>
  </si>
  <si>
    <t>SH10926</t>
  </si>
  <si>
    <t>SH10927</t>
  </si>
  <si>
    <t>SH10928</t>
  </si>
  <si>
    <t>SH10929</t>
  </si>
  <si>
    <t>SH10930</t>
  </si>
  <si>
    <t>SH10931</t>
  </si>
  <si>
    <t>SH10932</t>
  </si>
  <si>
    <t>SH10933</t>
  </si>
  <si>
    <t>SH10934</t>
  </si>
  <si>
    <t>SH10935</t>
  </si>
  <si>
    <t>SH10936</t>
  </si>
  <si>
    <t>SH10937</t>
  </si>
  <si>
    <t>SH10938</t>
  </si>
  <si>
    <t>SH10939</t>
  </si>
  <si>
    <t>SH10940</t>
  </si>
  <si>
    <t>SH10941</t>
  </si>
  <si>
    <t>SH10942</t>
  </si>
  <si>
    <t>SH10943</t>
  </si>
  <si>
    <t>SH10944</t>
  </si>
  <si>
    <t>SH10945</t>
  </si>
  <si>
    <t>SH10946</t>
  </si>
  <si>
    <t>SH10947</t>
  </si>
  <si>
    <t>SH10948</t>
  </si>
  <si>
    <t>SH10949</t>
  </si>
  <si>
    <t>SH10950</t>
  </si>
  <si>
    <t>SH10951</t>
  </si>
  <si>
    <t>SH10952</t>
  </si>
  <si>
    <t>SH10953</t>
  </si>
  <si>
    <t>SH10954</t>
  </si>
  <si>
    <t>SH10955</t>
  </si>
  <si>
    <t>SH10956</t>
  </si>
  <si>
    <t>SH10957</t>
  </si>
  <si>
    <t>SH10958</t>
  </si>
  <si>
    <t>SH10959</t>
  </si>
  <si>
    <t>SH10960</t>
  </si>
  <si>
    <t>SH10961</t>
  </si>
  <si>
    <t>SH10962</t>
  </si>
  <si>
    <t>SH10963</t>
  </si>
  <si>
    <t>SH10964</t>
  </si>
  <si>
    <t>SH10965</t>
  </si>
  <si>
    <t>SH10966</t>
  </si>
  <si>
    <t>SH10967</t>
  </si>
  <si>
    <t>SH10968</t>
  </si>
  <si>
    <t>SH10969</t>
  </si>
  <si>
    <t>SH10970</t>
  </si>
  <si>
    <t>SH10971</t>
  </si>
  <si>
    <t>SH10972</t>
  </si>
  <si>
    <t>SH10973</t>
  </si>
  <si>
    <t>SH10974</t>
  </si>
  <si>
    <t>SH10975</t>
  </si>
  <si>
    <t>SH10976</t>
  </si>
  <si>
    <t>SH10977</t>
  </si>
  <si>
    <t>SH10978</t>
  </si>
  <si>
    <t>SH10979</t>
  </si>
  <si>
    <t>SH10980</t>
  </si>
  <si>
    <t>SH10981</t>
  </si>
  <si>
    <t>SH10982</t>
  </si>
  <si>
    <t>SH10983</t>
  </si>
  <si>
    <t>SH10984</t>
  </si>
  <si>
    <t>SH10985</t>
  </si>
  <si>
    <t>SH10986</t>
  </si>
  <si>
    <t>SH10987</t>
  </si>
  <si>
    <t>SH10988</t>
  </si>
  <si>
    <t>SH10989</t>
  </si>
  <si>
    <t>SH10990</t>
  </si>
  <si>
    <t>SH10991</t>
  </si>
  <si>
    <t>SH10992</t>
  </si>
  <si>
    <t>SH10993</t>
  </si>
  <si>
    <t>SH10994</t>
  </si>
  <si>
    <t>SH10995</t>
  </si>
  <si>
    <t>SH10996</t>
  </si>
  <si>
    <t>SH10997</t>
  </si>
  <si>
    <t>SH10998</t>
  </si>
  <si>
    <t>SH10999</t>
  </si>
  <si>
    <t>SH11000</t>
  </si>
  <si>
    <t>SH11001</t>
  </si>
  <si>
    <t>SH11002</t>
  </si>
  <si>
    <t>SH11003</t>
  </si>
  <si>
    <t>SH11004</t>
  </si>
  <si>
    <t>SH11005</t>
  </si>
  <si>
    <t>SH11006</t>
  </si>
  <si>
    <t>SH11007</t>
  </si>
  <si>
    <t>SH11008</t>
  </si>
  <si>
    <t>SH11009</t>
  </si>
  <si>
    <t>SH11010</t>
  </si>
  <si>
    <t>SH11011</t>
  </si>
  <si>
    <t>SH11012</t>
  </si>
  <si>
    <t>SH11013</t>
  </si>
  <si>
    <t>SH11014</t>
  </si>
  <si>
    <t>SH11015</t>
  </si>
  <si>
    <t>SH11016</t>
  </si>
  <si>
    <t>SH11017</t>
  </si>
  <si>
    <t>SH11018</t>
  </si>
  <si>
    <t>SH11019</t>
  </si>
  <si>
    <t>SH11020</t>
  </si>
  <si>
    <t>SH11021</t>
  </si>
  <si>
    <t>SH11022</t>
  </si>
  <si>
    <t>SH11023</t>
  </si>
  <si>
    <t>SH11024</t>
  </si>
  <si>
    <t>SH11025</t>
  </si>
  <si>
    <t>SH11026</t>
  </si>
  <si>
    <t>SH11027</t>
  </si>
  <si>
    <t>SH11028</t>
  </si>
  <si>
    <t>SH11029</t>
  </si>
  <si>
    <t>SH11030</t>
  </si>
  <si>
    <t>SH11031</t>
  </si>
  <si>
    <t>SH11032</t>
  </si>
  <si>
    <t>SH11033</t>
  </si>
  <si>
    <t>SH11034</t>
  </si>
  <si>
    <t>SH11035</t>
  </si>
  <si>
    <t>SH11036</t>
  </si>
  <si>
    <t>SH11037</t>
  </si>
  <si>
    <t>SH11038</t>
  </si>
  <si>
    <t>SH11039</t>
  </si>
  <si>
    <t>SH11040</t>
  </si>
  <si>
    <t>SH11041</t>
  </si>
  <si>
    <t>SH11042</t>
  </si>
  <si>
    <t>SH11043</t>
  </si>
  <si>
    <t>SH11044</t>
  </si>
  <si>
    <t>SH11045</t>
  </si>
  <si>
    <t>SH11046</t>
  </si>
  <si>
    <t>SH11047</t>
  </si>
  <si>
    <t>SH11048</t>
  </si>
  <si>
    <t>SH11049</t>
  </si>
  <si>
    <t>SH11050</t>
  </si>
  <si>
    <t>SH11051</t>
  </si>
  <si>
    <t>SH11052</t>
  </si>
  <si>
    <t>SH11053</t>
  </si>
  <si>
    <t>SH11054</t>
  </si>
  <si>
    <t>SH11055</t>
  </si>
  <si>
    <t>SH11056</t>
  </si>
  <si>
    <t>SH11057</t>
  </si>
  <si>
    <t>SH11058</t>
  </si>
  <si>
    <t>SH11059</t>
  </si>
  <si>
    <t>SH11060</t>
  </si>
  <si>
    <t>SH11061</t>
  </si>
  <si>
    <t>SH11062</t>
  </si>
  <si>
    <t>SH11063</t>
  </si>
  <si>
    <t>SH11064</t>
  </si>
  <si>
    <t>SH11065</t>
  </si>
  <si>
    <t>SH11066</t>
  </si>
  <si>
    <t>SH11067</t>
  </si>
  <si>
    <t>SH11068</t>
  </si>
  <si>
    <t>SH11069</t>
  </si>
  <si>
    <t>SH11070</t>
  </si>
  <si>
    <t>SH11071</t>
  </si>
  <si>
    <t>SH11072</t>
  </si>
  <si>
    <t>SH11073</t>
  </si>
  <si>
    <t>SH11074</t>
  </si>
  <si>
    <t>SH11075</t>
  </si>
  <si>
    <t>SH11076</t>
  </si>
  <si>
    <t>SH11077</t>
  </si>
  <si>
    <t>SH11078</t>
  </si>
  <si>
    <t>SH11079</t>
  </si>
  <si>
    <t>SH11080</t>
  </si>
  <si>
    <t>SH11081</t>
  </si>
  <si>
    <t>SH11082</t>
  </si>
  <si>
    <t>SH11083</t>
  </si>
  <si>
    <t>SH11084</t>
  </si>
  <si>
    <t>SH11085</t>
  </si>
  <si>
    <t>SH11086</t>
  </si>
  <si>
    <t>SH11087</t>
  </si>
  <si>
    <t>SH11088</t>
  </si>
  <si>
    <t>SH11089</t>
  </si>
  <si>
    <t>SH11090</t>
  </si>
  <si>
    <t>SH11091</t>
  </si>
  <si>
    <t>SH11092</t>
  </si>
  <si>
    <t>SH11093</t>
  </si>
  <si>
    <t>SH11094</t>
  </si>
  <si>
    <t>SH11095</t>
  </si>
  <si>
    <t>SH11096</t>
  </si>
  <si>
    <t>SH11097</t>
  </si>
  <si>
    <t>SH11098</t>
  </si>
  <si>
    <t>SH11099</t>
  </si>
  <si>
    <t>SH11100</t>
  </si>
  <si>
    <t>SH11101</t>
  </si>
  <si>
    <t>SH11102</t>
  </si>
  <si>
    <t>SH11103</t>
  </si>
  <si>
    <t>SH11104</t>
  </si>
  <si>
    <t>SH11105</t>
  </si>
  <si>
    <t>SH11106</t>
  </si>
  <si>
    <t>SH11107</t>
  </si>
  <si>
    <t>SH11108</t>
  </si>
  <si>
    <t>SH11109</t>
  </si>
  <si>
    <t>SH11110</t>
  </si>
  <si>
    <t>SH11111</t>
  </si>
  <si>
    <t>SH11112</t>
  </si>
  <si>
    <t>SH11113</t>
  </si>
  <si>
    <t>SH11114</t>
  </si>
  <si>
    <t>SH11115</t>
  </si>
  <si>
    <t>SH11116</t>
  </si>
  <si>
    <t>SH11117</t>
  </si>
  <si>
    <t>SH11118</t>
  </si>
  <si>
    <t>SH11119</t>
  </si>
  <si>
    <t>SH11120</t>
  </si>
  <si>
    <t>SH11121</t>
  </si>
  <si>
    <t>SH11122</t>
  </si>
  <si>
    <t>SH11123</t>
  </si>
  <si>
    <t>SH11124</t>
  </si>
  <si>
    <t>SH11125</t>
  </si>
  <si>
    <t>SH11126</t>
  </si>
  <si>
    <t>SH11127</t>
  </si>
  <si>
    <t>SH11128</t>
  </si>
  <si>
    <t>SH11129</t>
  </si>
  <si>
    <t>SH11130</t>
  </si>
  <si>
    <t>SH11131</t>
  </si>
  <si>
    <t>SH11132</t>
  </si>
  <si>
    <t>SH11133</t>
  </si>
  <si>
    <t>SH11134</t>
  </si>
  <si>
    <t>SH11135</t>
  </si>
  <si>
    <t>SH11136</t>
  </si>
  <si>
    <t>SH11137</t>
  </si>
  <si>
    <t>SH11138</t>
  </si>
  <si>
    <t>SH11139</t>
  </si>
  <si>
    <t>SH11140</t>
  </si>
  <si>
    <t>SH11141</t>
  </si>
  <si>
    <t>SH11142</t>
  </si>
  <si>
    <t>SH11143</t>
  </si>
  <si>
    <t>SH11144</t>
  </si>
  <si>
    <t>SH11145</t>
  </si>
  <si>
    <t>SH11146</t>
  </si>
  <si>
    <t>SH11147</t>
  </si>
  <si>
    <t>SH11148</t>
  </si>
  <si>
    <t>SH11149</t>
  </si>
  <si>
    <t>SH11150</t>
  </si>
  <si>
    <t>SH11151</t>
  </si>
  <si>
    <t>SH11152</t>
  </si>
  <si>
    <t>SH11153</t>
  </si>
  <si>
    <t>SH11154</t>
  </si>
  <si>
    <t>SH11155</t>
  </si>
  <si>
    <t>SH11156</t>
  </si>
  <si>
    <t>SH11157</t>
  </si>
  <si>
    <t>SH11158</t>
  </si>
  <si>
    <t>SH11159</t>
  </si>
  <si>
    <t>SH11160</t>
  </si>
  <si>
    <t>SH11161</t>
  </si>
  <si>
    <t>SH11162</t>
  </si>
  <si>
    <t>SH11163</t>
  </si>
  <si>
    <t>SH11164</t>
  </si>
  <si>
    <t>SH11165</t>
  </si>
  <si>
    <t>SH11166</t>
  </si>
  <si>
    <t>SH11167</t>
  </si>
  <si>
    <t>SH11168</t>
  </si>
  <si>
    <t>SH11169</t>
  </si>
  <si>
    <t>SH11170</t>
  </si>
  <si>
    <t>SH11171</t>
  </si>
  <si>
    <t>SH11172</t>
  </si>
  <si>
    <t>SH11173</t>
  </si>
  <si>
    <t>SH11174</t>
  </si>
  <si>
    <t>SH11175</t>
  </si>
  <si>
    <t>SH11176</t>
  </si>
  <si>
    <t>SH11177</t>
  </si>
  <si>
    <t>SH11178</t>
  </si>
  <si>
    <t>SH11179</t>
  </si>
  <si>
    <t>SH11180</t>
  </si>
  <si>
    <t>SH11181</t>
  </si>
  <si>
    <t>SH11182</t>
  </si>
  <si>
    <t>SH11183</t>
  </si>
  <si>
    <t>SH11184</t>
  </si>
  <si>
    <t>SH11185</t>
  </si>
  <si>
    <t>SH11186</t>
  </si>
  <si>
    <t>SH11187</t>
  </si>
  <si>
    <t>SH11188</t>
  </si>
  <si>
    <t>SH11189</t>
  </si>
  <si>
    <t>SH11190</t>
  </si>
  <si>
    <t>SH11191</t>
  </si>
  <si>
    <t>SH11192</t>
  </si>
  <si>
    <t>SH11193</t>
  </si>
  <si>
    <t>SH11194</t>
  </si>
  <si>
    <t>SH11195</t>
  </si>
  <si>
    <t>SH11196</t>
  </si>
  <si>
    <t>SH11197</t>
  </si>
  <si>
    <t>SH11198</t>
  </si>
  <si>
    <t>SH11199</t>
  </si>
  <si>
    <t>SH11200</t>
  </si>
  <si>
    <t>SH11201</t>
  </si>
  <si>
    <t>SH11202</t>
  </si>
  <si>
    <t>SH11203</t>
  </si>
  <si>
    <t>SH11204</t>
  </si>
  <si>
    <t>SH11205</t>
  </si>
  <si>
    <t>SH11206</t>
  </si>
  <si>
    <t>SH11207</t>
  </si>
  <si>
    <t>SH11208</t>
  </si>
  <si>
    <t>SH11209</t>
  </si>
  <si>
    <t>SH11210</t>
  </si>
  <si>
    <t>SH11211</t>
  </si>
  <si>
    <t>SH11212</t>
  </si>
  <si>
    <t>SH11213</t>
  </si>
  <si>
    <t>SH11214</t>
  </si>
  <si>
    <t>SH11215</t>
  </si>
  <si>
    <t>SH11216</t>
  </si>
  <si>
    <t>SH11217</t>
  </si>
  <si>
    <t>SH11218</t>
  </si>
  <si>
    <t>SH11219</t>
  </si>
  <si>
    <t>SH11220</t>
  </si>
  <si>
    <t>SH11221</t>
  </si>
  <si>
    <t>SH11222</t>
  </si>
  <si>
    <t>SH11223</t>
  </si>
  <si>
    <t>SH11224</t>
  </si>
  <si>
    <t>SH11225</t>
  </si>
  <si>
    <t>SH11226</t>
  </si>
  <si>
    <t>SH11227</t>
  </si>
  <si>
    <t>SH11228</t>
  </si>
  <si>
    <t>SH11229</t>
  </si>
  <si>
    <t>SH11230</t>
  </si>
  <si>
    <t>SH11231</t>
  </si>
  <si>
    <t>SH11232</t>
  </si>
  <si>
    <t>SH11233</t>
  </si>
  <si>
    <t>SH11234</t>
  </si>
  <si>
    <t>SH11235</t>
  </si>
  <si>
    <t>SH11236</t>
  </si>
  <si>
    <t>SH11237</t>
  </si>
  <si>
    <t>SH11238</t>
  </si>
  <si>
    <t>SH11239</t>
  </si>
  <si>
    <t>SH11240</t>
  </si>
  <si>
    <t>SH11241</t>
  </si>
  <si>
    <t>SH11242</t>
  </si>
  <si>
    <t>SH11243</t>
  </si>
  <si>
    <t>SH11244</t>
  </si>
  <si>
    <t>SH11245</t>
  </si>
  <si>
    <t>SH11246</t>
  </si>
  <si>
    <t>SH11247</t>
  </si>
  <si>
    <t>SH11248</t>
  </si>
  <si>
    <t>SH11249</t>
  </si>
  <si>
    <t>SH11250</t>
  </si>
  <si>
    <t>SH11251</t>
  </si>
  <si>
    <t>SH11252</t>
  </si>
  <si>
    <t>SH11253</t>
  </si>
  <si>
    <t>SH11254</t>
  </si>
  <si>
    <t>SH11255</t>
  </si>
  <si>
    <t>SH11256</t>
  </si>
  <si>
    <t>SH11257</t>
  </si>
  <si>
    <t>SH11258</t>
  </si>
  <si>
    <t>SH11259</t>
  </si>
  <si>
    <t>SH11260</t>
  </si>
  <si>
    <t>SH11261</t>
  </si>
  <si>
    <t>SH11262</t>
  </si>
  <si>
    <t>SH11263</t>
  </si>
  <si>
    <t>SH11264</t>
  </si>
  <si>
    <t>SH11265</t>
  </si>
  <si>
    <t>SH11266</t>
  </si>
  <si>
    <t>SH11267</t>
  </si>
  <si>
    <t>SH11268</t>
  </si>
  <si>
    <t>SH11269</t>
  </si>
  <si>
    <t>SH11270</t>
  </si>
  <si>
    <t>SH11271</t>
  </si>
  <si>
    <t>SH11272</t>
  </si>
  <si>
    <t>SH11273</t>
  </si>
  <si>
    <t>SH11274</t>
  </si>
  <si>
    <t>SH11275</t>
  </si>
  <si>
    <t>SH11276</t>
  </si>
  <si>
    <t>SH11277</t>
  </si>
  <si>
    <t>SH11278</t>
  </si>
  <si>
    <t>SH11279</t>
  </si>
  <si>
    <t>SH11280</t>
  </si>
  <si>
    <t>SH11281</t>
  </si>
  <si>
    <t>SH11282</t>
  </si>
  <si>
    <t>SH11283</t>
  </si>
  <si>
    <t>SH11284</t>
  </si>
  <si>
    <t>SH11285</t>
  </si>
  <si>
    <t>SH11286</t>
  </si>
  <si>
    <t>SH11287</t>
  </si>
  <si>
    <t>SH11288</t>
  </si>
  <si>
    <t>SH11289</t>
  </si>
  <si>
    <t>SH11290</t>
  </si>
  <si>
    <t>SH11291</t>
  </si>
  <si>
    <t>SH11292</t>
  </si>
  <si>
    <t>SH11293</t>
  </si>
  <si>
    <t>SH11294</t>
  </si>
  <si>
    <t>SH11295</t>
  </si>
  <si>
    <t>SH11296</t>
  </si>
  <si>
    <t>SH11297</t>
  </si>
  <si>
    <t>SH11298</t>
  </si>
  <si>
    <t>SH11299</t>
  </si>
  <si>
    <t>SH11300</t>
  </si>
  <si>
    <t>SH11301</t>
  </si>
  <si>
    <t>SH11302</t>
  </si>
  <si>
    <t>SH11303</t>
  </si>
  <si>
    <t>SH11304</t>
  </si>
  <si>
    <t>SH11305</t>
  </si>
  <si>
    <t>SH11306</t>
  </si>
  <si>
    <t>SH11307</t>
  </si>
  <si>
    <t>SH11308</t>
  </si>
  <si>
    <t>SH11309</t>
  </si>
  <si>
    <t>SH11310</t>
  </si>
  <si>
    <t>SH11311</t>
  </si>
  <si>
    <t>SH11312</t>
  </si>
  <si>
    <t>SH11313</t>
  </si>
  <si>
    <t>SH11314</t>
  </si>
  <si>
    <t>SH11315</t>
  </si>
  <si>
    <t>SH11316</t>
  </si>
  <si>
    <t>SH11317</t>
  </si>
  <si>
    <t>SH11318</t>
  </si>
  <si>
    <t>SH11319</t>
  </si>
  <si>
    <t>SH11320</t>
  </si>
  <si>
    <t>SH11321</t>
  </si>
  <si>
    <t>SH11322</t>
  </si>
  <si>
    <t>SH11323</t>
  </si>
  <si>
    <t>SH11324</t>
  </si>
  <si>
    <t>SH11325</t>
  </si>
  <si>
    <t>SH11326</t>
  </si>
  <si>
    <t>SH11327</t>
  </si>
  <si>
    <t>SH11328</t>
  </si>
  <si>
    <t>SH11329</t>
  </si>
  <si>
    <t>SH11330</t>
  </si>
  <si>
    <t>SH11331</t>
  </si>
  <si>
    <t>SH11332</t>
  </si>
  <si>
    <t>SH11333</t>
  </si>
  <si>
    <t>SH11334</t>
  </si>
  <si>
    <t>SH11335</t>
  </si>
  <si>
    <t>SH11336</t>
  </si>
  <si>
    <t>SH11337</t>
  </si>
  <si>
    <t>SH11338</t>
  </si>
  <si>
    <t>SH11339</t>
  </si>
  <si>
    <t>SH11340</t>
  </si>
  <si>
    <t>SH11341</t>
  </si>
  <si>
    <t>SH11342</t>
  </si>
  <si>
    <t>SH11343</t>
  </si>
  <si>
    <t>SH11344</t>
  </si>
  <si>
    <t>SH11345</t>
  </si>
  <si>
    <t>SH11346</t>
  </si>
  <si>
    <t>SH11347</t>
  </si>
  <si>
    <t>SH11348</t>
  </si>
  <si>
    <t>SH11349</t>
  </si>
  <si>
    <t>SH11350</t>
  </si>
  <si>
    <t>SH11351</t>
  </si>
  <si>
    <t>SH11352</t>
  </si>
  <si>
    <t>SH11353</t>
  </si>
  <si>
    <t>SH11354</t>
  </si>
  <si>
    <t>SH11355</t>
  </si>
  <si>
    <t>SH11356</t>
  </si>
  <si>
    <t>SH11357</t>
  </si>
  <si>
    <t>SH11358</t>
  </si>
  <si>
    <t>SH11359</t>
  </si>
  <si>
    <t>SH11360</t>
  </si>
  <si>
    <t>SH11361</t>
  </si>
  <si>
    <t>SH11362</t>
  </si>
  <si>
    <t>SH11363</t>
  </si>
  <si>
    <t>SH11364</t>
  </si>
  <si>
    <t>SH11365</t>
  </si>
  <si>
    <t>SH11366</t>
  </si>
  <si>
    <t>SH11367</t>
  </si>
  <si>
    <t>SH11368</t>
  </si>
  <si>
    <t>SH11369</t>
  </si>
  <si>
    <t>SH11370</t>
  </si>
  <si>
    <t>SH11371</t>
  </si>
  <si>
    <t>SH11372</t>
  </si>
  <si>
    <t>SH11373</t>
  </si>
  <si>
    <t>SH11374</t>
  </si>
  <si>
    <t>SH11375</t>
  </si>
  <si>
    <t>SH11376</t>
  </si>
  <si>
    <t>SH11377</t>
  </si>
  <si>
    <t>SH11378</t>
  </si>
  <si>
    <t>SH11379</t>
  </si>
  <si>
    <t>SH11380</t>
  </si>
  <si>
    <t>SH11381</t>
  </si>
  <si>
    <t>SH11382</t>
  </si>
  <si>
    <t>SH11383</t>
  </si>
  <si>
    <t>SH11384</t>
  </si>
  <si>
    <t>SH11385</t>
  </si>
  <si>
    <t>SH11386</t>
  </si>
  <si>
    <t>SH11387</t>
  </si>
  <si>
    <t>SH11388</t>
  </si>
  <si>
    <t>SH11389</t>
  </si>
  <si>
    <t>SH11390</t>
  </si>
  <si>
    <t>SH11391</t>
  </si>
  <si>
    <t>SH11392</t>
  </si>
  <si>
    <t>SH11393</t>
  </si>
  <si>
    <t>SH11394</t>
  </si>
  <si>
    <t>SH11395</t>
  </si>
  <si>
    <t>SH11396</t>
  </si>
  <si>
    <t>SH11397</t>
  </si>
  <si>
    <t>SH11398</t>
  </si>
  <si>
    <t>SH11399</t>
  </si>
  <si>
    <t>SH11400</t>
  </si>
  <si>
    <t>SH11401</t>
  </si>
  <si>
    <t>SH11402</t>
  </si>
  <si>
    <t>SH11403</t>
  </si>
  <si>
    <t>SH11404</t>
  </si>
  <si>
    <t>SH11405</t>
  </si>
  <si>
    <t>SH11406</t>
  </si>
  <si>
    <t>SH11407</t>
  </si>
  <si>
    <t>SH11408</t>
  </si>
  <si>
    <t>SH11409</t>
  </si>
  <si>
    <t>SH11410</t>
  </si>
  <si>
    <t>SH11411</t>
  </si>
  <si>
    <t>SH11412</t>
  </si>
  <si>
    <t>SH11413</t>
  </si>
  <si>
    <t>SH11414</t>
  </si>
  <si>
    <t>SH11415</t>
  </si>
  <si>
    <t>SH11416</t>
  </si>
  <si>
    <t>SH11417</t>
  </si>
  <si>
    <t>SH11418</t>
  </si>
  <si>
    <t>SH11419</t>
  </si>
  <si>
    <t>SH11420</t>
  </si>
  <si>
    <t>SH11421</t>
  </si>
  <si>
    <t>SH11422</t>
  </si>
  <si>
    <t>SH11423</t>
  </si>
  <si>
    <t>SH11424</t>
  </si>
  <si>
    <t>SH11425</t>
  </si>
  <si>
    <t>SH11426</t>
  </si>
  <si>
    <t>SH11427</t>
  </si>
  <si>
    <t>SH11428</t>
  </si>
  <si>
    <t>SH11429</t>
  </si>
  <si>
    <t>SH11430</t>
  </si>
  <si>
    <t>SH11431</t>
  </si>
  <si>
    <t>SH11432</t>
  </si>
  <si>
    <t>SH11433</t>
  </si>
  <si>
    <t>SH11434</t>
  </si>
  <si>
    <t>SH11435</t>
  </si>
  <si>
    <t>SH11436</t>
  </si>
  <si>
    <t>SH11437</t>
  </si>
  <si>
    <t>SH11438</t>
  </si>
  <si>
    <t>SH11439</t>
  </si>
  <si>
    <t>SH11440</t>
  </si>
  <si>
    <t>SH11441</t>
  </si>
  <si>
    <t>SH11442</t>
  </si>
  <si>
    <t>SH11443</t>
  </si>
  <si>
    <t>SH11444</t>
  </si>
  <si>
    <t>SH11445</t>
  </si>
  <si>
    <t>SH11446</t>
  </si>
  <si>
    <t>SH11447</t>
  </si>
  <si>
    <t>SH11448</t>
  </si>
  <si>
    <t>SH11449</t>
  </si>
  <si>
    <t>SH11450</t>
  </si>
  <si>
    <t>SH11451</t>
  </si>
  <si>
    <t>SH11452</t>
  </si>
  <si>
    <t>SH11453</t>
  </si>
  <si>
    <t>SH11454</t>
  </si>
  <si>
    <t>SH11455</t>
  </si>
  <si>
    <t>SH11456</t>
  </si>
  <si>
    <t>SH11457</t>
  </si>
  <si>
    <t>SH11458</t>
  </si>
  <si>
    <t>SH11459</t>
  </si>
  <si>
    <t>SH11460</t>
  </si>
  <si>
    <t>SH11461</t>
  </si>
  <si>
    <t>SH11462</t>
  </si>
  <si>
    <t>SH11463</t>
  </si>
  <si>
    <t>SH11464</t>
  </si>
  <si>
    <t>SH11465</t>
  </si>
  <si>
    <t>SH11466</t>
  </si>
  <si>
    <t>SH11467</t>
  </si>
  <si>
    <t>SH11468</t>
  </si>
  <si>
    <t>SH11469</t>
  </si>
  <si>
    <t>SH11470</t>
  </si>
  <si>
    <t>SH11471</t>
  </si>
  <si>
    <t>SH11472</t>
  </si>
  <si>
    <t>SH11473</t>
  </si>
  <si>
    <t>SH11474</t>
  </si>
  <si>
    <t>SH11475</t>
  </si>
  <si>
    <t>SH11476</t>
  </si>
  <si>
    <t>SH11477</t>
  </si>
  <si>
    <t>SH11478</t>
  </si>
  <si>
    <t>SH11479</t>
  </si>
  <si>
    <t>SH11480</t>
  </si>
  <si>
    <t>SH11481</t>
  </si>
  <si>
    <t>SH11482</t>
  </si>
  <si>
    <t>SH11483</t>
  </si>
  <si>
    <t>SH11484</t>
  </si>
  <si>
    <t>SH11485</t>
  </si>
  <si>
    <t>SH11486</t>
  </si>
  <si>
    <t>SH11487</t>
  </si>
  <si>
    <t>SH11488</t>
  </si>
  <si>
    <t>SH11489</t>
  </si>
  <si>
    <t>SH11490</t>
  </si>
  <si>
    <t>SH11491</t>
  </si>
  <si>
    <t>SH11492</t>
  </si>
  <si>
    <t>SH11493</t>
  </si>
  <si>
    <t>SH11494</t>
  </si>
  <si>
    <t>SH11495</t>
  </si>
  <si>
    <t>SH11496</t>
  </si>
  <si>
    <t>SH11497</t>
  </si>
  <si>
    <t>SH11498</t>
  </si>
  <si>
    <t>SH11499</t>
  </si>
  <si>
    <t>SH11500</t>
  </si>
  <si>
    <t>SH11501</t>
  </si>
  <si>
    <t>SH11502</t>
  </si>
  <si>
    <t>SH11503</t>
  </si>
  <si>
    <t>SH11504</t>
  </si>
  <si>
    <t>SH11505</t>
  </si>
  <si>
    <t>SH11506</t>
  </si>
  <si>
    <t>SH11507</t>
  </si>
  <si>
    <t>SH11508</t>
  </si>
  <si>
    <t>SH11509</t>
  </si>
  <si>
    <t>SH11510</t>
  </si>
  <si>
    <t>SH11511</t>
  </si>
  <si>
    <t>SH11512</t>
  </si>
  <si>
    <t>SH11513</t>
  </si>
  <si>
    <t>SH11514</t>
  </si>
  <si>
    <t>SH11515</t>
  </si>
  <si>
    <t>SH11516</t>
  </si>
  <si>
    <t>SH11517</t>
  </si>
  <si>
    <t>SH11518</t>
  </si>
  <si>
    <t>SH11519</t>
  </si>
  <si>
    <t>SH11520</t>
  </si>
  <si>
    <t>SH11521</t>
  </si>
  <si>
    <t>SH11522</t>
  </si>
  <si>
    <t>SH11523</t>
  </si>
  <si>
    <t>SH11524</t>
  </si>
  <si>
    <t>SH11525</t>
  </si>
  <si>
    <t>SH11526</t>
  </si>
  <si>
    <t>SH11527</t>
  </si>
  <si>
    <t>SH11528</t>
  </si>
  <si>
    <t>SH11529</t>
  </si>
  <si>
    <t>SH11530</t>
  </si>
  <si>
    <t>SH11531</t>
  </si>
  <si>
    <t>SH11532</t>
  </si>
  <si>
    <t>SH11533</t>
  </si>
  <si>
    <t>SH11534</t>
  </si>
  <si>
    <t>SH11535</t>
  </si>
  <si>
    <t>SH11536</t>
  </si>
  <si>
    <t>SH11537</t>
  </si>
  <si>
    <t>SH11538</t>
  </si>
  <si>
    <t>SH11539</t>
  </si>
  <si>
    <t>SH11540</t>
  </si>
  <si>
    <t>SH11541</t>
  </si>
  <si>
    <t>SH11542</t>
  </si>
  <si>
    <t>SH11543</t>
  </si>
  <si>
    <t>SH11544</t>
  </si>
  <si>
    <t>SH11545</t>
  </si>
  <si>
    <t>SH11546</t>
  </si>
  <si>
    <t>SH11547</t>
  </si>
  <si>
    <t>SH11548</t>
  </si>
  <si>
    <t>SH11549</t>
  </si>
  <si>
    <t>SH11550</t>
  </si>
  <si>
    <t>SH11551</t>
  </si>
  <si>
    <t>SH11552</t>
  </si>
  <si>
    <t>SH11553</t>
  </si>
  <si>
    <t>SH11554</t>
  </si>
  <si>
    <t>SH11555</t>
  </si>
  <si>
    <t>SH11556</t>
  </si>
  <si>
    <t>SH11557</t>
  </si>
  <si>
    <t>SH11558</t>
  </si>
  <si>
    <t>SH11559</t>
  </si>
  <si>
    <t>SH11560</t>
  </si>
  <si>
    <t>SH11561</t>
  </si>
  <si>
    <t>SH11562</t>
  </si>
  <si>
    <t>SH11563</t>
  </si>
  <si>
    <t>SH11564</t>
  </si>
  <si>
    <t>SH11565</t>
  </si>
  <si>
    <t>SH11566</t>
  </si>
  <si>
    <t>SH11567</t>
  </si>
  <si>
    <t>SH11568</t>
  </si>
  <si>
    <t>SH11569</t>
  </si>
  <si>
    <t>SH11570</t>
  </si>
  <si>
    <t>SH11571</t>
  </si>
  <si>
    <t>SH11572</t>
  </si>
  <si>
    <t>SH11573</t>
  </si>
  <si>
    <t>SH11574</t>
  </si>
  <si>
    <t>SH11575</t>
  </si>
  <si>
    <t>SH11576</t>
  </si>
  <si>
    <t>SH11577</t>
  </si>
  <si>
    <t>SH11578</t>
  </si>
  <si>
    <t>SH11579</t>
  </si>
  <si>
    <t>SH11580</t>
  </si>
  <si>
    <t>SH11581</t>
  </si>
  <si>
    <t>SH11582</t>
  </si>
  <si>
    <t>SH11583</t>
  </si>
  <si>
    <t>SH11584</t>
  </si>
  <si>
    <t>SH11585</t>
  </si>
  <si>
    <t>SH11586</t>
  </si>
  <si>
    <t>SH11587</t>
  </si>
  <si>
    <t>SH11588</t>
  </si>
  <si>
    <t>SH11589</t>
  </si>
  <si>
    <t>SH11590</t>
  </si>
  <si>
    <t>SH11591</t>
  </si>
  <si>
    <t>SH11592</t>
  </si>
  <si>
    <t>SH11593</t>
  </si>
  <si>
    <t>SH11594</t>
  </si>
  <si>
    <t>SH11595</t>
  </si>
  <si>
    <t>SH11596</t>
  </si>
  <si>
    <t>SH11597</t>
  </si>
  <si>
    <t>SH11598</t>
  </si>
  <si>
    <t>SH11599</t>
  </si>
  <si>
    <t>SH11600</t>
  </si>
  <si>
    <t>SH11601</t>
  </si>
  <si>
    <t>SH11602</t>
  </si>
  <si>
    <t>SH11603</t>
  </si>
  <si>
    <t>SH11604</t>
  </si>
  <si>
    <t>SH11605</t>
  </si>
  <si>
    <t>SH11606</t>
  </si>
  <si>
    <t>SH11607</t>
  </si>
  <si>
    <t>SH11608</t>
  </si>
  <si>
    <t>SH11609</t>
  </si>
  <si>
    <t>SH11610</t>
  </si>
  <si>
    <t>SH11611</t>
  </si>
  <si>
    <t>SH11612</t>
  </si>
  <si>
    <t>SH11613</t>
  </si>
  <si>
    <t>SH11614</t>
  </si>
  <si>
    <t>SH11615</t>
  </si>
  <si>
    <t>SH11616</t>
  </si>
  <si>
    <t>SH11617</t>
  </si>
  <si>
    <t>SH11618</t>
  </si>
  <si>
    <t>SH11619</t>
  </si>
  <si>
    <t>SH11620</t>
  </si>
  <si>
    <t>SH11621</t>
  </si>
  <si>
    <t>SH11622</t>
  </si>
  <si>
    <t>SH11623</t>
  </si>
  <si>
    <t>SH11624</t>
  </si>
  <si>
    <t>SH11625</t>
  </si>
  <si>
    <t>SH11626</t>
  </si>
  <si>
    <t>SH11627</t>
  </si>
  <si>
    <t>SH11628</t>
  </si>
  <si>
    <t>SH11629</t>
  </si>
  <si>
    <t>SH11630</t>
  </si>
  <si>
    <t>SH11631</t>
  </si>
  <si>
    <t>SH11632</t>
  </si>
  <si>
    <t>SH11633</t>
  </si>
  <si>
    <t>SH11634</t>
  </si>
  <si>
    <t>SH11635</t>
  </si>
  <si>
    <t>SH11636</t>
  </si>
  <si>
    <t>SH11637</t>
  </si>
  <si>
    <t>SH11638</t>
  </si>
  <si>
    <t>SH11639</t>
  </si>
  <si>
    <t>SH11640</t>
  </si>
  <si>
    <t>SH11641</t>
  </si>
  <si>
    <t>SH11642</t>
  </si>
  <si>
    <t>SH11643</t>
  </si>
  <si>
    <t>SH11644</t>
  </si>
  <si>
    <t>SH11645</t>
  </si>
  <si>
    <t>SH11646</t>
  </si>
  <si>
    <t>SH11647</t>
  </si>
  <si>
    <t>SH11648</t>
  </si>
  <si>
    <t>SH11649</t>
  </si>
  <si>
    <t>SH11650</t>
  </si>
  <si>
    <t>SH11651</t>
  </si>
  <si>
    <t>SH11652</t>
  </si>
  <si>
    <t>SH11653</t>
  </si>
  <si>
    <t>SH11654</t>
  </si>
  <si>
    <t>SH11655</t>
  </si>
  <si>
    <t>SH11656</t>
  </si>
  <si>
    <t>SH11657</t>
  </si>
  <si>
    <t>SH11658</t>
  </si>
  <si>
    <t>SH11659</t>
  </si>
  <si>
    <t>SH11660</t>
  </si>
  <si>
    <t>SH11661</t>
  </si>
  <si>
    <t>SH11662</t>
  </si>
  <si>
    <t>SH11663</t>
  </si>
  <si>
    <t>SH11664</t>
  </si>
  <si>
    <t>SH11665</t>
  </si>
  <si>
    <t>SH11666</t>
  </si>
  <si>
    <t>SH11667</t>
  </si>
  <si>
    <t>SH11668</t>
  </si>
  <si>
    <t>SH11669</t>
  </si>
  <si>
    <t>SH11670</t>
  </si>
  <si>
    <t>SH11671</t>
  </si>
  <si>
    <t>SH11672</t>
  </si>
  <si>
    <t>SH11673</t>
  </si>
  <si>
    <t>SH11674</t>
  </si>
  <si>
    <t>SH11675</t>
  </si>
  <si>
    <t>SH11676</t>
  </si>
  <si>
    <t>SH11677</t>
  </si>
  <si>
    <t>SH11678</t>
  </si>
  <si>
    <t>SH11679</t>
  </si>
  <si>
    <t>SH11680</t>
  </si>
  <si>
    <t>SH11681</t>
  </si>
  <si>
    <t>SH11682</t>
  </si>
  <si>
    <t>SH11683</t>
  </si>
  <si>
    <t>SH11684</t>
  </si>
  <si>
    <t>SH11685</t>
  </si>
  <si>
    <t>SH11686</t>
  </si>
  <si>
    <t>SH11687</t>
  </si>
  <si>
    <t>SH11688</t>
  </si>
  <si>
    <t>SH11689</t>
  </si>
  <si>
    <t>SH11690</t>
  </si>
  <si>
    <t>SH11691</t>
  </si>
  <si>
    <t>SH11692</t>
  </si>
  <si>
    <t>SH11693</t>
  </si>
  <si>
    <t>SH11694</t>
  </si>
  <si>
    <t>SH11695</t>
  </si>
  <si>
    <t>SH11696</t>
  </si>
  <si>
    <t>SH11697</t>
  </si>
  <si>
    <t>SH11698</t>
  </si>
  <si>
    <t>SH11699</t>
  </si>
  <si>
    <t>SH11700</t>
  </si>
  <si>
    <t>SH11701</t>
  </si>
  <si>
    <t>SH11702</t>
  </si>
  <si>
    <t>SH11703</t>
  </si>
  <si>
    <t>SH11704</t>
  </si>
  <si>
    <t>SH11705</t>
  </si>
  <si>
    <t>SH11706</t>
  </si>
  <si>
    <t>SH11707</t>
  </si>
  <si>
    <t>SH11708</t>
  </si>
  <si>
    <t>SH11709</t>
  </si>
  <si>
    <t>SH11710</t>
  </si>
  <si>
    <t>SH11711</t>
  </si>
  <si>
    <t>SH11712</t>
  </si>
  <si>
    <t>SH11713</t>
  </si>
  <si>
    <t>SH11714</t>
  </si>
  <si>
    <t>SH11715</t>
  </si>
  <si>
    <t>SH11716</t>
  </si>
  <si>
    <t>SH11717</t>
  </si>
  <si>
    <t>SH11718</t>
  </si>
  <si>
    <t>SH11719</t>
  </si>
  <si>
    <t>SH11720</t>
  </si>
  <si>
    <t>SH11721</t>
  </si>
  <si>
    <t>SH11722</t>
  </si>
  <si>
    <t>SH11723</t>
  </si>
  <si>
    <t>SH11724</t>
  </si>
  <si>
    <t>SH11725</t>
  </si>
  <si>
    <t>SH11726</t>
  </si>
  <si>
    <t>SH11727</t>
  </si>
  <si>
    <t>SH11728</t>
  </si>
  <si>
    <t>SH11729</t>
  </si>
  <si>
    <t>SH11730</t>
  </si>
  <si>
    <t>SH11731</t>
  </si>
  <si>
    <t>SH11732</t>
  </si>
  <si>
    <t>SH11733</t>
  </si>
  <si>
    <t>SH11734</t>
  </si>
  <si>
    <t>SH11735</t>
  </si>
  <si>
    <t>SH11736</t>
  </si>
  <si>
    <t>SH11737</t>
  </si>
  <si>
    <t>SH11738</t>
  </si>
  <si>
    <t>SH11739</t>
  </si>
  <si>
    <t>SH11740</t>
  </si>
  <si>
    <t>SH11741</t>
  </si>
  <si>
    <t>SH11742</t>
  </si>
  <si>
    <t>SH11743</t>
  </si>
  <si>
    <t>SH11744</t>
  </si>
  <si>
    <t>SH11745</t>
  </si>
  <si>
    <t>SH11746</t>
  </si>
  <si>
    <t>SH11747</t>
  </si>
  <si>
    <t>SH11748</t>
  </si>
  <si>
    <t>SH11749</t>
  </si>
  <si>
    <t>SH11750</t>
  </si>
  <si>
    <t>SH11751</t>
  </si>
  <si>
    <t>SH11752</t>
  </si>
  <si>
    <t>SH11753</t>
  </si>
  <si>
    <t>SH11754</t>
  </si>
  <si>
    <t>SH11755</t>
  </si>
  <si>
    <t>SH11756</t>
  </si>
  <si>
    <t>SH11757</t>
  </si>
  <si>
    <t>SH11758</t>
  </si>
  <si>
    <t>SH11759</t>
  </si>
  <si>
    <t>SH11760</t>
  </si>
  <si>
    <t>SH11761</t>
  </si>
  <si>
    <t>SH11762</t>
  </si>
  <si>
    <t>SH11763</t>
  </si>
  <si>
    <t>SH11764</t>
  </si>
  <si>
    <t>SH11765</t>
  </si>
  <si>
    <t>SH11766</t>
  </si>
  <si>
    <t>SH11767</t>
  </si>
  <si>
    <t>SH11768</t>
  </si>
  <si>
    <t>SH11769</t>
  </si>
  <si>
    <t>SH11770</t>
  </si>
  <si>
    <t>SH11771</t>
  </si>
  <si>
    <t>SH11772</t>
  </si>
  <si>
    <t>SH11773</t>
  </si>
  <si>
    <t>SH11774</t>
  </si>
  <si>
    <t>SH11775</t>
  </si>
  <si>
    <t>SH11776</t>
  </si>
  <si>
    <t>SH11777</t>
  </si>
  <si>
    <t>SH11778</t>
  </si>
  <si>
    <t>SH11779</t>
  </si>
  <si>
    <t>SH11780</t>
  </si>
  <si>
    <t>SH11781</t>
  </si>
  <si>
    <t>SH11782</t>
  </si>
  <si>
    <t>SH11783</t>
  </si>
  <si>
    <t>SH11784</t>
  </si>
  <si>
    <t>SH11785</t>
  </si>
  <si>
    <t>SH11786</t>
  </si>
  <si>
    <t>SH11787</t>
  </si>
  <si>
    <t>SH11788</t>
  </si>
  <si>
    <t>SH11789</t>
  </si>
  <si>
    <t>SH11790</t>
  </si>
  <si>
    <t>SH11791</t>
  </si>
  <si>
    <t>SH11792</t>
  </si>
  <si>
    <t>SH11793</t>
  </si>
  <si>
    <t>SH11794</t>
  </si>
  <si>
    <t>SH11795</t>
  </si>
  <si>
    <t>SH11796</t>
  </si>
  <si>
    <t>SH11797</t>
  </si>
  <si>
    <t>SH11798</t>
  </si>
  <si>
    <t>SH11799</t>
  </si>
  <si>
    <t>SH11800</t>
  </si>
  <si>
    <t>SH11801</t>
  </si>
  <si>
    <t>SH11802</t>
  </si>
  <si>
    <t>SH11803</t>
  </si>
  <si>
    <t>SH11804</t>
  </si>
  <si>
    <t>SH11805</t>
  </si>
  <si>
    <t>SH11806</t>
  </si>
  <si>
    <t>SH11807</t>
  </si>
  <si>
    <t>SH11808</t>
  </si>
  <si>
    <t>SH11809</t>
  </si>
  <si>
    <t>SH11810</t>
  </si>
  <si>
    <t>SH11811</t>
  </si>
  <si>
    <t>SH11812</t>
  </si>
  <si>
    <t>SH11813</t>
  </si>
  <si>
    <t>SH11814</t>
  </si>
  <si>
    <t>SH11815</t>
  </si>
  <si>
    <t>SH11816</t>
  </si>
  <si>
    <t>SH11817</t>
  </si>
  <si>
    <t>SH11818</t>
  </si>
  <si>
    <t>SH11819</t>
  </si>
  <si>
    <t>SH11820</t>
  </si>
  <si>
    <t>SH11821</t>
  </si>
  <si>
    <t>SH11822</t>
  </si>
  <si>
    <t>SH11823</t>
  </si>
  <si>
    <t>SH11824</t>
  </si>
  <si>
    <t>SH11825</t>
  </si>
  <si>
    <t>SH11826</t>
  </si>
  <si>
    <t>SH11827</t>
  </si>
  <si>
    <t>SH11828</t>
  </si>
  <si>
    <t>SH11829</t>
  </si>
  <si>
    <t>SH11830</t>
  </si>
  <si>
    <t>SH11831</t>
  </si>
  <si>
    <t>SH11832</t>
  </si>
  <si>
    <t>SH11833</t>
  </si>
  <si>
    <t>SH11834</t>
  </si>
  <si>
    <t>SH11835</t>
  </si>
  <si>
    <t>SH11836</t>
  </si>
  <si>
    <t>SH11837</t>
  </si>
  <si>
    <t>SH11838</t>
  </si>
  <si>
    <t>SH11839</t>
  </si>
  <si>
    <t>SH11840</t>
  </si>
  <si>
    <t>SH11841</t>
  </si>
  <si>
    <t>SH11842</t>
  </si>
  <si>
    <t>SH11843</t>
  </si>
  <si>
    <t>SH11844</t>
  </si>
  <si>
    <t>SH11845</t>
  </si>
  <si>
    <t>SH11846</t>
  </si>
  <si>
    <t>SH11847</t>
  </si>
  <si>
    <t>SH11848</t>
  </si>
  <si>
    <t>SH11849</t>
  </si>
  <si>
    <t>SH11850</t>
  </si>
  <si>
    <t>SH11851</t>
  </si>
  <si>
    <t>SH11852</t>
  </si>
  <si>
    <t>SH11853</t>
  </si>
  <si>
    <t>SH11854</t>
  </si>
  <si>
    <t>SH11855</t>
  </si>
  <si>
    <t>SH11856</t>
  </si>
  <si>
    <t>SH11857</t>
  </si>
  <si>
    <t>SH11858</t>
  </si>
  <si>
    <t>SH11859</t>
  </si>
  <si>
    <t>SH11860</t>
  </si>
  <si>
    <t>SH11861</t>
  </si>
  <si>
    <t>SH11862</t>
  </si>
  <si>
    <t>SH11863</t>
  </si>
  <si>
    <t>SH11864</t>
  </si>
  <si>
    <t>SH11865</t>
  </si>
  <si>
    <t>SH11866</t>
  </si>
  <si>
    <t>SH11867</t>
  </si>
  <si>
    <t>SH11868</t>
  </si>
  <si>
    <t>SH11869</t>
  </si>
  <si>
    <t>SH11870</t>
  </si>
  <si>
    <t>SH11871</t>
  </si>
  <si>
    <t>SH11872</t>
  </si>
  <si>
    <t>SH11873</t>
  </si>
  <si>
    <t>SH11874</t>
  </si>
  <si>
    <t>SH11875</t>
  </si>
  <si>
    <t>SH11876</t>
  </si>
  <si>
    <t>SH11877</t>
  </si>
  <si>
    <t>SH11878</t>
  </si>
  <si>
    <t>SH11879</t>
  </si>
  <si>
    <t>SH11880</t>
  </si>
  <si>
    <t>SH11881</t>
  </si>
  <si>
    <t>SH11882</t>
  </si>
  <si>
    <t>SH11883</t>
  </si>
  <si>
    <t>SH11884</t>
  </si>
  <si>
    <t>SH11885</t>
  </si>
  <si>
    <t>SH11886</t>
  </si>
  <si>
    <t>SH11887</t>
  </si>
  <si>
    <t>SH11888</t>
  </si>
  <si>
    <t>SH11889</t>
  </si>
  <si>
    <t>SH11890</t>
  </si>
  <si>
    <t>SH11891</t>
  </si>
  <si>
    <t>SH11892</t>
  </si>
  <si>
    <t>SH11893</t>
  </si>
  <si>
    <t>SH11894</t>
  </si>
  <si>
    <t>SH11895</t>
  </si>
  <si>
    <t>SH11896</t>
  </si>
  <si>
    <t>SH11897</t>
  </si>
  <si>
    <t>SH11898</t>
  </si>
  <si>
    <t>SH11899</t>
  </si>
  <si>
    <t>SH11900</t>
  </si>
  <si>
    <t>SH11901</t>
  </si>
  <si>
    <t>SH11902</t>
  </si>
  <si>
    <t>SH11903</t>
  </si>
  <si>
    <t>SH11904</t>
  </si>
  <si>
    <t>SH11905</t>
  </si>
  <si>
    <t>SH11906</t>
  </si>
  <si>
    <t>SH11907</t>
  </si>
  <si>
    <t>SH11908</t>
  </si>
  <si>
    <t>SH11909</t>
  </si>
  <si>
    <t>SH11910</t>
  </si>
  <si>
    <t>SH11911</t>
  </si>
  <si>
    <t>SH11912</t>
  </si>
  <si>
    <t>SH11913</t>
  </si>
  <si>
    <t>SH11914</t>
  </si>
  <si>
    <t>SH11915</t>
  </si>
  <si>
    <t>SH11916</t>
  </si>
  <si>
    <t>SH11917</t>
  </si>
  <si>
    <t>SH11918</t>
  </si>
  <si>
    <t>SH11919</t>
  </si>
  <si>
    <t>SH11920</t>
  </si>
  <si>
    <t>SH11921</t>
  </si>
  <si>
    <t>SH11922</t>
  </si>
  <si>
    <t>SH11923</t>
  </si>
  <si>
    <t>SH11924</t>
  </si>
  <si>
    <t>SH11925</t>
  </si>
  <si>
    <t>SH11926</t>
  </si>
  <si>
    <t>SH11927</t>
  </si>
  <si>
    <t>SH11928</t>
  </si>
  <si>
    <t>SH11929</t>
  </si>
  <si>
    <t>SH11930</t>
  </si>
  <si>
    <t>SH11931</t>
  </si>
  <si>
    <t>SH11932</t>
  </si>
  <si>
    <t>SH11933</t>
  </si>
  <si>
    <t>SH11934</t>
  </si>
  <si>
    <t>SH11935</t>
  </si>
  <si>
    <t>SH11936</t>
  </si>
  <si>
    <t>SH11937</t>
  </si>
  <si>
    <t>SH11938</t>
  </si>
  <si>
    <t>SH11939</t>
  </si>
  <si>
    <t>SH11940</t>
  </si>
  <si>
    <t>SH11941</t>
  </si>
  <si>
    <t>SH11942</t>
  </si>
  <si>
    <t>SH11943</t>
  </si>
  <si>
    <t>SH11944</t>
  </si>
  <si>
    <t>SH11945</t>
  </si>
  <si>
    <t>SH11946</t>
  </si>
  <si>
    <t>SH11947</t>
  </si>
  <si>
    <t>SH11948</t>
  </si>
  <si>
    <t>SH11949</t>
  </si>
  <si>
    <t>SH11950</t>
  </si>
  <si>
    <t>SH11951</t>
  </si>
  <si>
    <t>SH11952</t>
  </si>
  <si>
    <t>SH11953</t>
  </si>
  <si>
    <t>SH11954</t>
  </si>
  <si>
    <t>SH11955</t>
  </si>
  <si>
    <t>SH11956</t>
  </si>
  <si>
    <t>SH11957</t>
  </si>
  <si>
    <t>SH11958</t>
  </si>
  <si>
    <t>SH11959</t>
  </si>
  <si>
    <t>SH11960</t>
  </si>
  <si>
    <t>SH11961</t>
  </si>
  <si>
    <t>SH11962</t>
  </si>
  <si>
    <t>SH11963</t>
  </si>
  <si>
    <t>SH11964</t>
  </si>
  <si>
    <t>SH11965</t>
  </si>
  <si>
    <t>SH11966</t>
  </si>
  <si>
    <t>SH11967</t>
  </si>
  <si>
    <t>SH11968</t>
  </si>
  <si>
    <t>SH11969</t>
  </si>
  <si>
    <t>SH11970</t>
  </si>
  <si>
    <t>SH11971</t>
  </si>
  <si>
    <t>SH11972</t>
  </si>
  <si>
    <t>SH11973</t>
  </si>
  <si>
    <t>SH11974</t>
  </si>
  <si>
    <t>SH11975</t>
  </si>
  <si>
    <t>SH11976</t>
  </si>
  <si>
    <t>SH11977</t>
  </si>
  <si>
    <t>SH11978</t>
  </si>
  <si>
    <t>SH11979</t>
  </si>
  <si>
    <t>SH11980</t>
  </si>
  <si>
    <t>SH11981</t>
  </si>
  <si>
    <t>SH11982</t>
  </si>
  <si>
    <t>SH11983</t>
  </si>
  <si>
    <t>SH11984</t>
  </si>
  <si>
    <t>SH11985</t>
  </si>
  <si>
    <t>SH11986</t>
  </si>
  <si>
    <t>SH11987</t>
  </si>
  <si>
    <t>SH11988</t>
  </si>
  <si>
    <t>SH11989</t>
  </si>
  <si>
    <t>SH11990</t>
  </si>
  <si>
    <t>SH11991</t>
  </si>
  <si>
    <t>SH11992</t>
  </si>
  <si>
    <t>SH11993</t>
  </si>
  <si>
    <t>SH11994</t>
  </si>
  <si>
    <t>SH11995</t>
  </si>
  <si>
    <t>SH11996</t>
  </si>
  <si>
    <t>SH11997</t>
  </si>
  <si>
    <t>SH11998</t>
  </si>
  <si>
    <t>SH11999</t>
  </si>
  <si>
    <t>Orginal staus of shipment</t>
  </si>
  <si>
    <t>cost per mile</t>
  </si>
  <si>
    <t>delivery effciency</t>
  </si>
  <si>
    <t>Row Labels</t>
  </si>
  <si>
    <t>Grand Total</t>
  </si>
  <si>
    <t>Count of Shipment_ID</t>
  </si>
  <si>
    <t>Sum of Cost</t>
  </si>
  <si>
    <t>Average of Transit_Days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</si>
</sst>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7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74" formatCode="0.0000"/>
    </dxf>
    <dxf>
      <numFmt numFmtId="0" formatCode="General"/>
    </dxf>
    <dxf>
      <numFmt numFmtId="2" formatCode="0.00"/>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 Status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32946148317867"/>
          <c:y val="0.1692889481326153"/>
          <c:w val="0.43127491569358534"/>
          <c:h val="0.78626659186932346"/>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Lit>
              <c:ptCount val="5"/>
              <c:pt idx="0">
                <c:v>Delayed</c:v>
              </c:pt>
              <c:pt idx="1">
                <c:v>Delivered</c:v>
              </c:pt>
              <c:pt idx="2">
                <c:v>In Transit</c:v>
              </c:pt>
              <c:pt idx="3">
                <c:v>Lost</c:v>
              </c:pt>
              <c:pt idx="4">
                <c:v>Returned</c:v>
              </c:pt>
            </c:strLit>
          </c:cat>
          <c:val>
            <c:numLit>
              <c:formatCode>General</c:formatCode>
              <c:ptCount val="5"/>
              <c:pt idx="0">
                <c:v>194</c:v>
              </c:pt>
              <c:pt idx="1">
                <c:v>1697</c:v>
              </c:pt>
              <c:pt idx="2">
                <c:v>32</c:v>
              </c:pt>
              <c:pt idx="3">
                <c:v>45</c:v>
              </c:pt>
              <c:pt idx="4">
                <c:v>32</c:v>
              </c:pt>
            </c:numLit>
          </c:val>
          <c:extLst>
            <c:ext xmlns:c16="http://schemas.microsoft.com/office/drawing/2014/chart" uri="{C3380CC4-5D6E-409C-BE32-E72D297353CC}">
              <c16:uniqueId val="{00000000-AABE-4323-81A1-F112EA27581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2204286308476606"/>
          <c:y val="0.49154409336582106"/>
          <c:w val="0.16059930860671062"/>
          <c:h val="0.41444058963016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Cost by Destination</a:t>
            </a:r>
            <a:endParaRPr lang="en-US"/>
          </a:p>
        </c:rich>
      </c:tx>
      <c:layout>
        <c:manualLayout>
          <c:xMode val="edge"/>
          <c:yMode val="edge"/>
          <c:x val="0.31401378950585795"/>
          <c:y val="3.17674772740548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5"/>
              <c:pt idx="0">
                <c:v>Atlanta</c:v>
              </c:pt>
              <c:pt idx="1">
                <c:v>Boston</c:v>
              </c:pt>
              <c:pt idx="2">
                <c:v>Chicago</c:v>
              </c:pt>
              <c:pt idx="3">
                <c:v>Dallas</c:v>
              </c:pt>
              <c:pt idx="4">
                <c:v>Denver</c:v>
              </c:pt>
              <c:pt idx="5">
                <c:v>Detroit</c:v>
              </c:pt>
              <c:pt idx="6">
                <c:v>Houston</c:v>
              </c:pt>
              <c:pt idx="7">
                <c:v>Los Angeles</c:v>
              </c:pt>
              <c:pt idx="8">
                <c:v>Miami</c:v>
              </c:pt>
              <c:pt idx="9">
                <c:v>Minneapolis</c:v>
              </c:pt>
              <c:pt idx="10">
                <c:v>New York</c:v>
              </c:pt>
              <c:pt idx="11">
                <c:v>Phoenix</c:v>
              </c:pt>
              <c:pt idx="12">
                <c:v>Portland</c:v>
              </c:pt>
              <c:pt idx="13">
                <c:v>San Francisco</c:v>
              </c:pt>
              <c:pt idx="14">
                <c:v>Seattle</c:v>
              </c:pt>
            </c:strLit>
          </c:cat>
          <c:val>
            <c:numLit>
              <c:formatCode>General</c:formatCode>
              <c:ptCount val="15"/>
              <c:pt idx="0">
                <c:v>24708.849999999991</c:v>
              </c:pt>
              <c:pt idx="1">
                <c:v>26534.290000000005</c:v>
              </c:pt>
              <c:pt idx="2">
                <c:v>29633.420000000009</c:v>
              </c:pt>
              <c:pt idx="3">
                <c:v>26859.59</c:v>
              </c:pt>
              <c:pt idx="4">
                <c:v>24703.249999999993</c:v>
              </c:pt>
              <c:pt idx="5">
                <c:v>32129.200000000004</c:v>
              </c:pt>
              <c:pt idx="6">
                <c:v>25566.819999999989</c:v>
              </c:pt>
              <c:pt idx="7">
                <c:v>24638.689999999995</c:v>
              </c:pt>
              <c:pt idx="8">
                <c:v>24231.160000000003</c:v>
              </c:pt>
              <c:pt idx="9">
                <c:v>28788.770000000011</c:v>
              </c:pt>
              <c:pt idx="10">
                <c:v>23244.549999999992</c:v>
              </c:pt>
              <c:pt idx="11">
                <c:v>27353.96999999999</c:v>
              </c:pt>
              <c:pt idx="12">
                <c:v>30190.39</c:v>
              </c:pt>
              <c:pt idx="13">
                <c:v>31443.86</c:v>
              </c:pt>
              <c:pt idx="14">
                <c:v>21884.759999999991</c:v>
              </c:pt>
            </c:numLit>
          </c:val>
          <c:extLst>
            <c:ext xmlns:c16="http://schemas.microsoft.com/office/drawing/2014/chart" uri="{C3380CC4-5D6E-409C-BE32-E72D297353CC}">
              <c16:uniqueId val="{00000000-B12C-47A2-8E78-C5FDC8F18DD7}"/>
            </c:ext>
          </c:extLst>
        </c:ser>
        <c:dLbls>
          <c:dLblPos val="inEnd"/>
          <c:showLegendKey val="0"/>
          <c:showVal val="1"/>
          <c:showCatName val="0"/>
          <c:showSerName val="0"/>
          <c:showPercent val="0"/>
          <c:showBubbleSize val="0"/>
        </c:dLbls>
        <c:gapWidth val="100"/>
        <c:overlap val="-24"/>
        <c:axId val="1542658591"/>
        <c:axId val="1542651871"/>
      </c:barChart>
      <c:catAx>
        <c:axId val="1542658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651871"/>
        <c:crosses val="autoZero"/>
        <c:auto val="1"/>
        <c:lblAlgn val="ctr"/>
        <c:lblOffset val="100"/>
        <c:noMultiLvlLbl val="0"/>
      </c:catAx>
      <c:valAx>
        <c:axId val="1542651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6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Shipments by Carrier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Amazon Logistics</c:v>
              </c:pt>
              <c:pt idx="1">
                <c:v>DHL</c:v>
              </c:pt>
              <c:pt idx="2">
                <c:v>FedEx</c:v>
              </c:pt>
              <c:pt idx="3">
                <c:v>LaserShip</c:v>
              </c:pt>
              <c:pt idx="4">
                <c:v>OnTrac</c:v>
              </c:pt>
              <c:pt idx="5">
                <c:v>UPS</c:v>
              </c:pt>
              <c:pt idx="6">
                <c:v>USPS</c:v>
              </c:pt>
            </c:strLit>
          </c:cat>
          <c:val>
            <c:numLit>
              <c:formatCode>General</c:formatCode>
              <c:ptCount val="7"/>
              <c:pt idx="0">
                <c:v>274</c:v>
              </c:pt>
              <c:pt idx="1">
                <c:v>281</c:v>
              </c:pt>
              <c:pt idx="2">
                <c:v>295</c:v>
              </c:pt>
              <c:pt idx="3">
                <c:v>303</c:v>
              </c:pt>
              <c:pt idx="4">
                <c:v>299</c:v>
              </c:pt>
              <c:pt idx="5">
                <c:v>256</c:v>
              </c:pt>
              <c:pt idx="6">
                <c:v>292</c:v>
              </c:pt>
            </c:numLit>
          </c:val>
          <c:extLst>
            <c:ext xmlns:c16="http://schemas.microsoft.com/office/drawing/2014/chart" uri="{C3380CC4-5D6E-409C-BE32-E72D297353CC}">
              <c16:uniqueId val="{00000000-E05A-424A-BB21-0EAAFC3C235A}"/>
            </c:ext>
          </c:extLst>
        </c:ser>
        <c:dLbls>
          <c:showLegendKey val="0"/>
          <c:showVal val="0"/>
          <c:showCatName val="0"/>
          <c:showSerName val="0"/>
          <c:showPercent val="0"/>
          <c:showBubbleSize val="0"/>
        </c:dLbls>
        <c:gapWidth val="115"/>
        <c:overlap val="-20"/>
        <c:axId val="1542677311"/>
        <c:axId val="1542672511"/>
      </c:barChart>
      <c:catAx>
        <c:axId val="1542677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672511"/>
        <c:crosses val="autoZero"/>
        <c:auto val="1"/>
        <c:lblAlgn val="ctr"/>
        <c:lblOffset val="100"/>
        <c:noMultiLvlLbl val="0"/>
      </c:catAx>
      <c:valAx>
        <c:axId val="1542672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6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Delivery Time by Carrier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Amazon Logistics</c:v>
              </c:pt>
              <c:pt idx="1">
                <c:v>DHL</c:v>
              </c:pt>
              <c:pt idx="2">
                <c:v>FedEx</c:v>
              </c:pt>
              <c:pt idx="3">
                <c:v>LaserShip</c:v>
              </c:pt>
              <c:pt idx="4">
                <c:v>OnTrac</c:v>
              </c:pt>
              <c:pt idx="5">
                <c:v>UPS</c:v>
              </c:pt>
              <c:pt idx="6">
                <c:v>USPS</c:v>
              </c:pt>
            </c:strLit>
          </c:cat>
          <c:val>
            <c:numLit>
              <c:formatCode>General</c:formatCode>
              <c:ptCount val="7"/>
              <c:pt idx="0">
                <c:v>4.3248175182481754</c:v>
              </c:pt>
              <c:pt idx="1">
                <c:v>4.2704626334519569</c:v>
              </c:pt>
              <c:pt idx="2">
                <c:v>4.3016949152542372</c:v>
              </c:pt>
              <c:pt idx="3">
                <c:v>4.0363036303630366</c:v>
              </c:pt>
              <c:pt idx="4">
                <c:v>4.1170568561872907</c:v>
              </c:pt>
              <c:pt idx="5">
                <c:v>4.19921875</c:v>
              </c:pt>
              <c:pt idx="6">
                <c:v>4.0479452054794525</c:v>
              </c:pt>
            </c:numLit>
          </c:val>
          <c:extLst>
            <c:ext xmlns:c16="http://schemas.microsoft.com/office/drawing/2014/chart" uri="{C3380CC4-5D6E-409C-BE32-E72D297353CC}">
              <c16:uniqueId val="{00000000-C1CA-4334-82FF-DFCE0E27B1E6}"/>
            </c:ext>
          </c:extLst>
        </c:ser>
        <c:dLbls>
          <c:showLegendKey val="0"/>
          <c:showVal val="0"/>
          <c:showCatName val="0"/>
          <c:showSerName val="0"/>
          <c:showPercent val="0"/>
          <c:showBubbleSize val="0"/>
        </c:dLbls>
        <c:gapWidth val="115"/>
        <c:overlap val="-20"/>
        <c:axId val="1352120415"/>
        <c:axId val="1352118975"/>
      </c:barChart>
      <c:catAx>
        <c:axId val="1352120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118975"/>
        <c:crosses val="autoZero"/>
        <c:auto val="1"/>
        <c:lblAlgn val="ctr"/>
        <c:lblOffset val="100"/>
        <c:noMultiLvlLbl val="0"/>
      </c:catAx>
      <c:valAx>
        <c:axId val="13521189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12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15550</xdr:colOff>
      <xdr:row>30</xdr:row>
      <xdr:rowOff>93307</xdr:rowOff>
    </xdr:from>
    <xdr:to>
      <xdr:col>8</xdr:col>
      <xdr:colOff>15550</xdr:colOff>
      <xdr:row>51</xdr:row>
      <xdr:rowOff>102638</xdr:rowOff>
    </xdr:to>
    <xdr:graphicFrame macro="">
      <xdr:nvGraphicFramePr>
        <xdr:cNvPr id="2" name="Chart 1">
          <a:extLst>
            <a:ext uri="{FF2B5EF4-FFF2-40B4-BE49-F238E27FC236}">
              <a16:creationId xmlns:a16="http://schemas.microsoft.com/office/drawing/2014/main" id="{241F12DD-0FDB-283A-C742-5A8D5F37D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30</xdr:row>
      <xdr:rowOff>46654</xdr:rowOff>
    </xdr:from>
    <xdr:to>
      <xdr:col>19</xdr:col>
      <xdr:colOff>279919</xdr:colOff>
      <xdr:row>51</xdr:row>
      <xdr:rowOff>93307</xdr:rowOff>
    </xdr:to>
    <xdr:graphicFrame macro="">
      <xdr:nvGraphicFramePr>
        <xdr:cNvPr id="3" name="Chart 2">
          <a:extLst>
            <a:ext uri="{FF2B5EF4-FFF2-40B4-BE49-F238E27FC236}">
              <a16:creationId xmlns:a16="http://schemas.microsoft.com/office/drawing/2014/main" id="{8AC37AA6-0936-2731-E997-24E4CAB9D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1051395</xdr:colOff>
      <xdr:row>5</xdr:row>
      <xdr:rowOff>44711</xdr:rowOff>
    </xdr:from>
    <xdr:to>
      <xdr:col>19</xdr:col>
      <xdr:colOff>100597</xdr:colOff>
      <xdr:row>25</xdr:row>
      <xdr:rowOff>98898</xdr:rowOff>
    </xdr:to>
    <xdr:graphicFrame macro="">
      <xdr:nvGraphicFramePr>
        <xdr:cNvPr id="4" name="Chart 3">
          <a:extLst>
            <a:ext uri="{FF2B5EF4-FFF2-40B4-BE49-F238E27FC236}">
              <a16:creationId xmlns:a16="http://schemas.microsoft.com/office/drawing/2014/main" id="{2569D4B3-B703-9976-29AF-72A1C28E4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1024087</xdr:colOff>
      <xdr:row>4</xdr:row>
      <xdr:rowOff>156084</xdr:rowOff>
    </xdr:from>
    <xdr:to>
      <xdr:col>8</xdr:col>
      <xdr:colOff>108856</xdr:colOff>
      <xdr:row>25</xdr:row>
      <xdr:rowOff>15550</xdr:rowOff>
    </xdr:to>
    <xdr:graphicFrame macro="">
      <xdr:nvGraphicFramePr>
        <xdr:cNvPr id="5" name="Chart 4">
          <a:extLst>
            <a:ext uri="{FF2B5EF4-FFF2-40B4-BE49-F238E27FC236}">
              <a16:creationId xmlns:a16="http://schemas.microsoft.com/office/drawing/2014/main" id="{E5D0CB04-8350-F4CA-BD6B-84DABD1F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777551</xdr:colOff>
      <xdr:row>0</xdr:row>
      <xdr:rowOff>110837</xdr:rowOff>
    </xdr:from>
    <xdr:to>
      <xdr:col>12</xdr:col>
      <xdr:colOff>155510</xdr:colOff>
      <xdr:row>3</xdr:row>
      <xdr:rowOff>124408</xdr:rowOff>
    </xdr:to>
    <xdr:sp macro="" textlink="">
      <xdr:nvSpPr>
        <xdr:cNvPr id="7" name="TextBox 6">
          <a:extLst>
            <a:ext uri="{FF2B5EF4-FFF2-40B4-BE49-F238E27FC236}">
              <a16:creationId xmlns:a16="http://schemas.microsoft.com/office/drawing/2014/main" id="{C56C5AB9-B43A-6F15-00C8-5A588079636E}"/>
            </a:ext>
          </a:extLst>
        </xdr:cNvPr>
        <xdr:cNvSpPr txBox="1"/>
      </xdr:nvSpPr>
      <xdr:spPr>
        <a:xfrm>
          <a:off x="5784980" y="110837"/>
          <a:ext cx="6018244" cy="57340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rPr>
            <a:t>Logistics</a:t>
          </a:r>
          <a:r>
            <a:rPr lang="en-IN" sz="2800" baseline="0">
              <a:solidFill>
                <a:schemeClr val="bg1"/>
              </a:solidFill>
            </a:rPr>
            <a:t> Performance D</a:t>
          </a:r>
          <a:r>
            <a:rPr lang="en-IN" sz="2800">
              <a:solidFill>
                <a:schemeClr val="bg1"/>
              </a:solidFill>
            </a:rPr>
            <a:t>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1</xdr:row>
      <xdr:rowOff>137160</xdr:rowOff>
    </xdr:from>
    <xdr:to>
      <xdr:col>6</xdr:col>
      <xdr:colOff>76200</xdr:colOff>
      <xdr:row>15</xdr:row>
      <xdr:rowOff>43815</xdr:rowOff>
    </xdr:to>
    <mc:AlternateContent xmlns:mc="http://schemas.openxmlformats.org/markup-compatibility/2006">
      <mc:Choice xmlns:a14="http://schemas.microsoft.com/office/drawing/2010/main" Requires="a14">
        <xdr:graphicFrame macro="">
          <xdr:nvGraphicFramePr>
            <xdr:cNvPr id="2" name="Carrier">
              <a:extLst>
                <a:ext uri="{FF2B5EF4-FFF2-40B4-BE49-F238E27FC236}">
                  <a16:creationId xmlns:a16="http://schemas.microsoft.com/office/drawing/2014/main" id="{84475C17-1F30-D2F3-59BD-71C15B498F39}"/>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319278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refreshedDate="46103.71001145833" createdVersion="8" refreshedVersion="8" minRefreshableVersion="3" recordCount="2000" xr:uid="{877FD8EF-9F42-4C42-9F35-7E2CD6D384F9}">
  <cacheSource type="worksheet">
    <worksheetSource name="logistics_data"/>
  </cacheSource>
  <cacheFields count="14">
    <cacheField name="Shipment_ID" numFmtId="0">
      <sharedItems count="2000">
        <s v="SH10000"/>
        <s v="SH10001"/>
        <s v="SH10002"/>
        <s v="SH10003"/>
        <s v="SH10004"/>
        <s v="SH10005"/>
        <s v="SH10006"/>
        <s v="SH10007"/>
        <s v="SH10008"/>
        <s v="SH10009"/>
        <s v="SH10010"/>
        <s v="SH10011"/>
        <s v="SH10012"/>
        <s v="SH10013"/>
        <s v="SH10014"/>
        <s v="SH10015"/>
        <s v="SH10016"/>
        <s v="SH10017"/>
        <s v="SH10018"/>
        <s v="SH10019"/>
        <s v="SH10020"/>
        <s v="SH10021"/>
        <s v="SH10022"/>
        <s v="SH10023"/>
        <s v="SH10024"/>
        <s v="SH10025"/>
        <s v="SH10026"/>
        <s v="SH10027"/>
        <s v="SH10028"/>
        <s v="SH10029"/>
        <s v="SH10030"/>
        <s v="SH10031"/>
        <s v="SH10032"/>
        <s v="SH10033"/>
        <s v="SH10034"/>
        <s v="SH10035"/>
        <s v="SH10036"/>
        <s v="SH10037"/>
        <s v="SH10038"/>
        <s v="SH10039"/>
        <s v="SH10040"/>
        <s v="SH10041"/>
        <s v="SH10042"/>
        <s v="SH10043"/>
        <s v="SH10044"/>
        <s v="SH10045"/>
        <s v="SH10046"/>
        <s v="SH10047"/>
        <s v="SH10048"/>
        <s v="SH10049"/>
        <s v="SH10050"/>
        <s v="SH10051"/>
        <s v="SH10052"/>
        <s v="SH10053"/>
        <s v="SH10054"/>
        <s v="SH10055"/>
        <s v="SH10056"/>
        <s v="SH10057"/>
        <s v="SH10058"/>
        <s v="SH10059"/>
        <s v="SH10060"/>
        <s v="SH10061"/>
        <s v="SH10062"/>
        <s v="SH10063"/>
        <s v="SH10064"/>
        <s v="SH10065"/>
        <s v="SH10066"/>
        <s v="SH10067"/>
        <s v="SH10068"/>
        <s v="SH10069"/>
        <s v="SH10070"/>
        <s v="SH10071"/>
        <s v="SH10072"/>
        <s v="SH10073"/>
        <s v="SH10074"/>
        <s v="SH10075"/>
        <s v="SH10076"/>
        <s v="SH10077"/>
        <s v="SH10078"/>
        <s v="SH10079"/>
        <s v="SH10080"/>
        <s v="SH10081"/>
        <s v="SH10082"/>
        <s v="SH10083"/>
        <s v="SH10084"/>
        <s v="SH10085"/>
        <s v="SH10086"/>
        <s v="SH10087"/>
        <s v="SH10088"/>
        <s v="SH10089"/>
        <s v="SH10090"/>
        <s v="SH10091"/>
        <s v="SH10092"/>
        <s v="SH10093"/>
        <s v="SH10094"/>
        <s v="SH10095"/>
        <s v="SH10096"/>
        <s v="SH10097"/>
        <s v="SH10098"/>
        <s v="SH10099"/>
        <s v="SH10100"/>
        <s v="SH10101"/>
        <s v="SH10102"/>
        <s v="SH10103"/>
        <s v="SH10104"/>
        <s v="SH10105"/>
        <s v="SH10106"/>
        <s v="SH10107"/>
        <s v="SH10108"/>
        <s v="SH10109"/>
        <s v="SH10110"/>
        <s v="SH10111"/>
        <s v="SH10112"/>
        <s v="SH10113"/>
        <s v="SH10114"/>
        <s v="SH10115"/>
        <s v="SH10116"/>
        <s v="SH10117"/>
        <s v="SH10118"/>
        <s v="SH10119"/>
        <s v="SH10120"/>
        <s v="SH10121"/>
        <s v="SH10122"/>
        <s v="SH10123"/>
        <s v="SH10124"/>
        <s v="SH10125"/>
        <s v="SH10126"/>
        <s v="SH10127"/>
        <s v="SH10128"/>
        <s v="SH10129"/>
        <s v="SH10130"/>
        <s v="SH10131"/>
        <s v="SH10132"/>
        <s v="SH10133"/>
        <s v="SH10134"/>
        <s v="SH10135"/>
        <s v="SH10136"/>
        <s v="SH10137"/>
        <s v="SH10138"/>
        <s v="SH10139"/>
        <s v="SH10140"/>
        <s v="SH10141"/>
        <s v="SH10142"/>
        <s v="SH10143"/>
        <s v="SH10144"/>
        <s v="SH10145"/>
        <s v="SH10146"/>
        <s v="SH10147"/>
        <s v="SH10148"/>
        <s v="SH10149"/>
        <s v="SH10150"/>
        <s v="SH10151"/>
        <s v="SH10152"/>
        <s v="SH10153"/>
        <s v="SH10154"/>
        <s v="SH10155"/>
        <s v="SH10156"/>
        <s v="SH10157"/>
        <s v="SH10158"/>
        <s v="SH10159"/>
        <s v="SH10160"/>
        <s v="SH10161"/>
        <s v="SH10162"/>
        <s v="SH10163"/>
        <s v="SH10164"/>
        <s v="SH10165"/>
        <s v="SH10166"/>
        <s v="SH10167"/>
        <s v="SH10168"/>
        <s v="SH10169"/>
        <s v="SH10170"/>
        <s v="SH10171"/>
        <s v="SH10172"/>
        <s v="SH10173"/>
        <s v="SH10174"/>
        <s v="SH10175"/>
        <s v="SH10176"/>
        <s v="SH10177"/>
        <s v="SH10178"/>
        <s v="SH10179"/>
        <s v="SH10180"/>
        <s v="SH10181"/>
        <s v="SH10182"/>
        <s v="SH10183"/>
        <s v="SH10184"/>
        <s v="SH10185"/>
        <s v="SH10186"/>
        <s v="SH10187"/>
        <s v="SH10188"/>
        <s v="SH10189"/>
        <s v="SH10190"/>
        <s v="SH10191"/>
        <s v="SH10192"/>
        <s v="SH10193"/>
        <s v="SH10194"/>
        <s v="SH10195"/>
        <s v="SH10196"/>
        <s v="SH10197"/>
        <s v="SH10198"/>
        <s v="SH10199"/>
        <s v="SH10200"/>
        <s v="SH10201"/>
        <s v="SH10202"/>
        <s v="SH10203"/>
        <s v="SH10204"/>
        <s v="SH10205"/>
        <s v="SH10206"/>
        <s v="SH10207"/>
        <s v="SH10208"/>
        <s v="SH10209"/>
        <s v="SH10210"/>
        <s v="SH10211"/>
        <s v="SH10212"/>
        <s v="SH10213"/>
        <s v="SH10214"/>
        <s v="SH10215"/>
        <s v="SH10216"/>
        <s v="SH10217"/>
        <s v="SH10218"/>
        <s v="SH10219"/>
        <s v="SH10220"/>
        <s v="SH10221"/>
        <s v="SH10222"/>
        <s v="SH10223"/>
        <s v="SH10224"/>
        <s v="SH10225"/>
        <s v="SH10226"/>
        <s v="SH10227"/>
        <s v="SH10228"/>
        <s v="SH10229"/>
        <s v="SH10230"/>
        <s v="SH10231"/>
        <s v="SH10232"/>
        <s v="SH10233"/>
        <s v="SH10234"/>
        <s v="SH10235"/>
        <s v="SH10236"/>
        <s v="SH10237"/>
        <s v="SH10238"/>
        <s v="SH10239"/>
        <s v="SH10240"/>
        <s v="SH10241"/>
        <s v="SH10242"/>
        <s v="SH10243"/>
        <s v="SH10244"/>
        <s v="SH10245"/>
        <s v="SH10246"/>
        <s v="SH10247"/>
        <s v="SH10248"/>
        <s v="SH10249"/>
        <s v="SH10250"/>
        <s v="SH10251"/>
        <s v="SH10252"/>
        <s v="SH10253"/>
        <s v="SH10254"/>
        <s v="SH10255"/>
        <s v="SH10256"/>
        <s v="SH10257"/>
        <s v="SH10258"/>
        <s v="SH10259"/>
        <s v="SH10260"/>
        <s v="SH10261"/>
        <s v="SH10262"/>
        <s v="SH10263"/>
        <s v="SH10264"/>
        <s v="SH10265"/>
        <s v="SH10266"/>
        <s v="SH10267"/>
        <s v="SH10268"/>
        <s v="SH10269"/>
        <s v="SH10270"/>
        <s v="SH10271"/>
        <s v="SH10272"/>
        <s v="SH10273"/>
        <s v="SH10274"/>
        <s v="SH10275"/>
        <s v="SH10276"/>
        <s v="SH10277"/>
        <s v="SH10278"/>
        <s v="SH10279"/>
        <s v="SH10280"/>
        <s v="SH10281"/>
        <s v="SH10282"/>
        <s v="SH10283"/>
        <s v="SH10284"/>
        <s v="SH10285"/>
        <s v="SH10286"/>
        <s v="SH10287"/>
        <s v="SH10288"/>
        <s v="SH10289"/>
        <s v="SH10290"/>
        <s v="SH10291"/>
        <s v="SH10292"/>
        <s v="SH10293"/>
        <s v="SH10294"/>
        <s v="SH10295"/>
        <s v="SH10296"/>
        <s v="SH10297"/>
        <s v="SH10298"/>
        <s v="SH10299"/>
        <s v="SH10300"/>
        <s v="SH10301"/>
        <s v="SH10302"/>
        <s v="SH10303"/>
        <s v="SH10304"/>
        <s v="SH10305"/>
        <s v="SH10306"/>
        <s v="SH10307"/>
        <s v="SH10308"/>
        <s v="SH10309"/>
        <s v="SH10310"/>
        <s v="SH10311"/>
        <s v="SH10312"/>
        <s v="SH10313"/>
        <s v="SH10314"/>
        <s v="SH10315"/>
        <s v="SH10316"/>
        <s v="SH10317"/>
        <s v="SH10318"/>
        <s v="SH10319"/>
        <s v="SH10320"/>
        <s v="SH10321"/>
        <s v="SH10322"/>
        <s v="SH10323"/>
        <s v="SH10324"/>
        <s v="SH10325"/>
        <s v="SH10326"/>
        <s v="SH10327"/>
        <s v="SH10328"/>
        <s v="SH10329"/>
        <s v="SH10330"/>
        <s v="SH10331"/>
        <s v="SH10332"/>
        <s v="SH10333"/>
        <s v="SH10334"/>
        <s v="SH10335"/>
        <s v="SH10336"/>
        <s v="SH10337"/>
        <s v="SH10338"/>
        <s v="SH10339"/>
        <s v="SH10340"/>
        <s v="SH10341"/>
        <s v="SH10342"/>
        <s v="SH10343"/>
        <s v="SH10344"/>
        <s v="SH10345"/>
        <s v="SH10346"/>
        <s v="SH10347"/>
        <s v="SH10348"/>
        <s v="SH10349"/>
        <s v="SH10350"/>
        <s v="SH10351"/>
        <s v="SH10352"/>
        <s v="SH10353"/>
        <s v="SH10354"/>
        <s v="SH10355"/>
        <s v="SH10356"/>
        <s v="SH10357"/>
        <s v="SH10358"/>
        <s v="SH10359"/>
        <s v="SH10360"/>
        <s v="SH10361"/>
        <s v="SH10362"/>
        <s v="SH10363"/>
        <s v="SH10364"/>
        <s v="SH10365"/>
        <s v="SH10366"/>
        <s v="SH10367"/>
        <s v="SH10368"/>
        <s v="SH10369"/>
        <s v="SH10370"/>
        <s v="SH10371"/>
        <s v="SH10372"/>
        <s v="SH10373"/>
        <s v="SH10374"/>
        <s v="SH10375"/>
        <s v="SH10376"/>
        <s v="SH10377"/>
        <s v="SH10378"/>
        <s v="SH10379"/>
        <s v="SH10380"/>
        <s v="SH10381"/>
        <s v="SH10382"/>
        <s v="SH10383"/>
        <s v="SH10384"/>
        <s v="SH10385"/>
        <s v="SH10386"/>
        <s v="SH10387"/>
        <s v="SH10388"/>
        <s v="SH10389"/>
        <s v="SH10390"/>
        <s v="SH10391"/>
        <s v="SH10392"/>
        <s v="SH10393"/>
        <s v="SH10394"/>
        <s v="SH10395"/>
        <s v="SH10396"/>
        <s v="SH10397"/>
        <s v="SH10398"/>
        <s v="SH10399"/>
        <s v="SH10400"/>
        <s v="SH10401"/>
        <s v="SH10402"/>
        <s v="SH10403"/>
        <s v="SH10404"/>
        <s v="SH10405"/>
        <s v="SH10406"/>
        <s v="SH10407"/>
        <s v="SH10408"/>
        <s v="SH10409"/>
        <s v="SH10410"/>
        <s v="SH10411"/>
        <s v="SH10412"/>
        <s v="SH10413"/>
        <s v="SH10414"/>
        <s v="SH10415"/>
        <s v="SH10416"/>
        <s v="SH10417"/>
        <s v="SH10418"/>
        <s v="SH10419"/>
        <s v="SH10420"/>
        <s v="SH10421"/>
        <s v="SH10422"/>
        <s v="SH10423"/>
        <s v="SH10424"/>
        <s v="SH10425"/>
        <s v="SH10426"/>
        <s v="SH10427"/>
        <s v="SH10428"/>
        <s v="SH10429"/>
        <s v="SH10430"/>
        <s v="SH10431"/>
        <s v="SH10432"/>
        <s v="SH10433"/>
        <s v="SH10434"/>
        <s v="SH10435"/>
        <s v="SH10436"/>
        <s v="SH10437"/>
        <s v="SH10438"/>
        <s v="SH10439"/>
        <s v="SH10440"/>
        <s v="SH10441"/>
        <s v="SH10442"/>
        <s v="SH10443"/>
        <s v="SH10444"/>
        <s v="SH10445"/>
        <s v="SH10446"/>
        <s v="SH10447"/>
        <s v="SH10448"/>
        <s v="SH10449"/>
        <s v="SH10450"/>
        <s v="SH10451"/>
        <s v="SH10452"/>
        <s v="SH10453"/>
        <s v="SH10454"/>
        <s v="SH10455"/>
        <s v="SH10456"/>
        <s v="SH10457"/>
        <s v="SH10458"/>
        <s v="SH10459"/>
        <s v="SH10460"/>
        <s v="SH10461"/>
        <s v="SH10462"/>
        <s v="SH10463"/>
        <s v="SH10464"/>
        <s v="SH10465"/>
        <s v="SH10466"/>
        <s v="SH10467"/>
        <s v="SH10468"/>
        <s v="SH10469"/>
        <s v="SH10470"/>
        <s v="SH10471"/>
        <s v="SH10472"/>
        <s v="SH10473"/>
        <s v="SH10474"/>
        <s v="SH10475"/>
        <s v="SH10476"/>
        <s v="SH10477"/>
        <s v="SH10478"/>
        <s v="SH10479"/>
        <s v="SH10480"/>
        <s v="SH10481"/>
        <s v="SH10482"/>
        <s v="SH10483"/>
        <s v="SH10484"/>
        <s v="SH10485"/>
        <s v="SH10486"/>
        <s v="SH10487"/>
        <s v="SH10488"/>
        <s v="SH10489"/>
        <s v="SH10490"/>
        <s v="SH10491"/>
        <s v="SH10492"/>
        <s v="SH10493"/>
        <s v="SH10494"/>
        <s v="SH10495"/>
        <s v="SH10496"/>
        <s v="SH10497"/>
        <s v="SH10498"/>
        <s v="SH10499"/>
        <s v="SH10500"/>
        <s v="SH10501"/>
        <s v="SH10502"/>
        <s v="SH10503"/>
        <s v="SH10504"/>
        <s v="SH10505"/>
        <s v="SH10506"/>
        <s v="SH10507"/>
        <s v="SH10508"/>
        <s v="SH10509"/>
        <s v="SH10510"/>
        <s v="SH10511"/>
        <s v="SH10512"/>
        <s v="SH10513"/>
        <s v="SH10514"/>
        <s v="SH10515"/>
        <s v="SH10516"/>
        <s v="SH10517"/>
        <s v="SH10518"/>
        <s v="SH10519"/>
        <s v="SH10520"/>
        <s v="SH10521"/>
        <s v="SH10522"/>
        <s v="SH10523"/>
        <s v="SH10524"/>
        <s v="SH10525"/>
        <s v="SH10526"/>
        <s v="SH10527"/>
        <s v="SH10528"/>
        <s v="SH10529"/>
        <s v="SH10530"/>
        <s v="SH10531"/>
        <s v="SH10532"/>
        <s v="SH10533"/>
        <s v="SH10534"/>
        <s v="SH10535"/>
        <s v="SH10536"/>
        <s v="SH10537"/>
        <s v="SH10538"/>
        <s v="SH10539"/>
        <s v="SH10540"/>
        <s v="SH10541"/>
        <s v="SH10542"/>
        <s v="SH10543"/>
        <s v="SH10544"/>
        <s v="SH10545"/>
        <s v="SH10546"/>
        <s v="SH10547"/>
        <s v="SH10548"/>
        <s v="SH10549"/>
        <s v="SH10550"/>
        <s v="SH10551"/>
        <s v="SH10552"/>
        <s v="SH10553"/>
        <s v="SH10554"/>
        <s v="SH10555"/>
        <s v="SH10556"/>
        <s v="SH10557"/>
        <s v="SH10558"/>
        <s v="SH10559"/>
        <s v="SH10560"/>
        <s v="SH10561"/>
        <s v="SH10562"/>
        <s v="SH10563"/>
        <s v="SH10564"/>
        <s v="SH10565"/>
        <s v="SH10566"/>
        <s v="SH10567"/>
        <s v="SH10568"/>
        <s v="SH10569"/>
        <s v="SH10570"/>
        <s v="SH10571"/>
        <s v="SH10572"/>
        <s v="SH10573"/>
        <s v="SH10574"/>
        <s v="SH10575"/>
        <s v="SH10576"/>
        <s v="SH10577"/>
        <s v="SH10578"/>
        <s v="SH10579"/>
        <s v="SH10580"/>
        <s v="SH10581"/>
        <s v="SH10582"/>
        <s v="SH10583"/>
        <s v="SH10584"/>
        <s v="SH10585"/>
        <s v="SH10586"/>
        <s v="SH10587"/>
        <s v="SH10588"/>
        <s v="SH10589"/>
        <s v="SH10590"/>
        <s v="SH10591"/>
        <s v="SH10592"/>
        <s v="SH10593"/>
        <s v="SH10594"/>
        <s v="SH10595"/>
        <s v="SH10596"/>
        <s v="SH10597"/>
        <s v="SH10598"/>
        <s v="SH10599"/>
        <s v="SH10600"/>
        <s v="SH10601"/>
        <s v="SH10602"/>
        <s v="SH10603"/>
        <s v="SH10604"/>
        <s v="SH10605"/>
        <s v="SH10606"/>
        <s v="SH10607"/>
        <s v="SH10608"/>
        <s v="SH10609"/>
        <s v="SH10610"/>
        <s v="SH10611"/>
        <s v="SH10612"/>
        <s v="SH10613"/>
        <s v="SH10614"/>
        <s v="SH10615"/>
        <s v="SH10616"/>
        <s v="SH10617"/>
        <s v="SH10618"/>
        <s v="SH10619"/>
        <s v="SH10620"/>
        <s v="SH10621"/>
        <s v="SH10622"/>
        <s v="SH10623"/>
        <s v="SH10624"/>
        <s v="SH10625"/>
        <s v="SH10626"/>
        <s v="SH10627"/>
        <s v="SH10628"/>
        <s v="SH10629"/>
        <s v="SH10630"/>
        <s v="SH10631"/>
        <s v="SH10632"/>
        <s v="SH10633"/>
        <s v="SH10634"/>
        <s v="SH10635"/>
        <s v="SH10636"/>
        <s v="SH10637"/>
        <s v="SH10638"/>
        <s v="SH10639"/>
        <s v="SH10640"/>
        <s v="SH10641"/>
        <s v="SH10642"/>
        <s v="SH10643"/>
        <s v="SH10644"/>
        <s v="SH10645"/>
        <s v="SH10646"/>
        <s v="SH10647"/>
        <s v="SH10648"/>
        <s v="SH10649"/>
        <s v="SH10650"/>
        <s v="SH10651"/>
        <s v="SH10652"/>
        <s v="SH10653"/>
        <s v="SH10654"/>
        <s v="SH10655"/>
        <s v="SH10656"/>
        <s v="SH10657"/>
        <s v="SH10658"/>
        <s v="SH10659"/>
        <s v="SH10660"/>
        <s v="SH10661"/>
        <s v="SH10662"/>
        <s v="SH10663"/>
        <s v="SH10664"/>
        <s v="SH10665"/>
        <s v="SH10666"/>
        <s v="SH10667"/>
        <s v="SH10668"/>
        <s v="SH10669"/>
        <s v="SH10670"/>
        <s v="SH10671"/>
        <s v="SH10672"/>
        <s v="SH10673"/>
        <s v="SH10674"/>
        <s v="SH10675"/>
        <s v="SH10676"/>
        <s v="SH10677"/>
        <s v="SH10678"/>
        <s v="SH10679"/>
        <s v="SH10680"/>
        <s v="SH10681"/>
        <s v="SH10682"/>
        <s v="SH10683"/>
        <s v="SH10684"/>
        <s v="SH10685"/>
        <s v="SH10686"/>
        <s v="SH10687"/>
        <s v="SH10688"/>
        <s v="SH10689"/>
        <s v="SH10690"/>
        <s v="SH10691"/>
        <s v="SH10692"/>
        <s v="SH10693"/>
        <s v="SH10694"/>
        <s v="SH10695"/>
        <s v="SH10696"/>
        <s v="SH10697"/>
        <s v="SH10698"/>
        <s v="SH10699"/>
        <s v="SH10700"/>
        <s v="SH10701"/>
        <s v="SH10702"/>
        <s v="SH10703"/>
        <s v="SH10704"/>
        <s v="SH10705"/>
        <s v="SH10706"/>
        <s v="SH10707"/>
        <s v="SH10708"/>
        <s v="SH10709"/>
        <s v="SH10710"/>
        <s v="SH10711"/>
        <s v="SH10712"/>
        <s v="SH10713"/>
        <s v="SH10714"/>
        <s v="SH10715"/>
        <s v="SH10716"/>
        <s v="SH10717"/>
        <s v="SH10718"/>
        <s v="SH10719"/>
        <s v="SH10720"/>
        <s v="SH10721"/>
        <s v="SH10722"/>
        <s v="SH10723"/>
        <s v="SH10724"/>
        <s v="SH10725"/>
        <s v="SH10726"/>
        <s v="SH10727"/>
        <s v="SH10728"/>
        <s v="SH10729"/>
        <s v="SH10730"/>
        <s v="SH10731"/>
        <s v="SH10732"/>
        <s v="SH10733"/>
        <s v="SH10734"/>
        <s v="SH10735"/>
        <s v="SH10736"/>
        <s v="SH10737"/>
        <s v="SH10738"/>
        <s v="SH10739"/>
        <s v="SH10740"/>
        <s v="SH10741"/>
        <s v="SH10742"/>
        <s v="SH10743"/>
        <s v="SH10744"/>
        <s v="SH10745"/>
        <s v="SH10746"/>
        <s v="SH10747"/>
        <s v="SH10748"/>
        <s v="SH10749"/>
        <s v="SH10750"/>
        <s v="SH10751"/>
        <s v="SH10752"/>
        <s v="SH10753"/>
        <s v="SH10754"/>
        <s v="SH10755"/>
        <s v="SH10756"/>
        <s v="SH10757"/>
        <s v="SH10758"/>
        <s v="SH10759"/>
        <s v="SH10760"/>
        <s v="SH10761"/>
        <s v="SH10762"/>
        <s v="SH10763"/>
        <s v="SH10764"/>
        <s v="SH10765"/>
        <s v="SH10766"/>
        <s v="SH10767"/>
        <s v="SH10768"/>
        <s v="SH10769"/>
        <s v="SH10770"/>
        <s v="SH10771"/>
        <s v="SH10772"/>
        <s v="SH10773"/>
        <s v="SH10774"/>
        <s v="SH10775"/>
        <s v="SH10776"/>
        <s v="SH10777"/>
        <s v="SH10778"/>
        <s v="SH10779"/>
        <s v="SH10780"/>
        <s v="SH10781"/>
        <s v="SH10782"/>
        <s v="SH10783"/>
        <s v="SH10784"/>
        <s v="SH10785"/>
        <s v="SH10786"/>
        <s v="SH10787"/>
        <s v="SH10788"/>
        <s v="SH10789"/>
        <s v="SH10790"/>
        <s v="SH10791"/>
        <s v="SH10792"/>
        <s v="SH10793"/>
        <s v="SH10794"/>
        <s v="SH10795"/>
        <s v="SH10796"/>
        <s v="SH10797"/>
        <s v="SH10798"/>
        <s v="SH10799"/>
        <s v="SH10800"/>
        <s v="SH10801"/>
        <s v="SH10802"/>
        <s v="SH10803"/>
        <s v="SH10804"/>
        <s v="SH10805"/>
        <s v="SH10806"/>
        <s v="SH10807"/>
        <s v="SH10808"/>
        <s v="SH10809"/>
        <s v="SH10810"/>
        <s v="SH10811"/>
        <s v="SH10812"/>
        <s v="SH10813"/>
        <s v="SH10814"/>
        <s v="SH10815"/>
        <s v="SH10816"/>
        <s v="SH10817"/>
        <s v="SH10818"/>
        <s v="SH10819"/>
        <s v="SH10820"/>
        <s v="SH10821"/>
        <s v="SH10822"/>
        <s v="SH10823"/>
        <s v="SH10824"/>
        <s v="SH10825"/>
        <s v="SH10826"/>
        <s v="SH10827"/>
        <s v="SH10828"/>
        <s v="SH10829"/>
        <s v="SH10830"/>
        <s v="SH10831"/>
        <s v="SH10832"/>
        <s v="SH10833"/>
        <s v="SH10834"/>
        <s v="SH10835"/>
        <s v="SH10836"/>
        <s v="SH10837"/>
        <s v="SH10838"/>
        <s v="SH10839"/>
        <s v="SH10840"/>
        <s v="SH10841"/>
        <s v="SH10842"/>
        <s v="SH10843"/>
        <s v="SH10844"/>
        <s v="SH10845"/>
        <s v="SH10846"/>
        <s v="SH10847"/>
        <s v="SH10848"/>
        <s v="SH10849"/>
        <s v="SH10850"/>
        <s v="SH10851"/>
        <s v="SH10852"/>
        <s v="SH10853"/>
        <s v="SH10854"/>
        <s v="SH10855"/>
        <s v="SH10856"/>
        <s v="SH10857"/>
        <s v="SH10858"/>
        <s v="SH10859"/>
        <s v="SH10860"/>
        <s v="SH10861"/>
        <s v="SH10862"/>
        <s v="SH10863"/>
        <s v="SH10864"/>
        <s v="SH10865"/>
        <s v="SH10866"/>
        <s v="SH10867"/>
        <s v="SH10868"/>
        <s v="SH10869"/>
        <s v="SH10870"/>
        <s v="SH10871"/>
        <s v="SH10872"/>
        <s v="SH10873"/>
        <s v="SH10874"/>
        <s v="SH10875"/>
        <s v="SH10876"/>
        <s v="SH10877"/>
        <s v="SH10878"/>
        <s v="SH10879"/>
        <s v="SH10880"/>
        <s v="SH10881"/>
        <s v="SH10882"/>
        <s v="SH10883"/>
        <s v="SH10884"/>
        <s v="SH10885"/>
        <s v="SH10886"/>
        <s v="SH10887"/>
        <s v="SH10888"/>
        <s v="SH10889"/>
        <s v="SH10890"/>
        <s v="SH10891"/>
        <s v="SH10892"/>
        <s v="SH10893"/>
        <s v="SH10894"/>
        <s v="SH10895"/>
        <s v="SH10896"/>
        <s v="SH10897"/>
        <s v="SH10898"/>
        <s v="SH10899"/>
        <s v="SH10900"/>
        <s v="SH10901"/>
        <s v="SH10902"/>
        <s v="SH10903"/>
        <s v="SH10904"/>
        <s v="SH10905"/>
        <s v="SH10906"/>
        <s v="SH10907"/>
        <s v="SH10908"/>
        <s v="SH10909"/>
        <s v="SH10910"/>
        <s v="SH10911"/>
        <s v="SH10912"/>
        <s v="SH10913"/>
        <s v="SH10914"/>
        <s v="SH10915"/>
        <s v="SH10916"/>
        <s v="SH10917"/>
        <s v="SH10918"/>
        <s v="SH10919"/>
        <s v="SH10920"/>
        <s v="SH10921"/>
        <s v="SH10922"/>
        <s v="SH10923"/>
        <s v="SH10924"/>
        <s v="SH10925"/>
        <s v="SH10926"/>
        <s v="SH10927"/>
        <s v="SH10928"/>
        <s v="SH10929"/>
        <s v="SH10930"/>
        <s v="SH10931"/>
        <s v="SH10932"/>
        <s v="SH10933"/>
        <s v="SH10934"/>
        <s v="SH10935"/>
        <s v="SH10936"/>
        <s v="SH10937"/>
        <s v="SH10938"/>
        <s v="SH10939"/>
        <s v="SH10940"/>
        <s v="SH10941"/>
        <s v="SH10942"/>
        <s v="SH10943"/>
        <s v="SH10944"/>
        <s v="SH10945"/>
        <s v="SH10946"/>
        <s v="SH10947"/>
        <s v="SH10948"/>
        <s v="SH10949"/>
        <s v="SH10950"/>
        <s v="SH10951"/>
        <s v="SH10952"/>
        <s v="SH10953"/>
        <s v="SH10954"/>
        <s v="SH10955"/>
        <s v="SH10956"/>
        <s v="SH10957"/>
        <s v="SH10958"/>
        <s v="SH10959"/>
        <s v="SH10960"/>
        <s v="SH10961"/>
        <s v="SH10962"/>
        <s v="SH10963"/>
        <s v="SH10964"/>
        <s v="SH10965"/>
        <s v="SH10966"/>
        <s v="SH10967"/>
        <s v="SH10968"/>
        <s v="SH10969"/>
        <s v="SH10970"/>
        <s v="SH10971"/>
        <s v="SH10972"/>
        <s v="SH10973"/>
        <s v="SH10974"/>
        <s v="SH10975"/>
        <s v="SH10976"/>
        <s v="SH10977"/>
        <s v="SH10978"/>
        <s v="SH10979"/>
        <s v="SH10980"/>
        <s v="SH10981"/>
        <s v="SH10982"/>
        <s v="SH10983"/>
        <s v="SH10984"/>
        <s v="SH10985"/>
        <s v="SH10986"/>
        <s v="SH10987"/>
        <s v="SH10988"/>
        <s v="SH10989"/>
        <s v="SH10990"/>
        <s v="SH10991"/>
        <s v="SH10992"/>
        <s v="SH10993"/>
        <s v="SH10994"/>
        <s v="SH10995"/>
        <s v="SH10996"/>
        <s v="SH10997"/>
        <s v="SH10998"/>
        <s v="SH10999"/>
        <s v="SH11000"/>
        <s v="SH11001"/>
        <s v="SH11002"/>
        <s v="SH11003"/>
        <s v="SH11004"/>
        <s v="SH11005"/>
        <s v="SH11006"/>
        <s v="SH11007"/>
        <s v="SH11008"/>
        <s v="SH11009"/>
        <s v="SH11010"/>
        <s v="SH11011"/>
        <s v="SH11012"/>
        <s v="SH11013"/>
        <s v="SH11014"/>
        <s v="SH11015"/>
        <s v="SH11016"/>
        <s v="SH11017"/>
        <s v="SH11018"/>
        <s v="SH11019"/>
        <s v="SH11020"/>
        <s v="SH11021"/>
        <s v="SH11022"/>
        <s v="SH11023"/>
        <s v="SH11024"/>
        <s v="SH11025"/>
        <s v="SH11026"/>
        <s v="SH11027"/>
        <s v="SH11028"/>
        <s v="SH11029"/>
        <s v="SH11030"/>
        <s v="SH11031"/>
        <s v="SH11032"/>
        <s v="SH11033"/>
        <s v="SH11034"/>
        <s v="SH11035"/>
        <s v="SH11036"/>
        <s v="SH11037"/>
        <s v="SH11038"/>
        <s v="SH11039"/>
        <s v="SH11040"/>
        <s v="SH11041"/>
        <s v="SH11042"/>
        <s v="SH11043"/>
        <s v="SH11044"/>
        <s v="SH11045"/>
        <s v="SH11046"/>
        <s v="SH11047"/>
        <s v="SH11048"/>
        <s v="SH11049"/>
        <s v="SH11050"/>
        <s v="SH11051"/>
        <s v="SH11052"/>
        <s v="SH11053"/>
        <s v="SH11054"/>
        <s v="SH11055"/>
        <s v="SH11056"/>
        <s v="SH11057"/>
        <s v="SH11058"/>
        <s v="SH11059"/>
        <s v="SH11060"/>
        <s v="SH11061"/>
        <s v="SH11062"/>
        <s v="SH11063"/>
        <s v="SH11064"/>
        <s v="SH11065"/>
        <s v="SH11066"/>
        <s v="SH11067"/>
        <s v="SH11068"/>
        <s v="SH11069"/>
        <s v="SH11070"/>
        <s v="SH11071"/>
        <s v="SH11072"/>
        <s v="SH11073"/>
        <s v="SH11074"/>
        <s v="SH11075"/>
        <s v="SH11076"/>
        <s v="SH11077"/>
        <s v="SH11078"/>
        <s v="SH11079"/>
        <s v="SH11080"/>
        <s v="SH11081"/>
        <s v="SH11082"/>
        <s v="SH11083"/>
        <s v="SH11084"/>
        <s v="SH11085"/>
        <s v="SH11086"/>
        <s v="SH11087"/>
        <s v="SH11088"/>
        <s v="SH11089"/>
        <s v="SH11090"/>
        <s v="SH11091"/>
        <s v="SH11092"/>
        <s v="SH11093"/>
        <s v="SH11094"/>
        <s v="SH11095"/>
        <s v="SH11096"/>
        <s v="SH11097"/>
        <s v="SH11098"/>
        <s v="SH11099"/>
        <s v="SH11100"/>
        <s v="SH11101"/>
        <s v="SH11102"/>
        <s v="SH11103"/>
        <s v="SH11104"/>
        <s v="SH11105"/>
        <s v="SH11106"/>
        <s v="SH11107"/>
        <s v="SH11108"/>
        <s v="SH11109"/>
        <s v="SH11110"/>
        <s v="SH11111"/>
        <s v="SH11112"/>
        <s v="SH11113"/>
        <s v="SH11114"/>
        <s v="SH11115"/>
        <s v="SH11116"/>
        <s v="SH11117"/>
        <s v="SH11118"/>
        <s v="SH11119"/>
        <s v="SH11120"/>
        <s v="SH11121"/>
        <s v="SH11122"/>
        <s v="SH11123"/>
        <s v="SH11124"/>
        <s v="SH11125"/>
        <s v="SH11126"/>
        <s v="SH11127"/>
        <s v="SH11128"/>
        <s v="SH11129"/>
        <s v="SH11130"/>
        <s v="SH11131"/>
        <s v="SH11132"/>
        <s v="SH11133"/>
        <s v="SH11134"/>
        <s v="SH11135"/>
        <s v="SH11136"/>
        <s v="SH11137"/>
        <s v="SH11138"/>
        <s v="SH11139"/>
        <s v="SH11140"/>
        <s v="SH11141"/>
        <s v="SH11142"/>
        <s v="SH11143"/>
        <s v="SH11144"/>
        <s v="SH11145"/>
        <s v="SH11146"/>
        <s v="SH11147"/>
        <s v="SH11148"/>
        <s v="SH11149"/>
        <s v="SH11150"/>
        <s v="SH11151"/>
        <s v="SH11152"/>
        <s v="SH11153"/>
        <s v="SH11154"/>
        <s v="SH11155"/>
        <s v="SH11156"/>
        <s v="SH11157"/>
        <s v="SH11158"/>
        <s v="SH11159"/>
        <s v="SH11160"/>
        <s v="SH11161"/>
        <s v="SH11162"/>
        <s v="SH11163"/>
        <s v="SH11164"/>
        <s v="SH11165"/>
        <s v="SH11166"/>
        <s v="SH11167"/>
        <s v="SH11168"/>
        <s v="SH11169"/>
        <s v="SH11170"/>
        <s v="SH11171"/>
        <s v="SH11172"/>
        <s v="SH11173"/>
        <s v="SH11174"/>
        <s v="SH11175"/>
        <s v="SH11176"/>
        <s v="SH11177"/>
        <s v="SH11178"/>
        <s v="SH11179"/>
        <s v="SH11180"/>
        <s v="SH11181"/>
        <s v="SH11182"/>
        <s v="SH11183"/>
        <s v="SH11184"/>
        <s v="SH11185"/>
        <s v="SH11186"/>
        <s v="SH11187"/>
        <s v="SH11188"/>
        <s v="SH11189"/>
        <s v="SH11190"/>
        <s v="SH11191"/>
        <s v="SH11192"/>
        <s v="SH11193"/>
        <s v="SH11194"/>
        <s v="SH11195"/>
        <s v="SH11196"/>
        <s v="SH11197"/>
        <s v="SH11198"/>
        <s v="SH11199"/>
        <s v="SH11200"/>
        <s v="SH11201"/>
        <s v="SH11202"/>
        <s v="SH11203"/>
        <s v="SH11204"/>
        <s v="SH11205"/>
        <s v="SH11206"/>
        <s v="SH11207"/>
        <s v="SH11208"/>
        <s v="SH11209"/>
        <s v="SH11210"/>
        <s v="SH11211"/>
        <s v="SH11212"/>
        <s v="SH11213"/>
        <s v="SH11214"/>
        <s v="SH11215"/>
        <s v="SH11216"/>
        <s v="SH11217"/>
        <s v="SH11218"/>
        <s v="SH11219"/>
        <s v="SH11220"/>
        <s v="SH11221"/>
        <s v="SH11222"/>
        <s v="SH11223"/>
        <s v="SH11224"/>
        <s v="SH11225"/>
        <s v="SH11226"/>
        <s v="SH11227"/>
        <s v="SH11228"/>
        <s v="SH11229"/>
        <s v="SH11230"/>
        <s v="SH11231"/>
        <s v="SH11232"/>
        <s v="SH11233"/>
        <s v="SH11234"/>
        <s v="SH11235"/>
        <s v="SH11236"/>
        <s v="SH11237"/>
        <s v="SH11238"/>
        <s v="SH11239"/>
        <s v="SH11240"/>
        <s v="SH11241"/>
        <s v="SH11242"/>
        <s v="SH11243"/>
        <s v="SH11244"/>
        <s v="SH11245"/>
        <s v="SH11246"/>
        <s v="SH11247"/>
        <s v="SH11248"/>
        <s v="SH11249"/>
        <s v="SH11250"/>
        <s v="SH11251"/>
        <s v="SH11252"/>
        <s v="SH11253"/>
        <s v="SH11254"/>
        <s v="SH11255"/>
        <s v="SH11256"/>
        <s v="SH11257"/>
        <s v="SH11258"/>
        <s v="SH11259"/>
        <s v="SH11260"/>
        <s v="SH11261"/>
        <s v="SH11262"/>
        <s v="SH11263"/>
        <s v="SH11264"/>
        <s v="SH11265"/>
        <s v="SH11266"/>
        <s v="SH11267"/>
        <s v="SH11268"/>
        <s v="SH11269"/>
        <s v="SH11270"/>
        <s v="SH11271"/>
        <s v="SH11272"/>
        <s v="SH11273"/>
        <s v="SH11274"/>
        <s v="SH11275"/>
        <s v="SH11276"/>
        <s v="SH11277"/>
        <s v="SH11278"/>
        <s v="SH11279"/>
        <s v="SH11280"/>
        <s v="SH11281"/>
        <s v="SH11282"/>
        <s v="SH11283"/>
        <s v="SH11284"/>
        <s v="SH11285"/>
        <s v="SH11286"/>
        <s v="SH11287"/>
        <s v="SH11288"/>
        <s v="SH11289"/>
        <s v="SH11290"/>
        <s v="SH11291"/>
        <s v="SH11292"/>
        <s v="SH11293"/>
        <s v="SH11294"/>
        <s v="SH11295"/>
        <s v="SH11296"/>
        <s v="SH11297"/>
        <s v="SH11298"/>
        <s v="SH11299"/>
        <s v="SH11300"/>
        <s v="SH11301"/>
        <s v="SH11302"/>
        <s v="SH11303"/>
        <s v="SH11304"/>
        <s v="SH11305"/>
        <s v="SH11306"/>
        <s v="SH11307"/>
        <s v="SH11308"/>
        <s v="SH11309"/>
        <s v="SH11310"/>
        <s v="SH11311"/>
        <s v="SH11312"/>
        <s v="SH11313"/>
        <s v="SH11314"/>
        <s v="SH11315"/>
        <s v="SH11316"/>
        <s v="SH11317"/>
        <s v="SH11318"/>
        <s v="SH11319"/>
        <s v="SH11320"/>
        <s v="SH11321"/>
        <s v="SH11322"/>
        <s v="SH11323"/>
        <s v="SH11324"/>
        <s v="SH11325"/>
        <s v="SH11326"/>
        <s v="SH11327"/>
        <s v="SH11328"/>
        <s v="SH11329"/>
        <s v="SH11330"/>
        <s v="SH11331"/>
        <s v="SH11332"/>
        <s v="SH11333"/>
        <s v="SH11334"/>
        <s v="SH11335"/>
        <s v="SH11336"/>
        <s v="SH11337"/>
        <s v="SH11338"/>
        <s v="SH11339"/>
        <s v="SH11340"/>
        <s v="SH11341"/>
        <s v="SH11342"/>
        <s v="SH11343"/>
        <s v="SH11344"/>
        <s v="SH11345"/>
        <s v="SH11346"/>
        <s v="SH11347"/>
        <s v="SH11348"/>
        <s v="SH11349"/>
        <s v="SH11350"/>
        <s v="SH11351"/>
        <s v="SH11352"/>
        <s v="SH11353"/>
        <s v="SH11354"/>
        <s v="SH11355"/>
        <s v="SH11356"/>
        <s v="SH11357"/>
        <s v="SH11358"/>
        <s v="SH11359"/>
        <s v="SH11360"/>
        <s v="SH11361"/>
        <s v="SH11362"/>
        <s v="SH11363"/>
        <s v="SH11364"/>
        <s v="SH11365"/>
        <s v="SH11366"/>
        <s v="SH11367"/>
        <s v="SH11368"/>
        <s v="SH11369"/>
        <s v="SH11370"/>
        <s v="SH11371"/>
        <s v="SH11372"/>
        <s v="SH11373"/>
        <s v="SH11374"/>
        <s v="SH11375"/>
        <s v="SH11376"/>
        <s v="SH11377"/>
        <s v="SH11378"/>
        <s v="SH11379"/>
        <s v="SH11380"/>
        <s v="SH11381"/>
        <s v="SH11382"/>
        <s v="SH11383"/>
        <s v="SH11384"/>
        <s v="SH11385"/>
        <s v="SH11386"/>
        <s v="SH11387"/>
        <s v="SH11388"/>
        <s v="SH11389"/>
        <s v="SH11390"/>
        <s v="SH11391"/>
        <s v="SH11392"/>
        <s v="SH11393"/>
        <s v="SH11394"/>
        <s v="SH11395"/>
        <s v="SH11396"/>
        <s v="SH11397"/>
        <s v="SH11398"/>
        <s v="SH11399"/>
        <s v="SH11400"/>
        <s v="SH11401"/>
        <s v="SH11402"/>
        <s v="SH11403"/>
        <s v="SH11404"/>
        <s v="SH11405"/>
        <s v="SH11406"/>
        <s v="SH11407"/>
        <s v="SH11408"/>
        <s v="SH11409"/>
        <s v="SH11410"/>
        <s v="SH11411"/>
        <s v="SH11412"/>
        <s v="SH11413"/>
        <s v="SH11414"/>
        <s v="SH11415"/>
        <s v="SH11416"/>
        <s v="SH11417"/>
        <s v="SH11418"/>
        <s v="SH11419"/>
        <s v="SH11420"/>
        <s v="SH11421"/>
        <s v="SH11422"/>
        <s v="SH11423"/>
        <s v="SH11424"/>
        <s v="SH11425"/>
        <s v="SH11426"/>
        <s v="SH11427"/>
        <s v="SH11428"/>
        <s v="SH11429"/>
        <s v="SH11430"/>
        <s v="SH11431"/>
        <s v="SH11432"/>
        <s v="SH11433"/>
        <s v="SH11434"/>
        <s v="SH11435"/>
        <s v="SH11436"/>
        <s v="SH11437"/>
        <s v="SH11438"/>
        <s v="SH11439"/>
        <s v="SH11440"/>
        <s v="SH11441"/>
        <s v="SH11442"/>
        <s v="SH11443"/>
        <s v="SH11444"/>
        <s v="SH11445"/>
        <s v="SH11446"/>
        <s v="SH11447"/>
        <s v="SH11448"/>
        <s v="SH11449"/>
        <s v="SH11450"/>
        <s v="SH11451"/>
        <s v="SH11452"/>
        <s v="SH11453"/>
        <s v="SH11454"/>
        <s v="SH11455"/>
        <s v="SH11456"/>
        <s v="SH11457"/>
        <s v="SH11458"/>
        <s v="SH11459"/>
        <s v="SH11460"/>
        <s v="SH11461"/>
        <s v="SH11462"/>
        <s v="SH11463"/>
        <s v="SH11464"/>
        <s v="SH11465"/>
        <s v="SH11466"/>
        <s v="SH11467"/>
        <s v="SH11468"/>
        <s v="SH11469"/>
        <s v="SH11470"/>
        <s v="SH11471"/>
        <s v="SH11472"/>
        <s v="SH11473"/>
        <s v="SH11474"/>
        <s v="SH11475"/>
        <s v="SH11476"/>
        <s v="SH11477"/>
        <s v="SH11478"/>
        <s v="SH11479"/>
        <s v="SH11480"/>
        <s v="SH11481"/>
        <s v="SH11482"/>
        <s v="SH11483"/>
        <s v="SH11484"/>
        <s v="SH11485"/>
        <s v="SH11486"/>
        <s v="SH11487"/>
        <s v="SH11488"/>
        <s v="SH11489"/>
        <s v="SH11490"/>
        <s v="SH11491"/>
        <s v="SH11492"/>
        <s v="SH11493"/>
        <s v="SH11494"/>
        <s v="SH11495"/>
        <s v="SH11496"/>
        <s v="SH11497"/>
        <s v="SH11498"/>
        <s v="SH11499"/>
        <s v="SH11500"/>
        <s v="SH11501"/>
        <s v="SH11502"/>
        <s v="SH11503"/>
        <s v="SH11504"/>
        <s v="SH11505"/>
        <s v="SH11506"/>
        <s v="SH11507"/>
        <s v="SH11508"/>
        <s v="SH11509"/>
        <s v="SH11510"/>
        <s v="SH11511"/>
        <s v="SH11512"/>
        <s v="SH11513"/>
        <s v="SH11514"/>
        <s v="SH11515"/>
        <s v="SH11516"/>
        <s v="SH11517"/>
        <s v="SH11518"/>
        <s v="SH11519"/>
        <s v="SH11520"/>
        <s v="SH11521"/>
        <s v="SH11522"/>
        <s v="SH11523"/>
        <s v="SH11524"/>
        <s v="SH11525"/>
        <s v="SH11526"/>
        <s v="SH11527"/>
        <s v="SH11528"/>
        <s v="SH11529"/>
        <s v="SH11530"/>
        <s v="SH11531"/>
        <s v="SH11532"/>
        <s v="SH11533"/>
        <s v="SH11534"/>
        <s v="SH11535"/>
        <s v="SH11536"/>
        <s v="SH11537"/>
        <s v="SH11538"/>
        <s v="SH11539"/>
        <s v="SH11540"/>
        <s v="SH11541"/>
        <s v="SH11542"/>
        <s v="SH11543"/>
        <s v="SH11544"/>
        <s v="SH11545"/>
        <s v="SH11546"/>
        <s v="SH11547"/>
        <s v="SH11548"/>
        <s v="SH11549"/>
        <s v="SH11550"/>
        <s v="SH11551"/>
        <s v="SH11552"/>
        <s v="SH11553"/>
        <s v="SH11554"/>
        <s v="SH11555"/>
        <s v="SH11556"/>
        <s v="SH11557"/>
        <s v="SH11558"/>
        <s v="SH11559"/>
        <s v="SH11560"/>
        <s v="SH11561"/>
        <s v="SH11562"/>
        <s v="SH11563"/>
        <s v="SH11564"/>
        <s v="SH11565"/>
        <s v="SH11566"/>
        <s v="SH11567"/>
        <s v="SH11568"/>
        <s v="SH11569"/>
        <s v="SH11570"/>
        <s v="SH11571"/>
        <s v="SH11572"/>
        <s v="SH11573"/>
        <s v="SH11574"/>
        <s v="SH11575"/>
        <s v="SH11576"/>
        <s v="SH11577"/>
        <s v="SH11578"/>
        <s v="SH11579"/>
        <s v="SH11580"/>
        <s v="SH11581"/>
        <s v="SH11582"/>
        <s v="SH11583"/>
        <s v="SH11584"/>
        <s v="SH11585"/>
        <s v="SH11586"/>
        <s v="SH11587"/>
        <s v="SH11588"/>
        <s v="SH11589"/>
        <s v="SH11590"/>
        <s v="SH11591"/>
        <s v="SH11592"/>
        <s v="SH11593"/>
        <s v="SH11594"/>
        <s v="SH11595"/>
        <s v="SH11596"/>
        <s v="SH11597"/>
        <s v="SH11598"/>
        <s v="SH11599"/>
        <s v="SH11600"/>
        <s v="SH11601"/>
        <s v="SH11602"/>
        <s v="SH11603"/>
        <s v="SH11604"/>
        <s v="SH11605"/>
        <s v="SH11606"/>
        <s v="SH11607"/>
        <s v="SH11608"/>
        <s v="SH11609"/>
        <s v="SH11610"/>
        <s v="SH11611"/>
        <s v="SH11612"/>
        <s v="SH11613"/>
        <s v="SH11614"/>
        <s v="SH11615"/>
        <s v="SH11616"/>
        <s v="SH11617"/>
        <s v="SH11618"/>
        <s v="SH11619"/>
        <s v="SH11620"/>
        <s v="SH11621"/>
        <s v="SH11622"/>
        <s v="SH11623"/>
        <s v="SH11624"/>
        <s v="SH11625"/>
        <s v="SH11626"/>
        <s v="SH11627"/>
        <s v="SH11628"/>
        <s v="SH11629"/>
        <s v="SH11630"/>
        <s v="SH11631"/>
        <s v="SH11632"/>
        <s v="SH11633"/>
        <s v="SH11634"/>
        <s v="SH11635"/>
        <s v="SH11636"/>
        <s v="SH11637"/>
        <s v="SH11638"/>
        <s v="SH11639"/>
        <s v="SH11640"/>
        <s v="SH11641"/>
        <s v="SH11642"/>
        <s v="SH11643"/>
        <s v="SH11644"/>
        <s v="SH11645"/>
        <s v="SH11646"/>
        <s v="SH11647"/>
        <s v="SH11648"/>
        <s v="SH11649"/>
        <s v="SH11650"/>
        <s v="SH11651"/>
        <s v="SH11652"/>
        <s v="SH11653"/>
        <s v="SH11654"/>
        <s v="SH11655"/>
        <s v="SH11656"/>
        <s v="SH11657"/>
        <s v="SH11658"/>
        <s v="SH11659"/>
        <s v="SH11660"/>
        <s v="SH11661"/>
        <s v="SH11662"/>
        <s v="SH11663"/>
        <s v="SH11664"/>
        <s v="SH11665"/>
        <s v="SH11666"/>
        <s v="SH11667"/>
        <s v="SH11668"/>
        <s v="SH11669"/>
        <s v="SH11670"/>
        <s v="SH11671"/>
        <s v="SH11672"/>
        <s v="SH11673"/>
        <s v="SH11674"/>
        <s v="SH11675"/>
        <s v="SH11676"/>
        <s v="SH11677"/>
        <s v="SH11678"/>
        <s v="SH11679"/>
        <s v="SH11680"/>
        <s v="SH11681"/>
        <s v="SH11682"/>
        <s v="SH11683"/>
        <s v="SH11684"/>
        <s v="SH11685"/>
        <s v="SH11686"/>
        <s v="SH11687"/>
        <s v="SH11688"/>
        <s v="SH11689"/>
        <s v="SH11690"/>
        <s v="SH11691"/>
        <s v="SH11692"/>
        <s v="SH11693"/>
        <s v="SH11694"/>
        <s v="SH11695"/>
        <s v="SH11696"/>
        <s v="SH11697"/>
        <s v="SH11698"/>
        <s v="SH11699"/>
        <s v="SH11700"/>
        <s v="SH11701"/>
        <s v="SH11702"/>
        <s v="SH11703"/>
        <s v="SH11704"/>
        <s v="SH11705"/>
        <s v="SH11706"/>
        <s v="SH11707"/>
        <s v="SH11708"/>
        <s v="SH11709"/>
        <s v="SH11710"/>
        <s v="SH11711"/>
        <s v="SH11712"/>
        <s v="SH11713"/>
        <s v="SH11714"/>
        <s v="SH11715"/>
        <s v="SH11716"/>
        <s v="SH11717"/>
        <s v="SH11718"/>
        <s v="SH11719"/>
        <s v="SH11720"/>
        <s v="SH11721"/>
        <s v="SH11722"/>
        <s v="SH11723"/>
        <s v="SH11724"/>
        <s v="SH11725"/>
        <s v="SH11726"/>
        <s v="SH11727"/>
        <s v="SH11728"/>
        <s v="SH11729"/>
        <s v="SH11730"/>
        <s v="SH11731"/>
        <s v="SH11732"/>
        <s v="SH11733"/>
        <s v="SH11734"/>
        <s v="SH11735"/>
        <s v="SH11736"/>
        <s v="SH11737"/>
        <s v="SH11738"/>
        <s v="SH11739"/>
        <s v="SH11740"/>
        <s v="SH11741"/>
        <s v="SH11742"/>
        <s v="SH11743"/>
        <s v="SH11744"/>
        <s v="SH11745"/>
        <s v="SH11746"/>
        <s v="SH11747"/>
        <s v="SH11748"/>
        <s v="SH11749"/>
        <s v="SH11750"/>
        <s v="SH11751"/>
        <s v="SH11752"/>
        <s v="SH11753"/>
        <s v="SH11754"/>
        <s v="SH11755"/>
        <s v="SH11756"/>
        <s v="SH11757"/>
        <s v="SH11758"/>
        <s v="SH11759"/>
        <s v="SH11760"/>
        <s v="SH11761"/>
        <s v="SH11762"/>
        <s v="SH11763"/>
        <s v="SH11764"/>
        <s v="SH11765"/>
        <s v="SH11766"/>
        <s v="SH11767"/>
        <s v="SH11768"/>
        <s v="SH11769"/>
        <s v="SH11770"/>
        <s v="SH11771"/>
        <s v="SH11772"/>
        <s v="SH11773"/>
        <s v="SH11774"/>
        <s v="SH11775"/>
        <s v="SH11776"/>
        <s v="SH11777"/>
        <s v="SH11778"/>
        <s v="SH11779"/>
        <s v="SH11780"/>
        <s v="SH11781"/>
        <s v="SH11782"/>
        <s v="SH11783"/>
        <s v="SH11784"/>
        <s v="SH11785"/>
        <s v="SH11786"/>
        <s v="SH11787"/>
        <s v="SH11788"/>
        <s v="SH11789"/>
        <s v="SH11790"/>
        <s v="SH11791"/>
        <s v="SH11792"/>
        <s v="SH11793"/>
        <s v="SH11794"/>
        <s v="SH11795"/>
        <s v="SH11796"/>
        <s v="SH11797"/>
        <s v="SH11798"/>
        <s v="SH11799"/>
        <s v="SH11800"/>
        <s v="SH11801"/>
        <s v="SH11802"/>
        <s v="SH11803"/>
        <s v="SH11804"/>
        <s v="SH11805"/>
        <s v="SH11806"/>
        <s v="SH11807"/>
        <s v="SH11808"/>
        <s v="SH11809"/>
        <s v="SH11810"/>
        <s v="SH11811"/>
        <s v="SH11812"/>
        <s v="SH11813"/>
        <s v="SH11814"/>
        <s v="SH11815"/>
        <s v="SH11816"/>
        <s v="SH11817"/>
        <s v="SH11818"/>
        <s v="SH11819"/>
        <s v="SH11820"/>
        <s v="SH11821"/>
        <s v="SH11822"/>
        <s v="SH11823"/>
        <s v="SH11824"/>
        <s v="SH11825"/>
        <s v="SH11826"/>
        <s v="SH11827"/>
        <s v="SH11828"/>
        <s v="SH11829"/>
        <s v="SH11830"/>
        <s v="SH11831"/>
        <s v="SH11832"/>
        <s v="SH11833"/>
        <s v="SH11834"/>
        <s v="SH11835"/>
        <s v="SH11836"/>
        <s v="SH11837"/>
        <s v="SH11838"/>
        <s v="SH11839"/>
        <s v="SH11840"/>
        <s v="SH11841"/>
        <s v="SH11842"/>
        <s v="SH11843"/>
        <s v="SH11844"/>
        <s v="SH11845"/>
        <s v="SH11846"/>
        <s v="SH11847"/>
        <s v="SH11848"/>
        <s v="SH11849"/>
        <s v="SH11850"/>
        <s v="SH11851"/>
        <s v="SH11852"/>
        <s v="SH11853"/>
        <s v="SH11854"/>
        <s v="SH11855"/>
        <s v="SH11856"/>
        <s v="SH11857"/>
        <s v="SH11858"/>
        <s v="SH11859"/>
        <s v="SH11860"/>
        <s v="SH11861"/>
        <s v="SH11862"/>
        <s v="SH11863"/>
        <s v="SH11864"/>
        <s v="SH11865"/>
        <s v="SH11866"/>
        <s v="SH11867"/>
        <s v="SH11868"/>
        <s v="SH11869"/>
        <s v="SH11870"/>
        <s v="SH11871"/>
        <s v="SH11872"/>
        <s v="SH11873"/>
        <s v="SH11874"/>
        <s v="SH11875"/>
        <s v="SH11876"/>
        <s v="SH11877"/>
        <s v="SH11878"/>
        <s v="SH11879"/>
        <s v="SH11880"/>
        <s v="SH11881"/>
        <s v="SH11882"/>
        <s v="SH11883"/>
        <s v="SH11884"/>
        <s v="SH11885"/>
        <s v="SH11886"/>
        <s v="SH11887"/>
        <s v="SH11888"/>
        <s v="SH11889"/>
        <s v="SH11890"/>
        <s v="SH11891"/>
        <s v="SH11892"/>
        <s v="SH11893"/>
        <s v="SH11894"/>
        <s v="SH11895"/>
        <s v="SH11896"/>
        <s v="SH11897"/>
        <s v="SH11898"/>
        <s v="SH11899"/>
        <s v="SH11900"/>
        <s v="SH11901"/>
        <s v="SH11902"/>
        <s v="SH11903"/>
        <s v="SH11904"/>
        <s v="SH11905"/>
        <s v="SH11906"/>
        <s v="SH11907"/>
        <s v="SH11908"/>
        <s v="SH11909"/>
        <s v="SH11910"/>
        <s v="SH11911"/>
        <s v="SH11912"/>
        <s v="SH11913"/>
        <s v="SH11914"/>
        <s v="SH11915"/>
        <s v="SH11916"/>
        <s v="SH11917"/>
        <s v="SH11918"/>
        <s v="SH11919"/>
        <s v="SH11920"/>
        <s v="SH11921"/>
        <s v="SH11922"/>
        <s v="SH11923"/>
        <s v="SH11924"/>
        <s v="SH11925"/>
        <s v="SH11926"/>
        <s v="SH11927"/>
        <s v="SH11928"/>
        <s v="SH11929"/>
        <s v="SH11930"/>
        <s v="SH11931"/>
        <s v="SH11932"/>
        <s v="SH11933"/>
        <s v="SH11934"/>
        <s v="SH11935"/>
        <s v="SH11936"/>
        <s v="SH11937"/>
        <s v="SH11938"/>
        <s v="SH11939"/>
        <s v="SH11940"/>
        <s v="SH11941"/>
        <s v="SH11942"/>
        <s v="SH11943"/>
        <s v="SH11944"/>
        <s v="SH11945"/>
        <s v="SH11946"/>
        <s v="SH11947"/>
        <s v="SH11948"/>
        <s v="SH11949"/>
        <s v="SH11950"/>
        <s v="SH11951"/>
        <s v="SH11952"/>
        <s v="SH11953"/>
        <s v="SH11954"/>
        <s v="SH11955"/>
        <s v="SH11956"/>
        <s v="SH11957"/>
        <s v="SH11958"/>
        <s v="SH11959"/>
        <s v="SH11960"/>
        <s v="SH11961"/>
        <s v="SH11962"/>
        <s v="SH11963"/>
        <s v="SH11964"/>
        <s v="SH11965"/>
        <s v="SH11966"/>
        <s v="SH11967"/>
        <s v="SH11968"/>
        <s v="SH11969"/>
        <s v="SH11970"/>
        <s v="SH11971"/>
        <s v="SH11972"/>
        <s v="SH11973"/>
        <s v="SH11974"/>
        <s v="SH11975"/>
        <s v="SH11976"/>
        <s v="SH11977"/>
        <s v="SH11978"/>
        <s v="SH11979"/>
        <s v="SH11980"/>
        <s v="SH11981"/>
        <s v="SH11982"/>
        <s v="SH11983"/>
        <s v="SH11984"/>
        <s v="SH11985"/>
        <s v="SH11986"/>
        <s v="SH11987"/>
        <s v="SH11988"/>
        <s v="SH11989"/>
        <s v="SH11990"/>
        <s v="SH11991"/>
        <s v="SH11992"/>
        <s v="SH11993"/>
        <s v="SH11994"/>
        <s v="SH11995"/>
        <s v="SH11996"/>
        <s v="SH11997"/>
        <s v="SH11998"/>
        <s v="SH11999"/>
      </sharedItems>
    </cacheField>
    <cacheField name="Origin_Warehouse" numFmtId="0">
      <sharedItems count="10">
        <s v="Warehouse_MIA"/>
        <s v="Warehouse_LA"/>
        <s v="Warehouse_BOS"/>
        <s v="Warehouse_SF"/>
        <s v="Warehouse_ATL"/>
        <s v="Warehouse_CHI"/>
        <s v="Warehouse_HOU"/>
        <s v="Warehouse_SEA"/>
        <s v="Warehouse_NYC"/>
        <s v="Warehouse_DEN"/>
      </sharedItems>
    </cacheField>
    <cacheField name="Destination" numFmtId="0">
      <sharedItems count="15">
        <s v="San Francisco"/>
        <s v="Atlanta"/>
        <s v="Houston"/>
        <s v="Seattle"/>
        <s v="Dallas"/>
        <s v="New York"/>
        <s v="Portland"/>
        <s v="Detroit"/>
        <s v="Chicago"/>
        <s v="Boston"/>
        <s v="Phoenix"/>
        <s v="Miami"/>
        <s v="Minneapolis"/>
        <s v="Los Angeles"/>
        <s v="Denver"/>
      </sharedItems>
    </cacheField>
    <cacheField name="Carrier" numFmtId="0">
      <sharedItems count="7">
        <s v="UPS"/>
        <s v="DHL"/>
        <s v="OnTrac"/>
        <s v="FedEx"/>
        <s v="Amazon Logistics"/>
        <s v="LaserShip"/>
        <s v="USPS"/>
      </sharedItems>
    </cacheField>
    <cacheField name="Shipment_Date" numFmtId="14">
      <sharedItems containsSemiMixedTypes="0" containsNonDate="0" containsDate="1" containsString="0" minDate="2023-01-01T00:00:00" maxDate="2024-01-01T00:00:00"/>
    </cacheField>
    <cacheField name="Delivery_Date" numFmtId="0">
      <sharedItems containsNonDate="0" containsDate="1" containsString="0" containsBlank="1" minDate="2023-01-03T00:00:00" maxDate="2024-01-13T00:00:00"/>
    </cacheField>
    <cacheField name="Weight_kg" numFmtId="0">
      <sharedItems containsSemiMixedTypes="0" containsString="0" containsNumber="1" minValue="0" maxValue="5404.2"/>
    </cacheField>
    <cacheField name="Cost" numFmtId="0">
      <sharedItems containsString="0" containsBlank="1" containsNumber="1" minValue="17.89" maxValue="6562.21"/>
    </cacheField>
    <cacheField name="Status" numFmtId="0">
      <sharedItems/>
    </cacheField>
    <cacheField name="Distance_miles" numFmtId="0">
      <sharedItems containsSemiMixedTypes="0" containsString="0" containsNumber="1" containsInteger="1" minValue="101" maxValue="2499"/>
    </cacheField>
    <cacheField name="Transit_Days" numFmtId="0">
      <sharedItems containsSemiMixedTypes="0" containsString="0" containsNumber="1" containsInteger="1" minValue="1" maxValue="12"/>
    </cacheField>
    <cacheField name="Orginal staus of shipment" numFmtId="0">
      <sharedItems count="5">
        <s v="Delivered"/>
        <s v="Delayed"/>
        <s v="Lost"/>
        <s v="Returned"/>
        <s v="In Transit"/>
      </sharedItems>
    </cacheField>
    <cacheField name="cost per mile" numFmtId="2">
      <sharedItems containsSemiMixedTypes="0" containsString="0" containsNumber="1" minValue="0" maxValue="3.3790988671472708"/>
    </cacheField>
    <cacheField name="delivery effciency" numFmtId="0">
      <sharedItems/>
    </cacheField>
  </cacheFields>
  <extLst>
    <ext xmlns:x14="http://schemas.microsoft.com/office/spreadsheetml/2009/9/main" uri="{725AE2AE-9491-48be-B2B4-4EB974FC3084}">
      <x14:pivotCacheDefinition pivotCacheId="1095332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d v="2023-10-02T00:00:00"/>
    <d v="2023-10-04T00:00:00"/>
    <n v="25.7"/>
    <n v="67.459999999999994"/>
    <s v="Delivered"/>
    <n v="291"/>
    <n v="2"/>
    <x v="0"/>
    <n v="0.23182130584192437"/>
    <s v="fast"/>
  </r>
  <r>
    <x v="1"/>
    <x v="0"/>
    <x v="1"/>
    <x v="1"/>
    <d v="2023-12-06T00:00:00"/>
    <d v="2023-12-09T00:00:00"/>
    <n v="38.9"/>
    <n v="268.85000000000002"/>
    <s v="Delivered"/>
    <n v="1225"/>
    <n v="3"/>
    <x v="0"/>
    <n v="0.21946938775510205"/>
    <s v="fast"/>
  </r>
  <r>
    <x v="2"/>
    <x v="1"/>
    <x v="2"/>
    <x v="1"/>
    <d v="2023-09-18T00:00:00"/>
    <d v="2023-09-20T00:00:00"/>
    <n v="37.200000000000003"/>
    <n v="74.349999999999994"/>
    <s v="Delivered"/>
    <n v="220"/>
    <n v="2"/>
    <x v="0"/>
    <n v="0.33795454545454545"/>
    <s v="fast"/>
  </r>
  <r>
    <x v="3"/>
    <x v="2"/>
    <x v="3"/>
    <x v="2"/>
    <d v="2023-01-26T00:00:00"/>
    <d v="2023-02-04T00:00:00"/>
    <n v="42.6"/>
    <n v="187.04"/>
    <s v="Delivered"/>
    <n v="1156"/>
    <n v="9"/>
    <x v="0"/>
    <n v="0.1617993079584775"/>
    <s v="slow"/>
  </r>
  <r>
    <x v="4"/>
    <x v="3"/>
    <x v="4"/>
    <x v="2"/>
    <d v="2023-06-03T00:00:00"/>
    <d v="2023-06-06T00:00:00"/>
    <n v="7.9"/>
    <n v="120.01"/>
    <s v="Delivered"/>
    <n v="1017"/>
    <n v="3"/>
    <x v="0"/>
    <n v="0.11800393313667651"/>
    <s v="fast"/>
  </r>
  <r>
    <x v="5"/>
    <x v="4"/>
    <x v="5"/>
    <x v="3"/>
    <d v="2023-09-13T00:00:00"/>
    <d v="2023-09-16T00:00:00"/>
    <n v="9.1"/>
    <n v="143.26"/>
    <s v="Delivered"/>
    <n v="898"/>
    <n v="3"/>
    <x v="0"/>
    <n v="0.15953229398663696"/>
    <s v="fast"/>
  </r>
  <r>
    <x v="6"/>
    <x v="2"/>
    <x v="2"/>
    <x v="0"/>
    <d v="2023-10-19T00:00:00"/>
    <d v="2023-10-23T00:00:00"/>
    <n v="0.4"/>
    <n v="225.23"/>
    <s v="Delivered"/>
    <n v="1522"/>
    <n v="4"/>
    <x v="0"/>
    <n v="0.14798291721419185"/>
    <s v="fast"/>
  </r>
  <r>
    <x v="7"/>
    <x v="5"/>
    <x v="6"/>
    <x v="4"/>
    <d v="2023-02-27T00:00:00"/>
    <d v="2023-03-08T00:00:00"/>
    <n v="16.7"/>
    <n v="281.23"/>
    <s v="Delivered"/>
    <n v="2013"/>
    <n v="9"/>
    <x v="0"/>
    <n v="0.13970690511674119"/>
    <s v="slow"/>
  </r>
  <r>
    <x v="8"/>
    <x v="6"/>
    <x v="7"/>
    <x v="4"/>
    <d v="2023-11-24T00:00:00"/>
    <d v="2023-12-01T00:00:00"/>
    <n v="15.1"/>
    <n v="341.93"/>
    <s v="Delivered"/>
    <n v="2072"/>
    <n v="7"/>
    <x v="0"/>
    <n v="0.16502413127413126"/>
    <s v="slow"/>
  </r>
  <r>
    <x v="9"/>
    <x v="3"/>
    <x v="7"/>
    <x v="5"/>
    <d v="2023-01-19T00:00:00"/>
    <d v="2023-01-21T00:00:00"/>
    <n v="27.7"/>
    <n v="55.24"/>
    <s v="Delivered"/>
    <n v="214"/>
    <n v="2"/>
    <x v="0"/>
    <n v="0.25813084112149531"/>
    <s v="fast"/>
  </r>
  <r>
    <x v="10"/>
    <x v="0"/>
    <x v="8"/>
    <x v="3"/>
    <d v="2023-02-02T00:00:00"/>
    <d v="2023-02-07T00:00:00"/>
    <n v="7.1"/>
    <n v="251.53"/>
    <s v="Delivered"/>
    <n v="1736"/>
    <n v="5"/>
    <x v="0"/>
    <n v="0.14489055299539172"/>
    <s v="slow"/>
  </r>
  <r>
    <x v="11"/>
    <x v="4"/>
    <x v="9"/>
    <x v="4"/>
    <d v="2023-05-28T00:00:00"/>
    <d v="2023-06-04T00:00:00"/>
    <n v="38.200000000000003"/>
    <n v="357.12"/>
    <s v="Delayed"/>
    <n v="2366"/>
    <n v="6"/>
    <x v="1"/>
    <n v="0.15093829247675403"/>
    <s v="not applicabel"/>
  </r>
  <r>
    <x v="12"/>
    <x v="7"/>
    <x v="5"/>
    <x v="3"/>
    <d v="2023-08-08T00:00:00"/>
    <d v="2023-08-13T00:00:00"/>
    <n v="34.4"/>
    <n v="121.14"/>
    <s v="Delivered"/>
    <n v="650"/>
    <n v="5"/>
    <x v="0"/>
    <n v="0.18636923076923076"/>
    <s v="slow"/>
  </r>
  <r>
    <x v="13"/>
    <x v="8"/>
    <x v="10"/>
    <x v="0"/>
    <d v="2023-12-28T00:00:00"/>
    <d v="2024-01-03T00:00:00"/>
    <n v="20.7"/>
    <n v="272.48"/>
    <s v="Delivered"/>
    <n v="1574"/>
    <n v="6"/>
    <x v="0"/>
    <n v="0.17311308767471412"/>
    <s v="slow"/>
  </r>
  <r>
    <x v="14"/>
    <x v="2"/>
    <x v="11"/>
    <x v="3"/>
    <d v="2023-07-24T00:00:00"/>
    <d v="2023-07-30T00:00:00"/>
    <n v="12.5"/>
    <n v="266.08"/>
    <s v="Delivered"/>
    <n v="1849"/>
    <n v="6"/>
    <x v="0"/>
    <n v="0.14390481341265549"/>
    <s v="slow"/>
  </r>
  <r>
    <x v="15"/>
    <x v="9"/>
    <x v="12"/>
    <x v="2"/>
    <d v="2023-05-10T00:00:00"/>
    <d v="2023-05-16T00:00:00"/>
    <n v="28.6"/>
    <n v="221.21"/>
    <s v="Delivered"/>
    <n v="1489"/>
    <n v="6"/>
    <x v="0"/>
    <n v="0.14856279382135662"/>
    <s v="slow"/>
  </r>
  <r>
    <x v="16"/>
    <x v="5"/>
    <x v="7"/>
    <x v="6"/>
    <d v="2023-01-25T00:00:00"/>
    <d v="2023-01-26T00:00:00"/>
    <n v="24.1"/>
    <n v="60.27"/>
    <s v="Lost"/>
    <n v="283"/>
    <n v="1"/>
    <x v="2"/>
    <n v="0.21296819787985866"/>
    <s v="not applicabel"/>
  </r>
  <r>
    <x v="17"/>
    <x v="1"/>
    <x v="0"/>
    <x v="2"/>
    <d v="2023-06-08T00:00:00"/>
    <d v="2023-06-11T00:00:00"/>
    <n v="43.2"/>
    <n v="80.599999999999994"/>
    <s v="In Transit"/>
    <n v="223"/>
    <n v="3"/>
    <x v="0"/>
    <n v="0.36143497757847531"/>
    <s v="fast"/>
  </r>
  <r>
    <x v="18"/>
    <x v="4"/>
    <x v="1"/>
    <x v="2"/>
    <d v="2023-10-16T00:00:00"/>
    <d v="2023-10-25T00:00:00"/>
    <n v="6.3"/>
    <n v="124.52"/>
    <s v="Delivered"/>
    <n v="1055"/>
    <n v="9"/>
    <x v="0"/>
    <n v="0.11802843601895734"/>
    <s v="slow"/>
  </r>
  <r>
    <x v="19"/>
    <x v="0"/>
    <x v="6"/>
    <x v="1"/>
    <d v="2023-01-16T00:00:00"/>
    <d v="2023-01-21T00:00:00"/>
    <n v="51.2"/>
    <n v="290.72000000000003"/>
    <s v="Delivered"/>
    <n v="1660"/>
    <n v="5"/>
    <x v="0"/>
    <n v="0.17513253012048194"/>
    <s v="slow"/>
  </r>
  <r>
    <x v="20"/>
    <x v="0"/>
    <x v="11"/>
    <x v="3"/>
    <d v="2023-08-10T00:00:00"/>
    <d v="2023-07-11T00:00:00"/>
    <n v="7.8"/>
    <n v="216.42"/>
    <s v="Delivered"/>
    <n v="1696"/>
    <n v="5"/>
    <x v="0"/>
    <n v="0.1276061320754717"/>
    <s v="slow"/>
  </r>
  <r>
    <x v="21"/>
    <x v="7"/>
    <x v="2"/>
    <x v="5"/>
    <d v="2023-08-23T00:00:00"/>
    <d v="2023-08-27T00:00:00"/>
    <n v="29.6"/>
    <n v="216.63"/>
    <s v="Returned"/>
    <n v="1407"/>
    <n v="4"/>
    <x v="3"/>
    <n v="0.15396588486140725"/>
    <s v="not applicabel"/>
  </r>
  <r>
    <x v="22"/>
    <x v="5"/>
    <x v="0"/>
    <x v="6"/>
    <d v="2023-07-21T00:00:00"/>
    <d v="2023-07-23T00:00:00"/>
    <n v="15.2"/>
    <n v="67.11"/>
    <s v="Delivered"/>
    <n v="440"/>
    <n v="2"/>
    <x v="0"/>
    <n v="0.15252272727272728"/>
    <s v="fast"/>
  </r>
  <r>
    <x v="23"/>
    <x v="7"/>
    <x v="13"/>
    <x v="1"/>
    <d v="2023-10-26T00:00:00"/>
    <d v="2023-10-29T00:00:00"/>
    <n v="22.2"/>
    <n v="228.57"/>
    <s v="Delivered"/>
    <n v="1402"/>
    <n v="3"/>
    <x v="0"/>
    <n v="0.16303138373751783"/>
    <s v="fast"/>
  </r>
  <r>
    <x v="24"/>
    <x v="9"/>
    <x v="10"/>
    <x v="6"/>
    <d v="2023-08-11T00:00:00"/>
    <d v="2023-08-15T00:00:00"/>
    <n v="5.3"/>
    <n v="37.32"/>
    <s v="Delivered"/>
    <n v="256"/>
    <n v="4"/>
    <x v="0"/>
    <n v="0.14578125"/>
    <s v="fast"/>
  </r>
  <r>
    <x v="25"/>
    <x v="8"/>
    <x v="6"/>
    <x v="0"/>
    <d v="2023-04-27T00:00:00"/>
    <d v="2023-04-29T00:00:00"/>
    <n v="40"/>
    <n v="124.29"/>
    <s v="Delivered"/>
    <n v="519"/>
    <n v="2"/>
    <x v="0"/>
    <n v="0.23947976878612717"/>
    <s v="fast"/>
  </r>
  <r>
    <x v="26"/>
    <x v="9"/>
    <x v="11"/>
    <x v="0"/>
    <d v="2023-12-30T00:00:00"/>
    <d v="2024-01-01T00:00:00"/>
    <n v="8.6999999999999993"/>
    <n v="73.52"/>
    <s v="Delivered"/>
    <n v="386"/>
    <n v="2"/>
    <x v="0"/>
    <n v="0.19046632124352331"/>
    <s v="fast"/>
  </r>
  <r>
    <x v="27"/>
    <x v="9"/>
    <x v="9"/>
    <x v="6"/>
    <d v="2023-12-30T00:00:00"/>
    <d v="2024-01-05T00:00:00"/>
    <n v="10.1"/>
    <n v="309.58999999999997"/>
    <s v="Delayed"/>
    <n v="1986"/>
    <n v="5"/>
    <x v="1"/>
    <n v="0.15588620342396775"/>
    <s v="not applicabel"/>
  </r>
  <r>
    <x v="28"/>
    <x v="3"/>
    <x v="4"/>
    <x v="5"/>
    <d v="2023-12-15T00:00:00"/>
    <d v="2023-12-20T00:00:00"/>
    <n v="22.8"/>
    <n v="373.64"/>
    <s v="Delivered"/>
    <n v="2229"/>
    <n v="5"/>
    <x v="0"/>
    <n v="0.1676267384477344"/>
    <s v="slow"/>
  </r>
  <r>
    <x v="29"/>
    <x v="7"/>
    <x v="8"/>
    <x v="1"/>
    <d v="2023-06-27T00:00:00"/>
    <d v="2023-07-03T00:00:00"/>
    <n v="13"/>
    <n v="347.94"/>
    <s v="Delivered"/>
    <n v="2310"/>
    <n v="6"/>
    <x v="0"/>
    <n v="0.15062337662337663"/>
    <s v="slow"/>
  </r>
  <r>
    <x v="30"/>
    <x v="3"/>
    <x v="0"/>
    <x v="5"/>
    <d v="2023-11-04T00:00:00"/>
    <m/>
    <n v="28.5"/>
    <n v="109.33"/>
    <s v="Delivered"/>
    <n v="502"/>
    <n v="2"/>
    <x v="4"/>
    <n v="0.21778884462151393"/>
    <s v="not applicabel"/>
  </r>
  <r>
    <x v="31"/>
    <x v="2"/>
    <x v="4"/>
    <x v="2"/>
    <d v="2023-07-04T00:00:00"/>
    <d v="2023-07-08T00:00:00"/>
    <n v="30.2"/>
    <n v="162.68"/>
    <s v="Delivered"/>
    <n v="1048"/>
    <n v="4"/>
    <x v="0"/>
    <n v="0.1552290076335878"/>
    <s v="fast"/>
  </r>
  <r>
    <x v="32"/>
    <x v="5"/>
    <x v="5"/>
    <x v="3"/>
    <d v="2023-09-27T00:00:00"/>
    <d v="2023-10-01T00:00:00"/>
    <n v="11.3"/>
    <n v="206.19"/>
    <s v="Delivered"/>
    <n v="1551"/>
    <n v="4"/>
    <x v="0"/>
    <n v="0.13294003868471954"/>
    <s v="fast"/>
  </r>
  <r>
    <x v="33"/>
    <x v="3"/>
    <x v="14"/>
    <x v="6"/>
    <d v="2023-03-26T00:00:00"/>
    <d v="2023-04-02T00:00:00"/>
    <n v="15.8"/>
    <n v="66.349999999999994"/>
    <s v="Delayed"/>
    <n v="431"/>
    <n v="2"/>
    <x v="1"/>
    <n v="0.1539443155452436"/>
    <s v="not applicabel"/>
  </r>
  <r>
    <x v="34"/>
    <x v="7"/>
    <x v="14"/>
    <x v="2"/>
    <d v="2023-02-21T00:00:00"/>
    <d v="2023-02-23T00:00:00"/>
    <n v="10.7"/>
    <n v="76.52"/>
    <s v="Delivered"/>
    <n v="528"/>
    <n v="2"/>
    <x v="0"/>
    <n v="0.14492424242424243"/>
    <s v="fast"/>
  </r>
  <r>
    <x v="35"/>
    <x v="2"/>
    <x v="4"/>
    <x v="2"/>
    <d v="2023-07-16T00:00:00"/>
    <d v="2023-07-17T00:00:00"/>
    <n v="37.700000000000003"/>
    <n v="55.09"/>
    <s v="Lost"/>
    <n v="131"/>
    <n v="1"/>
    <x v="2"/>
    <n v="0.42053435114503818"/>
    <s v="not applicabel"/>
  </r>
  <r>
    <x v="36"/>
    <x v="4"/>
    <x v="13"/>
    <x v="3"/>
    <d v="2023-06-02T00:00:00"/>
    <d v="2023-06-18T00:00:00"/>
    <n v="27.9"/>
    <n v="123.81"/>
    <s v="Delayed"/>
    <n v="659"/>
    <n v="3"/>
    <x v="1"/>
    <n v="0.18787556904400607"/>
    <s v="not applicabel"/>
  </r>
  <r>
    <x v="37"/>
    <x v="3"/>
    <x v="4"/>
    <x v="4"/>
    <d v="2023-11-06T00:00:00"/>
    <d v="2023-11-11T00:00:00"/>
    <n v="26.6"/>
    <n v="333.35"/>
    <s v="Delivered"/>
    <n v="2209"/>
    <n v="5"/>
    <x v="0"/>
    <n v="0.15090538705296516"/>
    <s v="slow"/>
  </r>
  <r>
    <x v="38"/>
    <x v="3"/>
    <x v="7"/>
    <x v="5"/>
    <d v="2023-11-04T00:00:00"/>
    <d v="2023-11-10T00:00:00"/>
    <n v="30.7"/>
    <n v="282.70999999999998"/>
    <s v="Returned"/>
    <n v="1674"/>
    <n v="6"/>
    <x v="3"/>
    <n v="0.16888291517323775"/>
    <s v="not applicabel"/>
  </r>
  <r>
    <x v="39"/>
    <x v="0"/>
    <x v="5"/>
    <x v="5"/>
    <d v="2023-12-08T00:00:00"/>
    <m/>
    <n v="65.2"/>
    <n v="284.81"/>
    <s v="Delivered"/>
    <n v="1204"/>
    <n v="3"/>
    <x v="4"/>
    <n v="0.23655315614617942"/>
    <s v="not applicabel"/>
  </r>
  <r>
    <x v="40"/>
    <x v="2"/>
    <x v="14"/>
    <x v="4"/>
    <d v="2023-10-04T00:00:00"/>
    <d v="2023-10-10T00:00:00"/>
    <n v="13.4"/>
    <n v="209.01"/>
    <s v="Delivered"/>
    <n v="1550"/>
    <n v="6"/>
    <x v="0"/>
    <n v="0.13484516129032256"/>
    <s v="slow"/>
  </r>
  <r>
    <x v="41"/>
    <x v="8"/>
    <x v="13"/>
    <x v="0"/>
    <d v="2023-05-13T00:00:00"/>
    <d v="2023-05-17T00:00:00"/>
    <n v="31.9"/>
    <n v="263.06"/>
    <s v="Delivered"/>
    <n v="1696"/>
    <n v="4"/>
    <x v="0"/>
    <n v="0.15510613207547169"/>
    <s v="fast"/>
  </r>
  <r>
    <x v="42"/>
    <x v="8"/>
    <x v="13"/>
    <x v="6"/>
    <d v="2023-12-29T00:00:00"/>
    <d v="2024-01-01T00:00:00"/>
    <n v="37.799999999999997"/>
    <n v="129.72999999999999"/>
    <s v="Delivered"/>
    <n v="660"/>
    <n v="3"/>
    <x v="0"/>
    <n v="0.19656060606060605"/>
    <s v="fast"/>
  </r>
  <r>
    <x v="43"/>
    <x v="7"/>
    <x v="5"/>
    <x v="1"/>
    <d v="2023-03-09T00:00:00"/>
    <d v="2023-03-13T00:00:00"/>
    <n v="17.399999999999999"/>
    <n v="194.58"/>
    <s v="Delivered"/>
    <n v="1153"/>
    <n v="4"/>
    <x v="0"/>
    <n v="0.16875975715524719"/>
    <s v="fast"/>
  </r>
  <r>
    <x v="44"/>
    <x v="5"/>
    <x v="0"/>
    <x v="2"/>
    <d v="2023-05-08T00:00:00"/>
    <d v="2023-05-11T00:00:00"/>
    <n v="4.7"/>
    <n v="49.68"/>
    <s v="Delivered"/>
    <n v="343"/>
    <n v="3"/>
    <x v="0"/>
    <n v="0.1448396501457726"/>
    <s v="fast"/>
  </r>
  <r>
    <x v="45"/>
    <x v="8"/>
    <x v="11"/>
    <x v="5"/>
    <d v="2023-04-24T00:00:00"/>
    <d v="2023-04-29T00:00:00"/>
    <n v="29.7"/>
    <n v="245.98"/>
    <s v="Delivered"/>
    <n v="1973"/>
    <n v="5"/>
    <x v="0"/>
    <n v="0.1246730866700456"/>
    <s v="slow"/>
  </r>
  <r>
    <x v="46"/>
    <x v="1"/>
    <x v="13"/>
    <x v="1"/>
    <d v="2023-09-05T00:00:00"/>
    <d v="2023-09-11T00:00:00"/>
    <n v="9"/>
    <n v="356.77"/>
    <s v="Delivered"/>
    <n v="2335"/>
    <n v="6"/>
    <x v="0"/>
    <n v="0.15279229122055674"/>
    <s v="slow"/>
  </r>
  <r>
    <x v="47"/>
    <x v="3"/>
    <x v="4"/>
    <x v="6"/>
    <d v="2023-01-17T00:00:00"/>
    <d v="2023-01-20T00:00:00"/>
    <n v="25.4"/>
    <n v="127.22"/>
    <s v="Delivered"/>
    <n v="816"/>
    <n v="3"/>
    <x v="0"/>
    <n v="0.15590686274509805"/>
    <s v="fast"/>
  </r>
  <r>
    <x v="48"/>
    <x v="3"/>
    <x v="10"/>
    <x v="5"/>
    <d v="2023-04-23T00:00:00"/>
    <d v="2023-04-30T00:00:00"/>
    <n v="14.2"/>
    <n v="248.03"/>
    <s v="Delivered"/>
    <n v="1758"/>
    <n v="7"/>
    <x v="0"/>
    <n v="0.14108646188850968"/>
    <s v="slow"/>
  </r>
  <r>
    <x v="49"/>
    <x v="0"/>
    <x v="9"/>
    <x v="0"/>
    <d v="2023-01-07T00:00:00"/>
    <d v="2023-01-11T00:00:00"/>
    <n v="84.1"/>
    <n v="251.24"/>
    <s v="Delivered"/>
    <n v="1010"/>
    <n v="4"/>
    <x v="0"/>
    <n v="0.24875247524752475"/>
    <s v="fast"/>
  </r>
  <r>
    <x v="50"/>
    <x v="0"/>
    <x v="5"/>
    <x v="3"/>
    <d v="2023-08-06T00:00:00"/>
    <d v="2023-08-22T00:00:00"/>
    <n v="29.5"/>
    <n v="340.07"/>
    <s v="Delayed"/>
    <n v="2396"/>
    <n v="6"/>
    <x v="1"/>
    <n v="0.14193238731218696"/>
    <s v="not applicabel"/>
  </r>
  <r>
    <x v="51"/>
    <x v="7"/>
    <x v="12"/>
    <x v="6"/>
    <d v="2023-02-23T00:00:00"/>
    <d v="2023-02-28T00:00:00"/>
    <n v="19.600000000000001"/>
    <n v="156.03"/>
    <s v="Delivered"/>
    <n v="1267"/>
    <n v="5"/>
    <x v="0"/>
    <n v="0.12314917127071823"/>
    <s v="slow"/>
  </r>
  <r>
    <x v="52"/>
    <x v="2"/>
    <x v="8"/>
    <x v="4"/>
    <d v="2023-01-27T00:00:00"/>
    <d v="2023-02-01T00:00:00"/>
    <n v="25.9"/>
    <n v="206.17"/>
    <s v="Delivered"/>
    <n v="1365"/>
    <n v="5"/>
    <x v="0"/>
    <n v="0.15104029304029304"/>
    <s v="slow"/>
  </r>
  <r>
    <x v="53"/>
    <x v="2"/>
    <x v="4"/>
    <x v="0"/>
    <d v="2023-02-18T00:00:00"/>
    <d v="2023-02-23T00:00:00"/>
    <n v="26.6"/>
    <n v="277.97000000000003"/>
    <s v="Delivered"/>
    <n v="1847"/>
    <n v="5"/>
    <x v="0"/>
    <n v="0.15049810503519223"/>
    <s v="slow"/>
  </r>
  <r>
    <x v="54"/>
    <x v="9"/>
    <x v="12"/>
    <x v="5"/>
    <d v="2023-05-11T00:00:00"/>
    <d v="2023-05-17T00:00:00"/>
    <n v="31.6"/>
    <n v="283.13"/>
    <s v="Delivered"/>
    <n v="2249"/>
    <n v="6"/>
    <x v="0"/>
    <n v="0.12589150733659404"/>
    <s v="slow"/>
  </r>
  <r>
    <x v="55"/>
    <x v="5"/>
    <x v="8"/>
    <x v="2"/>
    <d v="2023-09-27T00:00:00"/>
    <d v="2023-09-30T00:00:00"/>
    <n v="24.7"/>
    <n v="68.63"/>
    <s v="Delivered"/>
    <n v="342"/>
    <n v="3"/>
    <x v="0"/>
    <n v="0.20067251461988303"/>
    <s v="fast"/>
  </r>
  <r>
    <x v="56"/>
    <x v="3"/>
    <x v="12"/>
    <x v="5"/>
    <d v="2023-04-14T00:00:00"/>
    <d v="2023-04-19T00:00:00"/>
    <n v="23.2"/>
    <n v="231.64"/>
    <s v="Delivered"/>
    <n v="1913"/>
    <n v="5"/>
    <x v="0"/>
    <n v="0.12108729743857814"/>
    <s v="slow"/>
  </r>
  <r>
    <x v="57"/>
    <x v="6"/>
    <x v="13"/>
    <x v="5"/>
    <d v="2023-10-26T00:00:00"/>
    <d v="2023-10-29T00:00:00"/>
    <n v="6.8"/>
    <n v="42.06"/>
    <s v="Lost"/>
    <n v="255"/>
    <n v="3"/>
    <x v="2"/>
    <n v="0.16494117647058826"/>
    <s v="not applicabel"/>
  </r>
  <r>
    <x v="58"/>
    <x v="3"/>
    <x v="13"/>
    <x v="6"/>
    <d v="2023-10-11T00:00:00"/>
    <d v="2023-10-13T00:00:00"/>
    <n v="8.9"/>
    <n v="78.37"/>
    <s v="Delivered"/>
    <n v="600"/>
    <n v="2"/>
    <x v="0"/>
    <n v="0.13061666666666669"/>
    <s v="fast"/>
  </r>
  <r>
    <x v="59"/>
    <x v="2"/>
    <x v="0"/>
    <x v="2"/>
    <d v="2023-11-01T00:00:00"/>
    <d v="2023-11-06T00:00:00"/>
    <n v="28.5"/>
    <n v="128.94"/>
    <s v="Delivered"/>
    <n v="622"/>
    <n v="5"/>
    <x v="0"/>
    <n v="0.20729903536977493"/>
    <s v="slow"/>
  </r>
  <r>
    <x v="60"/>
    <x v="6"/>
    <x v="14"/>
    <x v="2"/>
    <d v="2023-10-10T00:00:00"/>
    <d v="2023-10-13T00:00:00"/>
    <n v="59.8"/>
    <n v="196.89"/>
    <s v="Delivered"/>
    <n v="1030"/>
    <n v="3"/>
    <x v="0"/>
    <n v="0.19115533980582522"/>
    <s v="fast"/>
  </r>
  <r>
    <x v="61"/>
    <x v="4"/>
    <x v="8"/>
    <x v="5"/>
    <d v="2023-08-04T00:00:00"/>
    <d v="2023-08-07T00:00:00"/>
    <n v="9.8000000000000007"/>
    <n v="93.3"/>
    <s v="Delivered"/>
    <n v="708"/>
    <n v="3"/>
    <x v="0"/>
    <n v="0.13177966101694916"/>
    <s v="fast"/>
  </r>
  <r>
    <x v="62"/>
    <x v="7"/>
    <x v="7"/>
    <x v="3"/>
    <d v="2023-05-23T00:00:00"/>
    <d v="2023-06-10T00:00:00"/>
    <n v="61.9"/>
    <n v="316.41000000000003"/>
    <s v="Delayed"/>
    <n v="1914"/>
    <n v="5"/>
    <x v="1"/>
    <n v="0.16531347962382448"/>
    <s v="not applicabel"/>
  </r>
  <r>
    <x v="63"/>
    <x v="2"/>
    <x v="13"/>
    <x v="0"/>
    <d v="2023-07-16T00:00:00"/>
    <d v="2023-07-19T00:00:00"/>
    <n v="25.6"/>
    <n v="128.53"/>
    <s v="Delivered"/>
    <n v="740"/>
    <n v="3"/>
    <x v="0"/>
    <n v="0.17368918918918919"/>
    <s v="fast"/>
  </r>
  <r>
    <x v="64"/>
    <x v="5"/>
    <x v="13"/>
    <x v="0"/>
    <d v="2023-10-13T00:00:00"/>
    <d v="2023-10-16T00:00:00"/>
    <n v="67.599999999999994"/>
    <n v="232.32"/>
    <s v="Delivered"/>
    <n v="1007"/>
    <n v="3"/>
    <x v="0"/>
    <n v="0.23070506454816286"/>
    <s v="fast"/>
  </r>
  <r>
    <x v="65"/>
    <x v="1"/>
    <x v="11"/>
    <x v="5"/>
    <d v="2023-04-23T00:00:00"/>
    <d v="2023-04-27T00:00:00"/>
    <n v="50.3"/>
    <n v="152.13"/>
    <s v="Delivered"/>
    <n v="864"/>
    <n v="4"/>
    <x v="0"/>
    <n v="0.17607638888888888"/>
    <s v="fast"/>
  </r>
  <r>
    <x v="66"/>
    <x v="3"/>
    <x v="11"/>
    <x v="4"/>
    <d v="2023-04-03T00:00:00"/>
    <d v="2023-04-09T00:00:00"/>
    <n v="15.9"/>
    <n v="325.16000000000003"/>
    <s v="Delivered"/>
    <n v="2463"/>
    <n v="6"/>
    <x v="0"/>
    <n v="0.13201786439301666"/>
    <s v="slow"/>
  </r>
  <r>
    <x v="67"/>
    <x v="7"/>
    <x v="3"/>
    <x v="1"/>
    <d v="2023-06-11T00:00:00"/>
    <d v="2023-06-14T00:00:00"/>
    <n v="42.3"/>
    <n v="195.98"/>
    <s v="Delivered"/>
    <n v="998"/>
    <n v="3"/>
    <x v="0"/>
    <n v="0.19637274549098196"/>
    <s v="fast"/>
  </r>
  <r>
    <x v="68"/>
    <x v="7"/>
    <x v="1"/>
    <x v="3"/>
    <d v="2023-09-01T00:00:00"/>
    <d v="2023-09-09T00:00:00"/>
    <n v="26.2"/>
    <n v="261.81"/>
    <s v="Delivered"/>
    <n v="1801"/>
    <n v="8"/>
    <x v="0"/>
    <n v="0.14536923931149362"/>
    <s v="slow"/>
  </r>
  <r>
    <x v="69"/>
    <x v="7"/>
    <x v="2"/>
    <x v="3"/>
    <d v="2023-05-31T00:00:00"/>
    <d v="2023-06-04T00:00:00"/>
    <n v="35.700000000000003"/>
    <n v="180.2"/>
    <s v="Delivered"/>
    <n v="989"/>
    <n v="4"/>
    <x v="0"/>
    <n v="0.18220424671385235"/>
    <s v="fast"/>
  </r>
  <r>
    <x v="70"/>
    <x v="6"/>
    <x v="8"/>
    <x v="1"/>
    <d v="2023-04-17T00:00:00"/>
    <d v="2023-04-26T00:00:00"/>
    <n v="6.9"/>
    <n v="56.51"/>
    <s v="Delayed"/>
    <n v="383"/>
    <n v="3"/>
    <x v="1"/>
    <n v="0.14754569190600522"/>
    <s v="not applicabel"/>
  </r>
  <r>
    <x v="71"/>
    <x v="5"/>
    <x v="3"/>
    <x v="2"/>
    <d v="2023-06-20T00:00:00"/>
    <d v="2023-06-25T00:00:00"/>
    <n v="30.7"/>
    <m/>
    <s v="Delivered"/>
    <n v="2307"/>
    <n v="5"/>
    <x v="0"/>
    <n v="0"/>
    <s v="slow"/>
  </r>
  <r>
    <x v="72"/>
    <x v="8"/>
    <x v="13"/>
    <x v="5"/>
    <d v="2023-03-04T00:00:00"/>
    <d v="2023-03-13T00:00:00"/>
    <n v="10.8"/>
    <n v="225.74"/>
    <s v="Delayed"/>
    <n v="1727"/>
    <n v="6"/>
    <x v="1"/>
    <n v="0.13071221771858715"/>
    <s v="not applicabel"/>
  </r>
  <r>
    <x v="73"/>
    <x v="1"/>
    <x v="3"/>
    <x v="6"/>
    <d v="2023-09-11T00:00:00"/>
    <d v="2023-09-14T00:00:00"/>
    <n v="0.6"/>
    <n v="199.78"/>
    <s v="In Transit"/>
    <n v="1135"/>
    <n v="3"/>
    <x v="0"/>
    <n v="0.17601762114537445"/>
    <s v="fast"/>
  </r>
  <r>
    <x v="74"/>
    <x v="0"/>
    <x v="10"/>
    <x v="0"/>
    <d v="2023-02-27T00:00:00"/>
    <d v="2023-03-02T00:00:00"/>
    <n v="93"/>
    <n v="221.01"/>
    <s v="Delivered"/>
    <n v="757"/>
    <n v="3"/>
    <x v="0"/>
    <n v="0.29195508586525759"/>
    <s v="fast"/>
  </r>
  <r>
    <x v="75"/>
    <x v="6"/>
    <x v="4"/>
    <x v="2"/>
    <d v="2023-07-31T00:00:00"/>
    <d v="2023-08-04T00:00:00"/>
    <n v="35.299999999999997"/>
    <n v="261.49"/>
    <s v="Delivered"/>
    <n v="1673"/>
    <n v="4"/>
    <x v="0"/>
    <n v="0.15630005977286313"/>
    <s v="fast"/>
  </r>
  <r>
    <x v="76"/>
    <x v="9"/>
    <x v="2"/>
    <x v="4"/>
    <d v="2023-11-12T00:00:00"/>
    <d v="2023-11-13T00:00:00"/>
    <n v="25.4"/>
    <n v="85.28"/>
    <s v="Delivered"/>
    <n v="319"/>
    <n v="1"/>
    <x v="0"/>
    <n v="0.26733542319749215"/>
    <s v="fast"/>
  </r>
  <r>
    <x v="77"/>
    <x v="5"/>
    <x v="3"/>
    <x v="6"/>
    <d v="2023-07-31T00:00:00"/>
    <d v="2023-08-02T00:00:00"/>
    <n v="20.8"/>
    <n v="130.21"/>
    <s v="Lost"/>
    <n v="994"/>
    <n v="2"/>
    <x v="2"/>
    <n v="0.13099597585513079"/>
    <s v="not applicabel"/>
  </r>
  <r>
    <x v="78"/>
    <x v="1"/>
    <x v="6"/>
    <x v="0"/>
    <d v="2023-11-29T00:00:00"/>
    <d v="2023-12-02T00:00:00"/>
    <n v="10.9"/>
    <n v="119.38"/>
    <s v="Delivered"/>
    <n v="612"/>
    <n v="3"/>
    <x v="0"/>
    <n v="0.19506535947712417"/>
    <s v="fast"/>
  </r>
  <r>
    <x v="79"/>
    <x v="3"/>
    <x v="7"/>
    <x v="0"/>
    <d v="2023-06-30T00:00:00"/>
    <d v="2023-07-10T00:00:00"/>
    <n v="22.4"/>
    <n v="309.17"/>
    <s v="Delayed"/>
    <n v="2214"/>
    <n v="7"/>
    <x v="1"/>
    <n v="0.13964317976513099"/>
    <s v="not applicabel"/>
  </r>
  <r>
    <x v="80"/>
    <x v="1"/>
    <x v="13"/>
    <x v="5"/>
    <d v="2023-04-04T00:00:00"/>
    <d v="2023-04-07T00:00:00"/>
    <n v="15.1"/>
    <n v="152.16"/>
    <s v="Delivered"/>
    <n v="1051"/>
    <n v="3"/>
    <x v="0"/>
    <n v="0.14477640342530923"/>
    <s v="fast"/>
  </r>
  <r>
    <x v="81"/>
    <x v="3"/>
    <x v="5"/>
    <x v="1"/>
    <d v="2023-03-14T00:00:00"/>
    <d v="2023-03-19T00:00:00"/>
    <n v="22.9"/>
    <n v="289.37"/>
    <s v="Delivered"/>
    <n v="1714"/>
    <n v="5"/>
    <x v="0"/>
    <n v="0.16882730455075845"/>
    <s v="slow"/>
  </r>
  <r>
    <x v="82"/>
    <x v="5"/>
    <x v="14"/>
    <x v="2"/>
    <d v="2023-05-07T00:00:00"/>
    <d v="2023-05-09T00:00:00"/>
    <n v="14.1"/>
    <n v="144.13999999999999"/>
    <s v="Delivered"/>
    <n v="1000"/>
    <n v="2"/>
    <x v="0"/>
    <n v="0.14413999999999999"/>
    <s v="fast"/>
  </r>
  <r>
    <x v="83"/>
    <x v="3"/>
    <x v="10"/>
    <x v="5"/>
    <d v="2023-11-04T00:00:00"/>
    <d v="2023-11-12T00:00:00"/>
    <n v="9.3000000000000007"/>
    <n v="333.26"/>
    <s v="Delivered"/>
    <n v="2210"/>
    <n v="8"/>
    <x v="0"/>
    <n v="0.15079638009049773"/>
    <s v="slow"/>
  </r>
  <r>
    <x v="84"/>
    <x v="5"/>
    <x v="1"/>
    <x v="3"/>
    <d v="2023-07-02T00:00:00"/>
    <d v="2023-07-06T00:00:00"/>
    <n v="22.9"/>
    <n v="233.89"/>
    <s v="Delivered"/>
    <n v="1510"/>
    <n v="4"/>
    <x v="0"/>
    <n v="0.15489403973509933"/>
    <s v="fast"/>
  </r>
  <r>
    <x v="85"/>
    <x v="5"/>
    <x v="13"/>
    <x v="0"/>
    <d v="2023-04-06T00:00:00"/>
    <d v="2023-04-12T00:00:00"/>
    <n v="31.7"/>
    <n v="282.19"/>
    <s v="Delivered"/>
    <n v="1777"/>
    <n v="6"/>
    <x v="0"/>
    <n v="0.15880135059088352"/>
    <s v="slow"/>
  </r>
  <r>
    <x v="86"/>
    <x v="7"/>
    <x v="12"/>
    <x v="1"/>
    <d v="2023-11-22T00:00:00"/>
    <d v="2023-11-29T00:00:00"/>
    <n v="13.5"/>
    <n v="422.32"/>
    <s v="Delivered"/>
    <n v="2388"/>
    <n v="7"/>
    <x v="0"/>
    <n v="0.17685092127303181"/>
    <s v="slow"/>
  </r>
  <r>
    <x v="87"/>
    <x v="5"/>
    <x v="8"/>
    <x v="2"/>
    <d v="2023-11-21T00:00:00"/>
    <d v="2023-11-30T00:00:00"/>
    <n v="17.100000000000001"/>
    <n v="214.99"/>
    <s v="Delayed"/>
    <n v="1284"/>
    <n v="4"/>
    <x v="1"/>
    <n v="0.16743769470404984"/>
    <s v="not applicabel"/>
  </r>
  <r>
    <x v="88"/>
    <x v="6"/>
    <x v="11"/>
    <x v="6"/>
    <d v="2023-06-21T00:00:00"/>
    <d v="2023-06-24T00:00:00"/>
    <n v="37"/>
    <n v="184.07"/>
    <s v="Delivered"/>
    <n v="1198"/>
    <n v="3"/>
    <x v="0"/>
    <n v="0.15364774624373956"/>
    <s v="fast"/>
  </r>
  <r>
    <x v="89"/>
    <x v="8"/>
    <x v="6"/>
    <x v="5"/>
    <d v="2023-11-10T00:00:00"/>
    <d v="2023-11-14T00:00:00"/>
    <n v="127.8"/>
    <n v="247.54"/>
    <s v="Delivered"/>
    <n v="1482"/>
    <n v="4"/>
    <x v="0"/>
    <n v="0.1670310391363023"/>
    <s v="fast"/>
  </r>
  <r>
    <x v="90"/>
    <x v="0"/>
    <x v="8"/>
    <x v="2"/>
    <d v="2023-01-27T00:00:00"/>
    <d v="2023-01-29T00:00:00"/>
    <n v="10.8"/>
    <n v="83.32"/>
    <s v="Returned"/>
    <n v="530"/>
    <n v="2"/>
    <x v="3"/>
    <n v="0.15720754716981131"/>
    <s v="not applicabel"/>
  </r>
  <r>
    <x v="91"/>
    <x v="4"/>
    <x v="13"/>
    <x v="4"/>
    <d v="2023-11-28T00:00:00"/>
    <d v="2023-12-09T00:00:00"/>
    <n v="8.5"/>
    <n v="151.63999999999999"/>
    <s v="Delayed"/>
    <n v="920"/>
    <n v="4"/>
    <x v="1"/>
    <n v="0.16482608695652173"/>
    <s v="not applicabel"/>
  </r>
  <r>
    <x v="92"/>
    <x v="9"/>
    <x v="13"/>
    <x v="5"/>
    <d v="2023-04-26T00:00:00"/>
    <d v="2023-05-01T00:00:00"/>
    <n v="16"/>
    <n v="277.61"/>
    <s v="Delivered"/>
    <n v="1950"/>
    <n v="5"/>
    <x v="0"/>
    <n v="0.14236410256410256"/>
    <s v="slow"/>
  </r>
  <r>
    <x v="93"/>
    <x v="0"/>
    <x v="2"/>
    <x v="0"/>
    <d v="2023-03-03T00:00:00"/>
    <d v="2023-03-08T00:00:00"/>
    <n v="32.9"/>
    <n v="337.04"/>
    <s v="Delivered"/>
    <n v="2233"/>
    <n v="5"/>
    <x v="0"/>
    <n v="0.15093596059113301"/>
    <s v="slow"/>
  </r>
  <r>
    <x v="94"/>
    <x v="4"/>
    <x v="0"/>
    <x v="2"/>
    <d v="2023-04-17T00:00:00"/>
    <d v="2023-04-24T00:00:00"/>
    <n v="29.5"/>
    <n v="167.82"/>
    <s v="Delivered"/>
    <n v="1022"/>
    <n v="7"/>
    <x v="0"/>
    <n v="0.16420743639921723"/>
    <s v="slow"/>
  </r>
  <r>
    <x v="95"/>
    <x v="0"/>
    <x v="7"/>
    <x v="4"/>
    <d v="2023-07-01T00:00:00"/>
    <d v="2023-07-04T00:00:00"/>
    <n v="18.600000000000001"/>
    <n v="191.08"/>
    <s v="Delivered"/>
    <n v="1447"/>
    <n v="3"/>
    <x v="0"/>
    <n v="0.13205252246026261"/>
    <s v="fast"/>
  </r>
  <r>
    <x v="96"/>
    <x v="0"/>
    <x v="1"/>
    <x v="1"/>
    <d v="2023-08-20T00:00:00"/>
    <d v="2023-08-21T00:00:00"/>
    <n v="9.6"/>
    <n v="42.77"/>
    <s v="Delivered"/>
    <n v="241"/>
    <n v="1"/>
    <x v="0"/>
    <n v="0.17746887966804981"/>
    <s v="fast"/>
  </r>
  <r>
    <x v="97"/>
    <x v="0"/>
    <x v="1"/>
    <x v="4"/>
    <d v="2023-09-19T00:00:00"/>
    <m/>
    <n v="80.400000000000006"/>
    <n v="259.98"/>
    <s v="Delivered"/>
    <n v="1554"/>
    <n v="5"/>
    <x v="4"/>
    <n v="0.16729729729729731"/>
    <s v="not applicabel"/>
  </r>
  <r>
    <x v="98"/>
    <x v="2"/>
    <x v="11"/>
    <x v="2"/>
    <d v="2023-05-10T00:00:00"/>
    <d v="2023-05-15T00:00:00"/>
    <n v="11.1"/>
    <n v="273.63"/>
    <s v="Delivered"/>
    <n v="2053"/>
    <n v="5"/>
    <x v="0"/>
    <n v="0.13328300048709205"/>
    <s v="slow"/>
  </r>
  <r>
    <x v="99"/>
    <x v="7"/>
    <x v="10"/>
    <x v="5"/>
    <d v="2023-07-18T00:00:00"/>
    <d v="2023-07-21T00:00:00"/>
    <n v="14.6"/>
    <n v="141.34"/>
    <s v="Delivered"/>
    <n v="1158"/>
    <n v="3"/>
    <x v="0"/>
    <n v="0.12205526770293609"/>
    <s v="fast"/>
  </r>
  <r>
    <x v="100"/>
    <x v="5"/>
    <x v="1"/>
    <x v="4"/>
    <d v="2023-04-10T00:00:00"/>
    <d v="2023-04-17T00:00:00"/>
    <n v="11.9"/>
    <n v="277.05"/>
    <s v="Delivered"/>
    <n v="2109"/>
    <n v="7"/>
    <x v="0"/>
    <n v="0.13136557610241822"/>
    <s v="slow"/>
  </r>
  <r>
    <x v="101"/>
    <x v="9"/>
    <x v="11"/>
    <x v="5"/>
    <d v="2023-08-28T00:00:00"/>
    <d v="2023-08-30T00:00:00"/>
    <n v="51"/>
    <m/>
    <s v="Delivered"/>
    <n v="179"/>
    <n v="2"/>
    <x v="0"/>
    <n v="0"/>
    <s v="fast"/>
  </r>
  <r>
    <x v="102"/>
    <x v="2"/>
    <x v="2"/>
    <x v="1"/>
    <d v="2023-07-17T00:00:00"/>
    <d v="2023-07-24T00:00:00"/>
    <n v="8.6"/>
    <n v="352.85"/>
    <s v="Delivered"/>
    <n v="2465"/>
    <n v="7"/>
    <x v="0"/>
    <n v="0.14314401622718054"/>
    <s v="slow"/>
  </r>
  <r>
    <x v="103"/>
    <x v="2"/>
    <x v="5"/>
    <x v="4"/>
    <d v="2023-01-14T00:00:00"/>
    <d v="2023-01-25T00:00:00"/>
    <n v="6.3"/>
    <n v="283.56"/>
    <s v="Delivered"/>
    <n v="2366"/>
    <n v="11"/>
    <x v="0"/>
    <n v="0.11984784446322908"/>
    <s v="slow"/>
  </r>
  <r>
    <x v="104"/>
    <x v="7"/>
    <x v="5"/>
    <x v="3"/>
    <d v="2023-12-13T00:00:00"/>
    <d v="2023-12-16T00:00:00"/>
    <n v="16.600000000000001"/>
    <n v="121.29"/>
    <s v="Delivered"/>
    <n v="543"/>
    <n v="3"/>
    <x v="0"/>
    <n v="0.22337016574585636"/>
    <s v="fast"/>
  </r>
  <r>
    <x v="105"/>
    <x v="0"/>
    <x v="5"/>
    <x v="1"/>
    <d v="2023-04-23T00:00:00"/>
    <d v="2023-05-06T00:00:00"/>
    <n v="40.700000000000003"/>
    <n v="270.27"/>
    <s v="Delayed"/>
    <n v="1682"/>
    <n v="6"/>
    <x v="1"/>
    <n v="0.16068370986920333"/>
    <s v="not applicabel"/>
  </r>
  <r>
    <x v="106"/>
    <x v="6"/>
    <x v="14"/>
    <x v="2"/>
    <d v="2023-08-19T00:00:00"/>
    <d v="2023-08-22T00:00:00"/>
    <n v="22.6"/>
    <n v="149.52000000000001"/>
    <s v="Delivered"/>
    <n v="1030"/>
    <n v="3"/>
    <x v="0"/>
    <n v="0.14516504854368933"/>
    <s v="fast"/>
  </r>
  <r>
    <x v="107"/>
    <x v="8"/>
    <x v="8"/>
    <x v="0"/>
    <d v="2023-07-30T00:00:00"/>
    <d v="2023-08-02T00:00:00"/>
    <n v="44.3"/>
    <n v="140.74"/>
    <s v="Delivered"/>
    <n v="790"/>
    <n v="3"/>
    <x v="0"/>
    <n v="0.17815189873417722"/>
    <s v="fast"/>
  </r>
  <r>
    <x v="108"/>
    <x v="0"/>
    <x v="12"/>
    <x v="5"/>
    <d v="2023-08-15T00:00:00"/>
    <d v="2023-08-19T00:00:00"/>
    <n v="12.8"/>
    <n v="198.31"/>
    <s v="Delivered"/>
    <n v="1534"/>
    <n v="4"/>
    <x v="0"/>
    <n v="0.12927640156453715"/>
    <s v="fast"/>
  </r>
  <r>
    <x v="109"/>
    <x v="9"/>
    <x v="10"/>
    <x v="5"/>
    <d v="2023-12-13T00:00:00"/>
    <m/>
    <n v="16.5"/>
    <n v="73.12"/>
    <s v="Delivered"/>
    <n v="371"/>
    <n v="2"/>
    <x v="4"/>
    <n v="0.19708894878706201"/>
    <s v="not applicabel"/>
  </r>
  <r>
    <x v="110"/>
    <x v="5"/>
    <x v="2"/>
    <x v="1"/>
    <d v="2023-09-22T00:00:00"/>
    <d v="2023-09-29T00:00:00"/>
    <n v="46.1"/>
    <n v="409.06"/>
    <s v="Delivered"/>
    <n v="2306"/>
    <n v="7"/>
    <x v="0"/>
    <n v="0.17738941890719861"/>
    <s v="slow"/>
  </r>
  <r>
    <x v="111"/>
    <x v="3"/>
    <x v="5"/>
    <x v="3"/>
    <d v="2023-05-24T00:00:00"/>
    <d v="2023-05-29T00:00:00"/>
    <n v="19.2"/>
    <n v="273.26"/>
    <s v="Delivered"/>
    <n v="1810"/>
    <n v="5"/>
    <x v="0"/>
    <n v="0.15097237569060773"/>
    <s v="slow"/>
  </r>
  <r>
    <x v="112"/>
    <x v="6"/>
    <x v="8"/>
    <x v="4"/>
    <d v="2023-02-02T00:00:00"/>
    <d v="2023-02-16T00:00:00"/>
    <n v="7.6"/>
    <n v="41.42"/>
    <s v="Delayed"/>
    <n v="277"/>
    <n v="2"/>
    <x v="1"/>
    <n v="0.14953068592057761"/>
    <s v="not applicabel"/>
  </r>
  <r>
    <x v="113"/>
    <x v="5"/>
    <x v="8"/>
    <x v="6"/>
    <d v="2023-06-07T00:00:00"/>
    <d v="2023-06-13T00:00:00"/>
    <n v="38.1"/>
    <n v="272.16000000000003"/>
    <s v="Delivered"/>
    <n v="1953"/>
    <n v="6"/>
    <x v="0"/>
    <n v="0.13935483870967744"/>
    <s v="slow"/>
  </r>
  <r>
    <x v="114"/>
    <x v="3"/>
    <x v="13"/>
    <x v="3"/>
    <d v="2023-04-03T00:00:00"/>
    <d v="2023-03-04T00:00:00"/>
    <n v="23.2"/>
    <n v="270.43"/>
    <s v="Delivered"/>
    <n v="1800"/>
    <n v="4"/>
    <x v="0"/>
    <n v="0.15023888888888889"/>
    <s v="fast"/>
  </r>
  <r>
    <x v="115"/>
    <x v="8"/>
    <x v="6"/>
    <x v="5"/>
    <d v="2023-07-20T00:00:00"/>
    <d v="2023-07-25T00:00:00"/>
    <n v="22.8"/>
    <n v="267.89"/>
    <s v="Delivered"/>
    <n v="1951"/>
    <n v="5"/>
    <x v="0"/>
    <n v="0.13730907227063044"/>
    <s v="slow"/>
  </r>
  <r>
    <x v="116"/>
    <x v="2"/>
    <x v="2"/>
    <x v="3"/>
    <d v="2023-01-05T00:00:00"/>
    <d v="2023-01-12T00:00:00"/>
    <n v="18.8"/>
    <n v="249.35"/>
    <s v="Delivered"/>
    <n v="1744"/>
    <n v="7"/>
    <x v="0"/>
    <n v="0.14297591743119265"/>
    <s v="slow"/>
  </r>
  <r>
    <x v="117"/>
    <x v="5"/>
    <x v="12"/>
    <x v="4"/>
    <d v="2023-05-18T00:00:00"/>
    <d v="2023-05-22T00:00:00"/>
    <n v="14"/>
    <n v="171.55"/>
    <s v="Delivered"/>
    <n v="1323"/>
    <n v="4"/>
    <x v="0"/>
    <n v="0.1296674225245654"/>
    <s v="fast"/>
  </r>
  <r>
    <x v="118"/>
    <x v="9"/>
    <x v="14"/>
    <x v="2"/>
    <d v="2023-03-24T00:00:00"/>
    <d v="2023-04-01T00:00:00"/>
    <n v="17.600000000000001"/>
    <n v="215.18"/>
    <s v="Delayed"/>
    <n v="1646"/>
    <n v="4"/>
    <x v="1"/>
    <n v="0.13072904009720535"/>
    <s v="not applicabel"/>
  </r>
  <r>
    <x v="119"/>
    <x v="9"/>
    <x v="12"/>
    <x v="1"/>
    <d v="2023-07-10T00:00:00"/>
    <d v="2023-07-11T00:00:00"/>
    <n v="21.6"/>
    <n v="64.739999999999995"/>
    <s v="Delivered"/>
    <n v="261"/>
    <n v="1"/>
    <x v="0"/>
    <n v="0.24804597701149422"/>
    <s v="fast"/>
  </r>
  <r>
    <x v="120"/>
    <x v="7"/>
    <x v="14"/>
    <x v="4"/>
    <d v="2023-09-26T00:00:00"/>
    <d v="2023-10-02T00:00:00"/>
    <n v="8.1999999999999993"/>
    <n v="278.33999999999997"/>
    <s v="Delivered"/>
    <n v="2330"/>
    <n v="6"/>
    <x v="0"/>
    <n v="0.11945922746781115"/>
    <s v="slow"/>
  </r>
  <r>
    <x v="121"/>
    <x v="5"/>
    <x v="2"/>
    <x v="3"/>
    <d v="2023-03-06T00:00:00"/>
    <d v="2023-03-11T00:00:00"/>
    <n v="25.1"/>
    <n v="165.41"/>
    <s v="Delivered"/>
    <n v="973"/>
    <n v="5"/>
    <x v="0"/>
    <n v="0.16999999999999998"/>
    <s v="slow"/>
  </r>
  <r>
    <x v="122"/>
    <x v="6"/>
    <x v="5"/>
    <x v="4"/>
    <d v="2023-05-18T00:00:00"/>
    <d v="2023-05-25T00:00:00"/>
    <n v="14.4"/>
    <n v="280.58999999999997"/>
    <s v="Delivered"/>
    <n v="2399"/>
    <n v="7"/>
    <x v="0"/>
    <n v="0.11696123384743642"/>
    <s v="slow"/>
  </r>
  <r>
    <x v="123"/>
    <x v="4"/>
    <x v="10"/>
    <x v="2"/>
    <d v="2023-08-10T00:00:00"/>
    <d v="2023-08-14T00:00:00"/>
    <n v="50.1"/>
    <n v="210.77"/>
    <s v="Delivered"/>
    <n v="1297"/>
    <n v="4"/>
    <x v="0"/>
    <n v="0.16250578257517348"/>
    <s v="fast"/>
  </r>
  <r>
    <x v="124"/>
    <x v="4"/>
    <x v="0"/>
    <x v="6"/>
    <d v="2023-04-05T00:00:00"/>
    <d v="2023-04-11T00:00:00"/>
    <n v="20.3"/>
    <n v="150.38"/>
    <s v="Delivered"/>
    <n v="1200"/>
    <n v="6"/>
    <x v="0"/>
    <n v="0.12531666666666666"/>
    <s v="slow"/>
  </r>
  <r>
    <x v="125"/>
    <x v="5"/>
    <x v="11"/>
    <x v="6"/>
    <d v="2023-06-28T00:00:00"/>
    <d v="2023-07-02T00:00:00"/>
    <n v="11.8"/>
    <n v="180.52"/>
    <s v="Delivered"/>
    <n v="1350"/>
    <n v="4"/>
    <x v="0"/>
    <n v="0.13371851851851851"/>
    <s v="fast"/>
  </r>
  <r>
    <x v="126"/>
    <x v="7"/>
    <x v="11"/>
    <x v="0"/>
    <d v="2023-09-02T00:00:00"/>
    <d v="2023-09-09T00:00:00"/>
    <n v="90.2"/>
    <n v="384.64"/>
    <s v="Delivered"/>
    <n v="2188"/>
    <n v="7"/>
    <x v="0"/>
    <n v="0.17579524680073125"/>
    <s v="slow"/>
  </r>
  <r>
    <x v="127"/>
    <x v="1"/>
    <x v="11"/>
    <x v="0"/>
    <d v="2023-10-05T00:00:00"/>
    <d v="2023-10-13T00:00:00"/>
    <n v="30.1"/>
    <n v="156.74"/>
    <s v="Delivered"/>
    <n v="1075"/>
    <n v="8"/>
    <x v="0"/>
    <n v="0.1458046511627907"/>
    <s v="slow"/>
  </r>
  <r>
    <x v="128"/>
    <x v="2"/>
    <x v="11"/>
    <x v="5"/>
    <d v="2023-10-18T00:00:00"/>
    <d v="2023-10-27T00:00:00"/>
    <n v="3.2"/>
    <n v="159.82"/>
    <s v="Delivered"/>
    <n v="1260"/>
    <n v="9"/>
    <x v="0"/>
    <n v="0.12684126984126984"/>
    <s v="slow"/>
  </r>
  <r>
    <x v="129"/>
    <x v="0"/>
    <x v="11"/>
    <x v="5"/>
    <d v="2023-04-17T00:00:00"/>
    <d v="2023-04-22T00:00:00"/>
    <n v="31.9"/>
    <n v="260.72000000000003"/>
    <s v="Delivered"/>
    <n v="1926"/>
    <n v="5"/>
    <x v="0"/>
    <n v="0.1353686396677051"/>
    <s v="slow"/>
  </r>
  <r>
    <x v="130"/>
    <x v="0"/>
    <x v="10"/>
    <x v="5"/>
    <d v="2023-12-01T00:00:00"/>
    <d v="2023-12-06T00:00:00"/>
    <n v="15.1"/>
    <n v="321.82"/>
    <s v="Delivered"/>
    <n v="2204"/>
    <n v="5"/>
    <x v="0"/>
    <n v="0.146016333938294"/>
    <s v="slow"/>
  </r>
  <r>
    <x v="131"/>
    <x v="3"/>
    <x v="3"/>
    <x v="2"/>
    <d v="2023-05-26T00:00:00"/>
    <d v="2023-06-02T00:00:00"/>
    <n v="19.2"/>
    <n v="253.39"/>
    <s v="Returned"/>
    <n v="2048"/>
    <n v="7"/>
    <x v="3"/>
    <n v="0.12372558593749999"/>
    <s v="not applicabel"/>
  </r>
  <r>
    <x v="132"/>
    <x v="9"/>
    <x v="0"/>
    <x v="1"/>
    <d v="2023-07-07T00:00:00"/>
    <m/>
    <n v="8.4"/>
    <m/>
    <s v="Delivered"/>
    <n v="815"/>
    <n v="3"/>
    <x v="4"/>
    <n v="0"/>
    <s v="not applicabel"/>
  </r>
  <r>
    <x v="133"/>
    <x v="8"/>
    <x v="1"/>
    <x v="0"/>
    <d v="2023-12-23T00:00:00"/>
    <d v="2023-12-26T00:00:00"/>
    <n v="26.4"/>
    <n v="186.75"/>
    <s v="Delivered"/>
    <n v="870"/>
    <n v="3"/>
    <x v="0"/>
    <n v="0.21465517241379312"/>
    <s v="fast"/>
  </r>
  <r>
    <x v="134"/>
    <x v="3"/>
    <x v="6"/>
    <x v="5"/>
    <d v="2023-01-03T00:00:00"/>
    <d v="2023-01-10T00:00:00"/>
    <n v="24.4"/>
    <n v="313.23"/>
    <s v="Delivered"/>
    <n v="2314"/>
    <n v="7"/>
    <x v="0"/>
    <n v="0.13536300777873814"/>
    <s v="slow"/>
  </r>
  <r>
    <x v="135"/>
    <x v="1"/>
    <x v="0"/>
    <x v="1"/>
    <d v="2023-09-16T00:00:00"/>
    <d v="2023-09-19T00:00:00"/>
    <n v="59.4"/>
    <n v="234.64"/>
    <s v="Delivered"/>
    <n v="1070"/>
    <n v="3"/>
    <x v="0"/>
    <n v="0.21928971962616822"/>
    <s v="fast"/>
  </r>
  <r>
    <x v="136"/>
    <x v="5"/>
    <x v="11"/>
    <x v="3"/>
    <d v="2023-11-04T00:00:00"/>
    <d v="2023-11-10T00:00:00"/>
    <n v="15.9"/>
    <n v="257.13"/>
    <s v="Delivered"/>
    <n v="1350"/>
    <n v="6"/>
    <x v="0"/>
    <n v="0.19046666666666667"/>
    <s v="slow"/>
  </r>
  <r>
    <x v="137"/>
    <x v="9"/>
    <x v="9"/>
    <x v="4"/>
    <d v="2023-02-10T00:00:00"/>
    <d v="2023-02-14T00:00:00"/>
    <n v="17.5"/>
    <n v="208.17"/>
    <s v="Delivered"/>
    <n v="1476"/>
    <n v="4"/>
    <x v="0"/>
    <n v="0.14103658536585365"/>
    <s v="fast"/>
  </r>
  <r>
    <x v="138"/>
    <x v="8"/>
    <x v="2"/>
    <x v="2"/>
    <d v="2023-11-08T00:00:00"/>
    <d v="2023-11-11T00:00:00"/>
    <n v="66.5"/>
    <n v="199.04"/>
    <s v="Delivered"/>
    <n v="672"/>
    <n v="3"/>
    <x v="0"/>
    <n v="0.29619047619047617"/>
    <s v="fast"/>
  </r>
  <r>
    <x v="139"/>
    <x v="5"/>
    <x v="2"/>
    <x v="6"/>
    <d v="2023-03-10T00:00:00"/>
    <d v="2023-03-13T00:00:00"/>
    <n v="19.399999999999999"/>
    <n v="169.99"/>
    <s v="Delivered"/>
    <n v="1300"/>
    <n v="3"/>
    <x v="0"/>
    <n v="0.13076153846153846"/>
    <s v="fast"/>
  </r>
  <r>
    <x v="140"/>
    <x v="7"/>
    <x v="6"/>
    <x v="6"/>
    <d v="2023-12-02T00:00:00"/>
    <d v="2023-12-04T00:00:00"/>
    <n v="48"/>
    <n v="133.97999999999999"/>
    <s v="Delivered"/>
    <n v="593"/>
    <n v="2"/>
    <x v="0"/>
    <n v="0.22593591905564922"/>
    <s v="fast"/>
  </r>
  <r>
    <x v="141"/>
    <x v="2"/>
    <x v="8"/>
    <x v="6"/>
    <d v="2023-10-15T00:00:00"/>
    <d v="2023-10-20T00:00:00"/>
    <n v="18.399999999999999"/>
    <n v="237.17"/>
    <s v="Delivered"/>
    <n v="1939"/>
    <n v="5"/>
    <x v="0"/>
    <n v="0.12231562661165549"/>
    <s v="slow"/>
  </r>
  <r>
    <x v="142"/>
    <x v="8"/>
    <x v="8"/>
    <x v="2"/>
    <d v="2023-01-06T00:00:00"/>
    <d v="2023-01-09T00:00:00"/>
    <n v="38.9"/>
    <n v="137.82"/>
    <s v="Delivered"/>
    <n v="790"/>
    <n v="3"/>
    <x v="0"/>
    <n v="0.17445569620253162"/>
    <s v="fast"/>
  </r>
  <r>
    <x v="143"/>
    <x v="1"/>
    <x v="0"/>
    <x v="2"/>
    <d v="2023-02-05T00:00:00"/>
    <d v="2023-02-12T00:00:00"/>
    <n v="36.6"/>
    <n v="310.16000000000003"/>
    <s v="Delivered"/>
    <n v="2497"/>
    <n v="7"/>
    <x v="0"/>
    <n v="0.12421305566680017"/>
    <s v="slow"/>
  </r>
  <r>
    <x v="144"/>
    <x v="7"/>
    <x v="5"/>
    <x v="6"/>
    <d v="2023-05-05T00:00:00"/>
    <d v="2023-05-07T00:00:00"/>
    <n v="19.2"/>
    <n v="81.430000000000007"/>
    <s v="Delivered"/>
    <n v="510"/>
    <n v="2"/>
    <x v="0"/>
    <n v="0.15966666666666668"/>
    <s v="fast"/>
  </r>
  <r>
    <x v="145"/>
    <x v="6"/>
    <x v="1"/>
    <x v="0"/>
    <d v="2023-07-03T00:00:00"/>
    <d v="2023-07-10T00:00:00"/>
    <n v="23.4"/>
    <n v="142.13"/>
    <s v="Delayed"/>
    <n v="800"/>
    <n v="3"/>
    <x v="1"/>
    <n v="0.1776625"/>
    <s v="not applicabel"/>
  </r>
  <r>
    <x v="146"/>
    <x v="2"/>
    <x v="6"/>
    <x v="6"/>
    <d v="2023-08-12T00:00:00"/>
    <d v="2023-08-17T00:00:00"/>
    <n v="23.7"/>
    <m/>
    <s v="Delivered"/>
    <n v="1459"/>
    <n v="5"/>
    <x v="0"/>
    <n v="0"/>
    <s v="slow"/>
  </r>
  <r>
    <x v="147"/>
    <x v="4"/>
    <x v="0"/>
    <x v="0"/>
    <d v="2023-07-14T00:00:00"/>
    <d v="2023-07-19T00:00:00"/>
    <n v="66.8"/>
    <n v="336.2"/>
    <s v="Delivered"/>
    <n v="2262"/>
    <n v="5"/>
    <x v="0"/>
    <n v="0.14862953138815208"/>
    <s v="slow"/>
  </r>
  <r>
    <x v="148"/>
    <x v="8"/>
    <x v="12"/>
    <x v="4"/>
    <d v="2023-07-25T00:00:00"/>
    <d v="2023-07-31T00:00:00"/>
    <n v="25.8"/>
    <n v="258.31"/>
    <s v="Delivered"/>
    <n v="2078"/>
    <n v="6"/>
    <x v="0"/>
    <n v="0.1243070259865255"/>
    <s v="slow"/>
  </r>
  <r>
    <x v="149"/>
    <x v="1"/>
    <x v="5"/>
    <x v="1"/>
    <d v="2023-05-22T00:00:00"/>
    <d v="2023-06-07T00:00:00"/>
    <n v="38.200000000000003"/>
    <n v="151.35"/>
    <s v="Lost"/>
    <n v="775"/>
    <n v="3"/>
    <x v="2"/>
    <n v="0.19529032258064516"/>
    <s v="not applicabel"/>
  </r>
  <r>
    <x v="150"/>
    <x v="3"/>
    <x v="10"/>
    <x v="5"/>
    <d v="2023-05-27T00:00:00"/>
    <d v="2023-06-01T00:00:00"/>
    <n v="11.6"/>
    <n v="278.85000000000002"/>
    <s v="Delivered"/>
    <n v="2080"/>
    <n v="5"/>
    <x v="0"/>
    <n v="0.1340625"/>
    <s v="slow"/>
  </r>
  <r>
    <x v="151"/>
    <x v="4"/>
    <x v="0"/>
    <x v="0"/>
    <d v="2023-11-15T00:00:00"/>
    <d v="2023-11-30T00:00:00"/>
    <n v="21.8"/>
    <n v="123.4"/>
    <s v="Delayed"/>
    <n v="573"/>
    <n v="2"/>
    <x v="1"/>
    <n v="0.21535776614310648"/>
    <s v="not applicabel"/>
  </r>
  <r>
    <x v="152"/>
    <x v="6"/>
    <x v="3"/>
    <x v="3"/>
    <d v="2023-03-30T00:00:00"/>
    <d v="2023-04-02T00:00:00"/>
    <n v="11.5"/>
    <n v="167.08"/>
    <s v="Delivered"/>
    <n v="1125"/>
    <n v="3"/>
    <x v="0"/>
    <n v="0.14851555555555557"/>
    <s v="fast"/>
  </r>
  <r>
    <x v="153"/>
    <x v="0"/>
    <x v="8"/>
    <x v="5"/>
    <d v="2023-11-02T00:00:00"/>
    <d v="2023-11-17T00:00:00"/>
    <n v="45"/>
    <n v="118.74"/>
    <s v="Delayed"/>
    <n v="382"/>
    <n v="5"/>
    <x v="1"/>
    <n v="0.31083769633507852"/>
    <s v="not applicabel"/>
  </r>
  <r>
    <x v="154"/>
    <x v="0"/>
    <x v="12"/>
    <x v="1"/>
    <d v="2023-05-15T00:00:00"/>
    <m/>
    <n v="55.3"/>
    <n v="362.11"/>
    <s v="Delivered"/>
    <n v="2192"/>
    <n v="6"/>
    <x v="4"/>
    <n v="0.16519616788321168"/>
    <s v="not applicabel"/>
  </r>
  <r>
    <x v="155"/>
    <x v="3"/>
    <x v="3"/>
    <x v="6"/>
    <d v="2023-07-22T00:00:00"/>
    <d v="2023-07-27T00:00:00"/>
    <n v="12.2"/>
    <n v="278.14999999999998"/>
    <s v="Delivered"/>
    <n v="2161"/>
    <n v="5"/>
    <x v="0"/>
    <n v="0.12871355853771402"/>
    <s v="slow"/>
  </r>
  <r>
    <x v="156"/>
    <x v="1"/>
    <x v="5"/>
    <x v="3"/>
    <d v="2023-03-07T00:00:00"/>
    <d v="2023-03-12T00:00:00"/>
    <n v="54.9"/>
    <n v="332.76"/>
    <s v="Delivered"/>
    <n v="2244"/>
    <n v="5"/>
    <x v="0"/>
    <n v="0.14828877005347593"/>
    <s v="slow"/>
  </r>
  <r>
    <x v="157"/>
    <x v="7"/>
    <x v="3"/>
    <x v="5"/>
    <d v="2023-05-04T00:00:00"/>
    <d v="2023-05-06T00:00:00"/>
    <n v="11.9"/>
    <n v="83.93"/>
    <s v="Delivered"/>
    <n v="561"/>
    <n v="2"/>
    <x v="0"/>
    <n v="0.14960784313725492"/>
    <s v="fast"/>
  </r>
  <r>
    <x v="158"/>
    <x v="8"/>
    <x v="10"/>
    <x v="4"/>
    <d v="2023-12-07T00:00:00"/>
    <d v="2023-12-09T00:00:00"/>
    <n v="11.5"/>
    <n v="69.7"/>
    <s v="Delivered"/>
    <n v="388"/>
    <n v="2"/>
    <x v="0"/>
    <n v="0.17963917525773196"/>
    <s v="fast"/>
  </r>
  <r>
    <x v="159"/>
    <x v="6"/>
    <x v="6"/>
    <x v="0"/>
    <d v="2023-05-14T00:00:00"/>
    <d v="2023-05-23T00:00:00"/>
    <n v="32.200000000000003"/>
    <n v="334.49"/>
    <s v="Delivered"/>
    <n v="2453"/>
    <n v="9"/>
    <x v="0"/>
    <n v="0.13635955972278843"/>
    <s v="slow"/>
  </r>
  <r>
    <x v="160"/>
    <x v="1"/>
    <x v="1"/>
    <x v="0"/>
    <d v="2023-11-12T00:00:00"/>
    <d v="2023-11-16T00:00:00"/>
    <n v="22.1"/>
    <n v="169.82"/>
    <s v="Delivered"/>
    <n v="821"/>
    <n v="4"/>
    <x v="0"/>
    <n v="0.20684531059683312"/>
    <s v="fast"/>
  </r>
  <r>
    <x v="161"/>
    <x v="6"/>
    <x v="8"/>
    <x v="5"/>
    <d v="2023-09-19T00:00:00"/>
    <d v="2023-09-23T00:00:00"/>
    <n v="23.8"/>
    <n v="206.9"/>
    <s v="Delivered"/>
    <n v="1566"/>
    <n v="4"/>
    <x v="0"/>
    <n v="0.13212005108556832"/>
    <s v="fast"/>
  </r>
  <r>
    <x v="162"/>
    <x v="2"/>
    <x v="2"/>
    <x v="6"/>
    <d v="2023-03-14T00:00:00"/>
    <d v="2023-03-16T00:00:00"/>
    <n v="22.1"/>
    <n v="79.13"/>
    <s v="Delivered"/>
    <n v="465"/>
    <n v="2"/>
    <x v="0"/>
    <n v="0.17017204301075267"/>
    <s v="fast"/>
  </r>
  <r>
    <x v="163"/>
    <x v="5"/>
    <x v="11"/>
    <x v="4"/>
    <d v="2023-10-17T00:00:00"/>
    <d v="2023-10-21T00:00:00"/>
    <n v="19.7"/>
    <n v="196.56"/>
    <s v="Delivered"/>
    <n v="1350"/>
    <n v="4"/>
    <x v="0"/>
    <n v="0.14560000000000001"/>
    <s v="fast"/>
  </r>
  <r>
    <x v="164"/>
    <x v="5"/>
    <x v="1"/>
    <x v="6"/>
    <d v="2023-09-19T00:00:00"/>
    <d v="2023-09-21T00:00:00"/>
    <n v="14.6"/>
    <n v="94.67"/>
    <s v="Delivered"/>
    <n v="648"/>
    <n v="2"/>
    <x v="0"/>
    <n v="0.14609567901234569"/>
    <s v="fast"/>
  </r>
  <r>
    <x v="165"/>
    <x v="1"/>
    <x v="14"/>
    <x v="2"/>
    <d v="2023-11-19T00:00:00"/>
    <d v="2023-11-21T00:00:00"/>
    <n v="23.3"/>
    <n v="117.91"/>
    <s v="Delivered"/>
    <n v="586"/>
    <n v="2"/>
    <x v="0"/>
    <n v="0.20121160409556313"/>
    <s v="fast"/>
  </r>
  <r>
    <x v="166"/>
    <x v="7"/>
    <x v="12"/>
    <x v="3"/>
    <d v="2023-05-06T00:00:00"/>
    <d v="2023-05-11T00:00:00"/>
    <n v="20.2"/>
    <n v="309.57"/>
    <s v="Delivered"/>
    <n v="1964"/>
    <n v="5"/>
    <x v="0"/>
    <n v="0.15762219959266802"/>
    <s v="slow"/>
  </r>
  <r>
    <x v="167"/>
    <x v="1"/>
    <x v="11"/>
    <x v="0"/>
    <d v="2023-08-23T00:00:00"/>
    <d v="2023-08-25T00:00:00"/>
    <n v="5.7"/>
    <n v="24.11"/>
    <s v="Delivered"/>
    <n v="143"/>
    <n v="2"/>
    <x v="0"/>
    <n v="0.16860139860139861"/>
    <s v="fast"/>
  </r>
  <r>
    <x v="168"/>
    <x v="5"/>
    <x v="2"/>
    <x v="4"/>
    <d v="2023-07-25T00:00:00"/>
    <d v="2023-07-29T00:00:00"/>
    <n v="7.5"/>
    <n v="157.13"/>
    <s v="Delivered"/>
    <n v="1262"/>
    <n v="4"/>
    <x v="0"/>
    <n v="0.12450871632329635"/>
    <s v="fast"/>
  </r>
  <r>
    <x v="169"/>
    <x v="9"/>
    <x v="10"/>
    <x v="3"/>
    <d v="2023-09-01T00:00:00"/>
    <d v="2023-09-06T00:00:00"/>
    <n v="84.2"/>
    <n v="414.53"/>
    <s v="Delivered"/>
    <n v="2302"/>
    <n v="5"/>
    <x v="0"/>
    <n v="0.18007384882710686"/>
    <s v="slow"/>
  </r>
  <r>
    <x v="170"/>
    <x v="0"/>
    <x v="1"/>
    <x v="6"/>
    <d v="2023-09-25T00:00:00"/>
    <d v="2023-09-28T00:00:00"/>
    <n v="18.2"/>
    <n v="103.05"/>
    <s v="Delivered"/>
    <n v="679"/>
    <n v="3"/>
    <x v="0"/>
    <n v="0.15176730486008835"/>
    <s v="fast"/>
  </r>
  <r>
    <x v="171"/>
    <x v="1"/>
    <x v="8"/>
    <x v="4"/>
    <d v="2023-09-15T00:00:00"/>
    <d v="2023-09-17T00:00:00"/>
    <n v="12.9"/>
    <n v="114.88"/>
    <s v="Delivered"/>
    <n v="755"/>
    <n v="2"/>
    <x v="0"/>
    <n v="0.15215894039735098"/>
    <s v="fast"/>
  </r>
  <r>
    <x v="172"/>
    <x v="7"/>
    <x v="5"/>
    <x v="4"/>
    <d v="2023-04-23T00:00:00"/>
    <d v="2023-05-01T00:00:00"/>
    <n v="35.1"/>
    <n v="272.06"/>
    <s v="Delivered"/>
    <n v="2056"/>
    <n v="8"/>
    <x v="0"/>
    <n v="0.1323249027237354"/>
    <s v="slow"/>
  </r>
  <r>
    <x v="173"/>
    <x v="0"/>
    <x v="7"/>
    <x v="0"/>
    <d v="2023-07-28T00:00:00"/>
    <d v="2023-08-01T00:00:00"/>
    <n v="6.6"/>
    <n v="156.36000000000001"/>
    <s v="In Transit"/>
    <n v="1222"/>
    <n v="4"/>
    <x v="0"/>
    <n v="0.1279541734860884"/>
    <s v="fast"/>
  </r>
  <r>
    <x v="174"/>
    <x v="1"/>
    <x v="2"/>
    <x v="3"/>
    <d v="2023-01-05T00:00:00"/>
    <d v="2023-01-23T00:00:00"/>
    <n v="11.5"/>
    <n v="244.22"/>
    <s v="Delayed"/>
    <n v="1814"/>
    <n v="8"/>
    <x v="1"/>
    <n v="0.13463065049614112"/>
    <s v="not applicabel"/>
  </r>
  <r>
    <x v="175"/>
    <x v="0"/>
    <x v="12"/>
    <x v="6"/>
    <d v="2023-07-19T00:00:00"/>
    <d v="2023-07-25T00:00:00"/>
    <n v="11.6"/>
    <n v="184.5"/>
    <s v="Delivered"/>
    <n v="1454"/>
    <n v="6"/>
    <x v="0"/>
    <n v="0.12689133425034388"/>
    <s v="slow"/>
  </r>
  <r>
    <x v="176"/>
    <x v="8"/>
    <x v="11"/>
    <x v="6"/>
    <d v="2023-06-17T00:00:00"/>
    <d v="2023-06-19T00:00:00"/>
    <n v="105"/>
    <n v="180.26"/>
    <s v="Returned"/>
    <n v="543"/>
    <n v="2"/>
    <x v="3"/>
    <n v="0.33197053406998156"/>
    <s v="not applicabel"/>
  </r>
  <r>
    <x v="177"/>
    <x v="2"/>
    <x v="1"/>
    <x v="1"/>
    <d v="2023-07-30T00:00:00"/>
    <d v="2023-08-02T00:00:00"/>
    <n v="13.8"/>
    <n v="167.23"/>
    <s v="Delivered"/>
    <n v="1142"/>
    <n v="3"/>
    <x v="0"/>
    <n v="0.14643607705779332"/>
    <s v="fast"/>
  </r>
  <r>
    <x v="178"/>
    <x v="0"/>
    <x v="6"/>
    <x v="3"/>
    <d v="2023-06-07T00:00:00"/>
    <d v="2023-06-10T00:00:00"/>
    <n v="14.1"/>
    <n v="137.25"/>
    <s v="Delivered"/>
    <n v="810"/>
    <n v="3"/>
    <x v="0"/>
    <n v="0.16944444444444445"/>
    <s v="fast"/>
  </r>
  <r>
    <x v="179"/>
    <x v="5"/>
    <x v="6"/>
    <x v="4"/>
    <d v="2023-08-14T00:00:00"/>
    <d v="2023-08-27T00:00:00"/>
    <n v="30.3"/>
    <n v="154.16"/>
    <s v="Delayed"/>
    <n v="1081"/>
    <n v="3"/>
    <x v="1"/>
    <n v="0.14260869565217391"/>
    <s v="not applicabel"/>
  </r>
  <r>
    <x v="180"/>
    <x v="9"/>
    <x v="10"/>
    <x v="4"/>
    <d v="2023-01-21T00:00:00"/>
    <d v="2023-01-22T00:00:00"/>
    <n v="19.399999999999999"/>
    <n v="40.24"/>
    <s v="Delivered"/>
    <n v="152"/>
    <n v="1"/>
    <x v="0"/>
    <n v="0.26473684210526316"/>
    <s v="fast"/>
  </r>
  <r>
    <x v="181"/>
    <x v="8"/>
    <x v="10"/>
    <x v="1"/>
    <d v="2023-09-15T00:00:00"/>
    <d v="2023-09-20T00:00:00"/>
    <n v="10"/>
    <n v="156.13"/>
    <s v="Delivered"/>
    <n v="1120"/>
    <n v="5"/>
    <x v="0"/>
    <n v="0.13940178571428571"/>
    <s v="slow"/>
  </r>
  <r>
    <x v="182"/>
    <x v="7"/>
    <x v="6"/>
    <x v="4"/>
    <d v="2023-01-01T00:00:00"/>
    <d v="2023-01-10T00:00:00"/>
    <n v="22.8"/>
    <n v="319.99"/>
    <s v="Delivered"/>
    <n v="2327"/>
    <n v="9"/>
    <x v="0"/>
    <n v="0.13751181779114741"/>
    <s v="slow"/>
  </r>
  <r>
    <x v="183"/>
    <x v="6"/>
    <x v="4"/>
    <x v="4"/>
    <d v="2023-09-24T00:00:00"/>
    <d v="2023-10-06T00:00:00"/>
    <n v="7.1"/>
    <m/>
    <s v="Delayed"/>
    <n v="1376"/>
    <n v="5"/>
    <x v="1"/>
    <n v="0"/>
    <s v="not applicabel"/>
  </r>
  <r>
    <x v="184"/>
    <x v="3"/>
    <x v="2"/>
    <x v="4"/>
    <d v="2023-11-25T00:00:00"/>
    <d v="2023-11-30T00:00:00"/>
    <n v="17.5"/>
    <n v="347.71"/>
    <s v="Delivered"/>
    <n v="2380"/>
    <n v="5"/>
    <x v="0"/>
    <n v="0.14609663865546219"/>
    <s v="slow"/>
  </r>
  <r>
    <x v="185"/>
    <x v="1"/>
    <x v="12"/>
    <x v="5"/>
    <d v="2023-09-20T00:00:00"/>
    <d v="2023-09-24T00:00:00"/>
    <n v="25.6"/>
    <n v="108.01"/>
    <s v="Delivered"/>
    <n v="694"/>
    <n v="4"/>
    <x v="0"/>
    <n v="0.15563400576368877"/>
    <s v="fast"/>
  </r>
  <r>
    <x v="186"/>
    <x v="6"/>
    <x v="5"/>
    <x v="3"/>
    <d v="2023-07-04T00:00:00"/>
    <d v="2023-07-08T00:00:00"/>
    <n v="19.600000000000001"/>
    <n v="261.42"/>
    <s v="Delivered"/>
    <n v="1791"/>
    <n v="4"/>
    <x v="0"/>
    <n v="0.14596314907872698"/>
    <s v="fast"/>
  </r>
  <r>
    <x v="187"/>
    <x v="1"/>
    <x v="5"/>
    <x v="2"/>
    <d v="2023-04-30T00:00:00"/>
    <d v="2023-05-02T00:00:00"/>
    <n v="15.7"/>
    <n v="67.25"/>
    <s v="Delivered"/>
    <n v="411"/>
    <n v="2"/>
    <x v="0"/>
    <n v="0.16362530413625304"/>
    <s v="fast"/>
  </r>
  <r>
    <x v="188"/>
    <x v="7"/>
    <x v="0"/>
    <x v="2"/>
    <d v="2023-12-20T00:00:00"/>
    <d v="2023-12-26T00:00:00"/>
    <n v="7.5"/>
    <n v="158.02000000000001"/>
    <s v="Delivered"/>
    <n v="1073"/>
    <n v="6"/>
    <x v="0"/>
    <n v="0.14726933830382108"/>
    <s v="slow"/>
  </r>
  <r>
    <x v="189"/>
    <x v="0"/>
    <x v="12"/>
    <x v="3"/>
    <d v="2023-07-29T00:00:00"/>
    <d v="2023-08-02T00:00:00"/>
    <n v="23.5"/>
    <n v="261.49"/>
    <s v="Delivered"/>
    <n v="1634"/>
    <n v="4"/>
    <x v="0"/>
    <n v="0.16003059975520195"/>
    <s v="fast"/>
  </r>
  <r>
    <x v="190"/>
    <x v="2"/>
    <x v="0"/>
    <x v="6"/>
    <d v="2023-02-19T00:00:00"/>
    <d v="2023-02-25T00:00:00"/>
    <n v="4.5"/>
    <n v="277.56"/>
    <s v="Delivered"/>
    <n v="2411"/>
    <n v="6"/>
    <x v="0"/>
    <n v="0.11512235586893406"/>
    <s v="slow"/>
  </r>
  <r>
    <x v="191"/>
    <x v="7"/>
    <x v="7"/>
    <x v="0"/>
    <d v="2023-03-02T00:00:00"/>
    <d v="2023-03-10T00:00:00"/>
    <n v="11.9"/>
    <m/>
    <s v="Delivered"/>
    <n v="2481"/>
    <n v="8"/>
    <x v="0"/>
    <n v="0"/>
    <s v="slow"/>
  </r>
  <r>
    <x v="192"/>
    <x v="7"/>
    <x v="7"/>
    <x v="3"/>
    <d v="2023-12-10T00:00:00"/>
    <d v="2023-12-15T00:00:00"/>
    <n v="26.5"/>
    <n v="345.27"/>
    <s v="Delivered"/>
    <n v="2052"/>
    <n v="5"/>
    <x v="0"/>
    <n v="0.16826023391812864"/>
    <s v="slow"/>
  </r>
  <r>
    <x v="193"/>
    <x v="8"/>
    <x v="4"/>
    <x v="5"/>
    <d v="2023-11-06T00:00:00"/>
    <d v="2023-11-14T00:00:00"/>
    <n v="12.8"/>
    <n v="378.16"/>
    <s v="Delivered"/>
    <n v="2465"/>
    <n v="8"/>
    <x v="0"/>
    <n v="0.15341176470588236"/>
    <s v="slow"/>
  </r>
  <r>
    <x v="194"/>
    <x v="1"/>
    <x v="8"/>
    <x v="1"/>
    <d v="2023-02-19T00:00:00"/>
    <d v="2023-02-24T00:00:00"/>
    <n v="29.3"/>
    <n v="206.8"/>
    <s v="Delivered"/>
    <n v="1213"/>
    <n v="5"/>
    <x v="0"/>
    <n v="0.17048639736191262"/>
    <s v="slow"/>
  </r>
  <r>
    <x v="195"/>
    <x v="1"/>
    <x v="2"/>
    <x v="5"/>
    <d v="2023-05-14T00:00:00"/>
    <d v="2023-05-18T00:00:00"/>
    <n v="15.5"/>
    <n v="174.55"/>
    <s v="Delivered"/>
    <n v="1247"/>
    <n v="4"/>
    <x v="0"/>
    <n v="0.13997594226142743"/>
    <s v="fast"/>
  </r>
  <r>
    <x v="196"/>
    <x v="3"/>
    <x v="5"/>
    <x v="2"/>
    <d v="2023-10-16T00:00:00"/>
    <d v="2023-10-22T00:00:00"/>
    <n v="19"/>
    <n v="321.04000000000002"/>
    <s v="Lost"/>
    <n v="2278"/>
    <n v="6"/>
    <x v="2"/>
    <n v="0.14093064091308166"/>
    <s v="not applicabel"/>
  </r>
  <r>
    <x v="197"/>
    <x v="2"/>
    <x v="0"/>
    <x v="6"/>
    <d v="2023-05-30T00:00:00"/>
    <d v="2023-06-07T00:00:00"/>
    <n v="15.3"/>
    <n v="300.44"/>
    <s v="Delayed"/>
    <n v="2406"/>
    <n v="7"/>
    <x v="1"/>
    <n v="0.12487115544472153"/>
    <s v="not applicabel"/>
  </r>
  <r>
    <x v="198"/>
    <x v="2"/>
    <x v="14"/>
    <x v="0"/>
    <d v="2023-07-15T00:00:00"/>
    <d v="2023-07-19T00:00:00"/>
    <n v="4.2"/>
    <n v="208.73"/>
    <s v="Delivered"/>
    <n v="1596"/>
    <n v="4"/>
    <x v="0"/>
    <n v="0.13078320802005011"/>
    <s v="fast"/>
  </r>
  <r>
    <x v="199"/>
    <x v="6"/>
    <x v="0"/>
    <x v="2"/>
    <d v="2023-01-31T00:00:00"/>
    <d v="2023-02-03T00:00:00"/>
    <n v="20.100000000000001"/>
    <n v="169.98"/>
    <s v="Delivered"/>
    <n v="1108"/>
    <n v="3"/>
    <x v="0"/>
    <n v="0.15341155234657039"/>
    <s v="fast"/>
  </r>
  <r>
    <x v="200"/>
    <x v="1"/>
    <x v="6"/>
    <x v="5"/>
    <d v="2023-12-28T00:00:00"/>
    <d v="2024-01-03T00:00:00"/>
    <n v="9.6"/>
    <n v="195.3"/>
    <s v="Delivered"/>
    <n v="1380"/>
    <n v="6"/>
    <x v="0"/>
    <n v="0.14152173913043478"/>
    <s v="slow"/>
  </r>
  <r>
    <x v="201"/>
    <x v="9"/>
    <x v="4"/>
    <x v="0"/>
    <d v="2023-03-28T00:00:00"/>
    <d v="2023-04-02T00:00:00"/>
    <n v="5.3"/>
    <n v="197.9"/>
    <s v="Delivered"/>
    <n v="1605"/>
    <n v="5"/>
    <x v="0"/>
    <n v="0.12330218068535825"/>
    <s v="slow"/>
  </r>
  <r>
    <x v="202"/>
    <x v="1"/>
    <x v="1"/>
    <x v="6"/>
    <d v="2023-12-09T00:00:00"/>
    <d v="2023-12-23T00:00:00"/>
    <n v="10.8"/>
    <n v="232.88"/>
    <s v="Delayed"/>
    <n v="1504"/>
    <n v="4"/>
    <x v="1"/>
    <n v="0.15484042553191488"/>
    <s v="not applicabel"/>
  </r>
  <r>
    <x v="203"/>
    <x v="3"/>
    <x v="9"/>
    <x v="1"/>
    <d v="2023-01-31T00:00:00"/>
    <d v="2023-02-05T00:00:00"/>
    <n v="61.1"/>
    <n v="350.67"/>
    <s v="Delivered"/>
    <n v="2138"/>
    <n v="5"/>
    <x v="0"/>
    <n v="0.16401777362020581"/>
    <s v="slow"/>
  </r>
  <r>
    <x v="204"/>
    <x v="6"/>
    <x v="5"/>
    <x v="2"/>
    <d v="2023-09-16T00:00:00"/>
    <d v="2023-09-28T00:00:00"/>
    <n v="20.100000000000001"/>
    <n v="112.36"/>
    <s v="Delayed"/>
    <n v="754"/>
    <n v="3"/>
    <x v="1"/>
    <n v="0.1490185676392573"/>
    <s v="not applicabel"/>
  </r>
  <r>
    <x v="205"/>
    <x v="8"/>
    <x v="13"/>
    <x v="6"/>
    <d v="2023-03-16T00:00:00"/>
    <m/>
    <n v="27.9"/>
    <n v="65.87"/>
    <s v="Delivered"/>
    <n v="320"/>
    <n v="2"/>
    <x v="4"/>
    <n v="0.20584375000000002"/>
    <s v="not applicabel"/>
  </r>
  <r>
    <x v="206"/>
    <x v="1"/>
    <x v="2"/>
    <x v="5"/>
    <d v="2023-03-16T00:00:00"/>
    <d v="2023-03-20T00:00:00"/>
    <n v="22.8"/>
    <n v="242.14"/>
    <s v="Delivered"/>
    <n v="1657"/>
    <n v="4"/>
    <x v="0"/>
    <n v="0.14613156306578151"/>
    <s v="fast"/>
  </r>
  <r>
    <x v="207"/>
    <x v="0"/>
    <x v="7"/>
    <x v="1"/>
    <d v="2023-11-03T00:00:00"/>
    <d v="2023-11-07T00:00:00"/>
    <n v="14.7"/>
    <n v="285.58999999999997"/>
    <s v="Delivered"/>
    <n v="1423"/>
    <n v="4"/>
    <x v="0"/>
    <n v="0.200695713281799"/>
    <s v="fast"/>
  </r>
  <r>
    <x v="208"/>
    <x v="1"/>
    <x v="3"/>
    <x v="3"/>
    <d v="2023-09-12T00:00:00"/>
    <d v="2023-09-17T00:00:00"/>
    <n v="32.1"/>
    <n v="193.72"/>
    <s v="Delivered"/>
    <n v="1135"/>
    <n v="5"/>
    <x v="0"/>
    <n v="0.17067841409691631"/>
    <s v="slow"/>
  </r>
  <r>
    <x v="209"/>
    <x v="2"/>
    <x v="10"/>
    <x v="1"/>
    <d v="2023-05-18T00:00:00"/>
    <d v="2023-06-04T00:00:00"/>
    <n v="8.6999999999999993"/>
    <n v="121.73"/>
    <s v="Delayed"/>
    <n v="737"/>
    <n v="4"/>
    <x v="1"/>
    <n v="0.16516960651289009"/>
    <s v="not applicabel"/>
  </r>
  <r>
    <x v="210"/>
    <x v="2"/>
    <x v="7"/>
    <x v="1"/>
    <d v="2023-10-25T00:00:00"/>
    <d v="2023-10-27T00:00:00"/>
    <n v="33.700000000000003"/>
    <n v="162.31"/>
    <s v="Delivered"/>
    <n v="796"/>
    <n v="2"/>
    <x v="0"/>
    <n v="0.20390703517587941"/>
    <s v="fast"/>
  </r>
  <r>
    <x v="211"/>
    <x v="5"/>
    <x v="8"/>
    <x v="3"/>
    <d v="2023-12-15T00:00:00"/>
    <d v="2023-12-17T00:00:00"/>
    <n v="28.8"/>
    <n v="96.12"/>
    <s v="Delivered"/>
    <n v="308"/>
    <n v="2"/>
    <x v="0"/>
    <n v="0.31207792207792207"/>
    <s v="fast"/>
  </r>
  <r>
    <x v="212"/>
    <x v="6"/>
    <x v="0"/>
    <x v="3"/>
    <d v="2023-12-15T00:00:00"/>
    <d v="2023-12-20T00:00:00"/>
    <n v="9.1"/>
    <n v="125.92"/>
    <s v="Returned"/>
    <n v="787"/>
    <n v="5"/>
    <x v="3"/>
    <n v="0.16"/>
    <s v="not applicabel"/>
  </r>
  <r>
    <x v="213"/>
    <x v="4"/>
    <x v="14"/>
    <x v="4"/>
    <d v="2023-08-28T00:00:00"/>
    <d v="2023-09-05T00:00:00"/>
    <n v="28.5"/>
    <n v="284.39999999999998"/>
    <s v="Delivered"/>
    <n v="2074"/>
    <n v="8"/>
    <x v="0"/>
    <n v="0.13712632594021215"/>
    <s v="slow"/>
  </r>
  <r>
    <x v="214"/>
    <x v="6"/>
    <x v="8"/>
    <x v="1"/>
    <d v="2023-09-22T00:00:00"/>
    <d v="2023-09-27T00:00:00"/>
    <n v="88"/>
    <n v="297.27999999999997"/>
    <s v="Delivered"/>
    <n v="1145"/>
    <n v="5"/>
    <x v="0"/>
    <n v="0.25963318777292577"/>
    <s v="slow"/>
  </r>
  <r>
    <x v="215"/>
    <x v="9"/>
    <x v="12"/>
    <x v="2"/>
    <d v="2023-06-07T00:00:00"/>
    <d v="2023-06-12T00:00:00"/>
    <n v="21.9"/>
    <m/>
    <s v="Delivered"/>
    <n v="1719"/>
    <n v="5"/>
    <x v="0"/>
    <n v="0"/>
    <s v="slow"/>
  </r>
  <r>
    <x v="216"/>
    <x v="8"/>
    <x v="13"/>
    <x v="6"/>
    <d v="2023-08-04T00:00:00"/>
    <d v="2023-08-09T00:00:00"/>
    <n v="24.1"/>
    <n v="141.81"/>
    <s v="Delivered"/>
    <n v="1082"/>
    <n v="5"/>
    <x v="0"/>
    <n v="0.13106284658040665"/>
    <s v="slow"/>
  </r>
  <r>
    <x v="217"/>
    <x v="4"/>
    <x v="4"/>
    <x v="3"/>
    <d v="2023-12-23T00:00:00"/>
    <d v="2023-12-26T00:00:00"/>
    <n v="11.9"/>
    <n v="192.63"/>
    <s v="Delivered"/>
    <n v="1204"/>
    <n v="3"/>
    <x v="0"/>
    <n v="0.15999169435215946"/>
    <s v="fast"/>
  </r>
  <r>
    <x v="218"/>
    <x v="6"/>
    <x v="14"/>
    <x v="5"/>
    <d v="2023-09-04T00:00:00"/>
    <d v="2023-09-07T00:00:00"/>
    <n v="17.899999999999999"/>
    <n v="133.27000000000001"/>
    <s v="Delivered"/>
    <n v="1030"/>
    <n v="3"/>
    <x v="0"/>
    <n v="0.12938834951456313"/>
    <s v="fast"/>
  </r>
  <r>
    <x v="219"/>
    <x v="2"/>
    <x v="4"/>
    <x v="4"/>
    <d v="2023-05-18T00:00:00"/>
    <d v="2023-05-20T00:00:00"/>
    <n v="38.1"/>
    <n v="120.04"/>
    <s v="Delivered"/>
    <n v="603"/>
    <n v="2"/>
    <x v="0"/>
    <n v="0.19907131011608625"/>
    <s v="fast"/>
  </r>
  <r>
    <x v="220"/>
    <x v="4"/>
    <x v="9"/>
    <x v="0"/>
    <d v="2023-07-14T00:00:00"/>
    <d v="2023-07-19T00:00:00"/>
    <n v="4.9000000000000004"/>
    <n v="203.03"/>
    <s v="Delivered"/>
    <n v="1660"/>
    <n v="5"/>
    <x v="0"/>
    <n v="0.12230722891566265"/>
    <s v="slow"/>
  </r>
  <r>
    <x v="221"/>
    <x v="5"/>
    <x v="8"/>
    <x v="3"/>
    <d v="2023-09-06T00:00:00"/>
    <d v="2023-09-09T00:00:00"/>
    <n v="86.2"/>
    <n v="210.89"/>
    <s v="Delivered"/>
    <n v="862"/>
    <n v="3"/>
    <x v="0"/>
    <n v="0.2446519721577726"/>
    <s v="fast"/>
  </r>
  <r>
    <x v="222"/>
    <x v="5"/>
    <x v="4"/>
    <x v="0"/>
    <d v="2023-06-28T00:00:00"/>
    <d v="2023-07-03T00:00:00"/>
    <n v="12.6"/>
    <n v="176.77"/>
    <s v="Delivered"/>
    <n v="1322"/>
    <n v="5"/>
    <x v="0"/>
    <n v="0.13371406959152798"/>
    <s v="slow"/>
  </r>
  <r>
    <x v="223"/>
    <x v="6"/>
    <x v="14"/>
    <x v="0"/>
    <d v="2023-06-19T00:00:00"/>
    <d v="2023-06-22T00:00:00"/>
    <n v="33.799999999999997"/>
    <n v="161.44999999999999"/>
    <s v="Delivered"/>
    <n v="1030"/>
    <n v="3"/>
    <x v="0"/>
    <n v="0.15674757281553398"/>
    <s v="fast"/>
  </r>
  <r>
    <x v="224"/>
    <x v="0"/>
    <x v="12"/>
    <x v="3"/>
    <d v="2023-04-28T00:00:00"/>
    <d v="2023-05-07T00:00:00"/>
    <n v="14.1"/>
    <n v="87.12"/>
    <s v="Delayed"/>
    <n v="573"/>
    <n v="3"/>
    <x v="1"/>
    <n v="0.15204188481675393"/>
    <s v="not applicabel"/>
  </r>
  <r>
    <x v="225"/>
    <x v="2"/>
    <x v="6"/>
    <x v="4"/>
    <d v="2023-09-13T00:00:00"/>
    <d v="2023-09-18T00:00:00"/>
    <n v="19.3"/>
    <n v="98.54"/>
    <s v="Delayed"/>
    <n v="585"/>
    <n v="1"/>
    <x v="1"/>
    <n v="0.16844444444444445"/>
    <s v="not applicabel"/>
  </r>
  <r>
    <x v="226"/>
    <x v="6"/>
    <x v="10"/>
    <x v="6"/>
    <d v="2023-12-10T00:00:00"/>
    <d v="2023-12-13T00:00:00"/>
    <n v="16.600000000000001"/>
    <n v="219.37"/>
    <s v="Delivered"/>
    <n v="1469"/>
    <n v="3"/>
    <x v="0"/>
    <n v="0.14933287950987068"/>
    <s v="fast"/>
  </r>
  <r>
    <x v="227"/>
    <x v="7"/>
    <x v="5"/>
    <x v="2"/>
    <d v="2023-11-29T00:00:00"/>
    <d v="2023-12-05T00:00:00"/>
    <n v="16.100000000000001"/>
    <n v="161.74"/>
    <s v="Delivered"/>
    <n v="1053"/>
    <n v="6"/>
    <x v="0"/>
    <n v="0.15359924026590693"/>
    <s v="slow"/>
  </r>
  <r>
    <x v="228"/>
    <x v="7"/>
    <x v="9"/>
    <x v="1"/>
    <d v="2023-05-11T00:00:00"/>
    <d v="2023-05-14T00:00:00"/>
    <n v="10.8"/>
    <n v="188.69"/>
    <s v="In Transit"/>
    <n v="1329"/>
    <n v="3"/>
    <x v="0"/>
    <n v="0.14197893152746427"/>
    <s v="fast"/>
  </r>
  <r>
    <x v="229"/>
    <x v="9"/>
    <x v="6"/>
    <x v="4"/>
    <d v="2023-03-13T00:00:00"/>
    <d v="2023-03-14T00:00:00"/>
    <n v="8.8000000000000007"/>
    <n v="27.23"/>
    <s v="Delivered"/>
    <n v="156"/>
    <n v="1"/>
    <x v="0"/>
    <n v="0.17455128205128206"/>
    <s v="fast"/>
  </r>
  <r>
    <x v="230"/>
    <x v="2"/>
    <x v="6"/>
    <x v="4"/>
    <d v="2023-03-01T00:00:00"/>
    <d v="2023-03-06T00:00:00"/>
    <n v="12.1"/>
    <n v="247.5"/>
    <s v="Delayed"/>
    <n v="1760"/>
    <n v="4"/>
    <x v="1"/>
    <n v="0.140625"/>
    <s v="not applicabel"/>
  </r>
  <r>
    <x v="231"/>
    <x v="5"/>
    <x v="7"/>
    <x v="3"/>
    <d v="2023-08-30T00:00:00"/>
    <d v="2023-09-12T00:00:00"/>
    <n v="19.8"/>
    <n v="63.39"/>
    <s v="Delayed"/>
    <n v="283"/>
    <n v="2"/>
    <x v="1"/>
    <n v="0.22399293286219082"/>
    <s v="not applicabel"/>
  </r>
  <r>
    <x v="232"/>
    <x v="6"/>
    <x v="2"/>
    <x v="2"/>
    <d v="2023-12-24T00:00:00"/>
    <d v="2023-12-27T00:00:00"/>
    <n v="22.2"/>
    <n v="81.13"/>
    <s v="Delivered"/>
    <n v="397"/>
    <n v="3"/>
    <x v="0"/>
    <n v="0.20435768261964735"/>
    <s v="fast"/>
  </r>
  <r>
    <x v="233"/>
    <x v="4"/>
    <x v="13"/>
    <x v="4"/>
    <d v="2023-08-12T00:00:00"/>
    <d v="2023-08-16T00:00:00"/>
    <n v="18.5"/>
    <n v="109.5"/>
    <s v="Delivered"/>
    <n v="816"/>
    <n v="4"/>
    <x v="0"/>
    <n v="0.13419117647058823"/>
    <s v="fast"/>
  </r>
  <r>
    <x v="234"/>
    <x v="6"/>
    <x v="13"/>
    <x v="5"/>
    <d v="2023-04-28T00:00:00"/>
    <d v="2023-05-01T00:00:00"/>
    <n v="10"/>
    <n v="96.03"/>
    <s v="Returned"/>
    <n v="715"/>
    <n v="3"/>
    <x v="3"/>
    <n v="0.13430769230769232"/>
    <s v="not applicabel"/>
  </r>
  <r>
    <x v="235"/>
    <x v="8"/>
    <x v="10"/>
    <x v="0"/>
    <d v="2023-05-24T00:00:00"/>
    <d v="2023-05-28T00:00:00"/>
    <n v="25.9"/>
    <n v="285.87"/>
    <s v="Delivered"/>
    <n v="1956"/>
    <n v="4"/>
    <x v="0"/>
    <n v="0.14615030674846627"/>
    <s v="fast"/>
  </r>
  <r>
    <x v="236"/>
    <x v="2"/>
    <x v="8"/>
    <x v="4"/>
    <d v="2023-07-30T00:00:00"/>
    <d v="2023-08-04T00:00:00"/>
    <n v="22.8"/>
    <n v="277.89999999999998"/>
    <s v="Delivered"/>
    <n v="2187"/>
    <n v="5"/>
    <x v="0"/>
    <n v="0.12706904435299496"/>
    <s v="slow"/>
  </r>
  <r>
    <x v="237"/>
    <x v="8"/>
    <x v="3"/>
    <x v="6"/>
    <d v="2023-09-14T00:00:00"/>
    <d v="2023-09-20T00:00:00"/>
    <n v="85.5"/>
    <n v="345.35"/>
    <s v="Delivered"/>
    <n v="2172"/>
    <n v="6"/>
    <x v="0"/>
    <n v="0.15900092081031308"/>
    <s v="slow"/>
  </r>
  <r>
    <x v="238"/>
    <x v="0"/>
    <x v="14"/>
    <x v="2"/>
    <d v="2023-08-25T00:00:00"/>
    <d v="2023-08-28T00:00:00"/>
    <n v="31.8"/>
    <n v="125.07"/>
    <s v="Delivered"/>
    <n v="816"/>
    <n v="3"/>
    <x v="0"/>
    <n v="0.1532720588235294"/>
    <s v="fast"/>
  </r>
  <r>
    <x v="239"/>
    <x v="1"/>
    <x v="1"/>
    <x v="1"/>
    <d v="2023-06-30T00:00:00"/>
    <d v="2023-07-07T00:00:00"/>
    <n v="3.1"/>
    <n v="185.13"/>
    <s v="Delivered"/>
    <n v="1236"/>
    <n v="7"/>
    <x v="0"/>
    <n v="0.14978155339805824"/>
    <s v="slow"/>
  </r>
  <r>
    <x v="240"/>
    <x v="3"/>
    <x v="5"/>
    <x v="4"/>
    <d v="2023-06-24T00:00:00"/>
    <d v="2023-06-29T00:00:00"/>
    <n v="54.9"/>
    <n v="319.88"/>
    <s v="Delivered"/>
    <n v="1902"/>
    <n v="5"/>
    <x v="0"/>
    <n v="0.16818086225026288"/>
    <s v="slow"/>
  </r>
  <r>
    <x v="241"/>
    <x v="7"/>
    <x v="14"/>
    <x v="1"/>
    <d v="2023-10-11T00:00:00"/>
    <d v="2023-10-15T00:00:00"/>
    <n v="17.600000000000001"/>
    <n v="167.63"/>
    <s v="Delivered"/>
    <n v="1038"/>
    <n v="4"/>
    <x v="0"/>
    <n v="0.16149325626204239"/>
    <s v="fast"/>
  </r>
  <r>
    <x v="242"/>
    <x v="7"/>
    <x v="2"/>
    <x v="5"/>
    <d v="2023-05-24T00:00:00"/>
    <d v="2023-05-28T00:00:00"/>
    <n v="8.6999999999999993"/>
    <n v="188.16"/>
    <s v="Delivered"/>
    <n v="1590"/>
    <n v="4"/>
    <x v="0"/>
    <n v="0.11833962264150943"/>
    <s v="fast"/>
  </r>
  <r>
    <x v="243"/>
    <x v="4"/>
    <x v="8"/>
    <x v="1"/>
    <d v="2023-08-12T00:00:00"/>
    <d v="2023-08-17T00:00:00"/>
    <n v="11.8"/>
    <n v="92.57"/>
    <s v="In Transit"/>
    <n v="590"/>
    <n v="5"/>
    <x v="0"/>
    <n v="0.15689830508474575"/>
    <s v="slow"/>
  </r>
  <r>
    <x v="244"/>
    <x v="6"/>
    <x v="2"/>
    <x v="5"/>
    <d v="2023-04-03T00:00:00"/>
    <d v="2023-04-07T00:00:00"/>
    <n v="44"/>
    <n v="167.48"/>
    <s v="Delivered"/>
    <n v="1105"/>
    <n v="4"/>
    <x v="0"/>
    <n v="0.1515656108597285"/>
    <s v="fast"/>
  </r>
  <r>
    <x v="245"/>
    <x v="0"/>
    <x v="12"/>
    <x v="6"/>
    <d v="2023-02-17T00:00:00"/>
    <d v="2023-02-20T00:00:00"/>
    <n v="16.7"/>
    <n v="152.32"/>
    <s v="Delivered"/>
    <n v="1153"/>
    <n v="3"/>
    <x v="0"/>
    <n v="0.13210754553339116"/>
    <s v="fast"/>
  </r>
  <r>
    <x v="246"/>
    <x v="1"/>
    <x v="12"/>
    <x v="6"/>
    <d v="2023-03-20T00:00:00"/>
    <d v="2023-03-23T00:00:00"/>
    <n v="21.9"/>
    <n v="167.58"/>
    <s v="Delivered"/>
    <n v="1124"/>
    <n v="3"/>
    <x v="0"/>
    <n v="0.14909252669039147"/>
    <s v="fast"/>
  </r>
  <r>
    <x v="247"/>
    <x v="1"/>
    <x v="5"/>
    <x v="5"/>
    <d v="2023-02-28T00:00:00"/>
    <d v="2023-03-05T00:00:00"/>
    <n v="3.6"/>
    <n v="230.21"/>
    <s v="Delivered"/>
    <n v="2074"/>
    <n v="5"/>
    <x v="0"/>
    <n v="0.11099807135969142"/>
    <s v="slow"/>
  </r>
  <r>
    <x v="248"/>
    <x v="6"/>
    <x v="3"/>
    <x v="0"/>
    <d v="2023-12-28T00:00:00"/>
    <d v="2023-12-30T00:00:00"/>
    <n v="32.700000000000003"/>
    <n v="97.49"/>
    <s v="Delivered"/>
    <n v="302"/>
    <n v="2"/>
    <x v="0"/>
    <n v="0.32281456953642385"/>
    <s v="fast"/>
  </r>
  <r>
    <x v="249"/>
    <x v="9"/>
    <x v="8"/>
    <x v="6"/>
    <d v="2023-11-03T00:00:00"/>
    <d v="2023-11-08T00:00:00"/>
    <n v="13.6"/>
    <n v="316.04000000000002"/>
    <s v="Delivered"/>
    <n v="2073"/>
    <n v="5"/>
    <x v="0"/>
    <n v="0.1524553786782441"/>
    <s v="slow"/>
  </r>
  <r>
    <x v="250"/>
    <x v="8"/>
    <x v="6"/>
    <x v="4"/>
    <d v="2023-02-26T00:00:00"/>
    <d v="2023-01-27T00:00:00"/>
    <n v="5.5"/>
    <n v="259.45"/>
    <s v="Delivered"/>
    <n v="2132"/>
    <n v="7"/>
    <x v="0"/>
    <n v="0.12169324577861163"/>
    <s v="slow"/>
  </r>
  <r>
    <x v="251"/>
    <x v="2"/>
    <x v="8"/>
    <x v="4"/>
    <d v="2023-03-02T00:00:00"/>
    <d v="2023-03-05T00:00:00"/>
    <n v="27.5"/>
    <n v="111.16"/>
    <s v="Delivered"/>
    <n v="569"/>
    <n v="3"/>
    <x v="0"/>
    <n v="0.19536028119507909"/>
    <s v="fast"/>
  </r>
  <r>
    <x v="252"/>
    <x v="2"/>
    <x v="13"/>
    <x v="0"/>
    <d v="2023-11-11T00:00:00"/>
    <d v="2023-11-16T00:00:00"/>
    <n v="21.5"/>
    <n v="437.58"/>
    <s v="Delivered"/>
    <n v="2433"/>
    <n v="5"/>
    <x v="0"/>
    <n v="0.17985203452527743"/>
    <s v="slow"/>
  </r>
  <r>
    <x v="253"/>
    <x v="4"/>
    <x v="14"/>
    <x v="5"/>
    <d v="2023-01-15T00:00:00"/>
    <d v="2023-01-17T00:00:00"/>
    <n v="24.8"/>
    <n v="110.65"/>
    <s v="Delivered"/>
    <n v="677"/>
    <n v="2"/>
    <x v="0"/>
    <n v="0.16344165435745939"/>
    <s v="fast"/>
  </r>
  <r>
    <x v="254"/>
    <x v="2"/>
    <x v="6"/>
    <x v="5"/>
    <d v="2023-02-27T00:00:00"/>
    <d v="2023-03-05T00:00:00"/>
    <n v="11.2"/>
    <n v="324.52"/>
    <s v="In Transit"/>
    <n v="2379"/>
    <n v="6"/>
    <x v="0"/>
    <n v="0.13641025641025639"/>
    <s v="slow"/>
  </r>
  <r>
    <x v="255"/>
    <x v="1"/>
    <x v="14"/>
    <x v="0"/>
    <d v="2023-11-11T00:00:00"/>
    <d v="2023-11-16T00:00:00"/>
    <n v="17.899999999999999"/>
    <n v="191.48"/>
    <s v="Delivered"/>
    <n v="984"/>
    <n v="5"/>
    <x v="0"/>
    <n v="0.19459349593495934"/>
    <s v="slow"/>
  </r>
  <r>
    <x v="256"/>
    <x v="9"/>
    <x v="11"/>
    <x v="1"/>
    <d v="2023-05-19T00:00:00"/>
    <d v="2023-05-22T00:00:00"/>
    <n v="34.9"/>
    <n v="102.14"/>
    <s v="Delivered"/>
    <n v="420"/>
    <n v="3"/>
    <x v="0"/>
    <n v="0.24319047619047618"/>
    <s v="fast"/>
  </r>
  <r>
    <x v="257"/>
    <x v="0"/>
    <x v="4"/>
    <x v="3"/>
    <d v="2023-02-28T00:00:00"/>
    <d v="2023-03-01T00:00:00"/>
    <n v="27.1"/>
    <n v="79.459999999999994"/>
    <s v="Delivered"/>
    <n v="338"/>
    <n v="1"/>
    <x v="0"/>
    <n v="0.23508875739644969"/>
    <s v="fast"/>
  </r>
  <r>
    <x v="258"/>
    <x v="5"/>
    <x v="13"/>
    <x v="4"/>
    <d v="2023-09-16T00:00:00"/>
    <d v="2023-09-29T00:00:00"/>
    <n v="46.8"/>
    <n v="105.98"/>
    <s v="Delayed"/>
    <n v="410"/>
    <n v="2"/>
    <x v="1"/>
    <n v="0.25848780487804879"/>
    <s v="not applicabel"/>
  </r>
  <r>
    <x v="259"/>
    <x v="1"/>
    <x v="12"/>
    <x v="0"/>
    <d v="2023-05-27T00:00:00"/>
    <d v="2023-06-01T00:00:00"/>
    <n v="10.4"/>
    <n v="204.87"/>
    <s v="Delivered"/>
    <n v="1486"/>
    <n v="5"/>
    <x v="0"/>
    <n v="0.13786675639300136"/>
    <s v="slow"/>
  </r>
  <r>
    <x v="260"/>
    <x v="0"/>
    <x v="0"/>
    <x v="0"/>
    <d v="2023-07-05T00:00:00"/>
    <m/>
    <n v="14.6"/>
    <n v="358.31"/>
    <s v="Delayed"/>
    <n v="2492"/>
    <n v="6"/>
    <x v="4"/>
    <n v="0.14378410914927769"/>
    <s v="not applicabel"/>
  </r>
  <r>
    <x v="261"/>
    <x v="6"/>
    <x v="7"/>
    <x v="1"/>
    <d v="2023-12-24T00:00:00"/>
    <d v="2023-12-28T00:00:00"/>
    <n v="39.200000000000003"/>
    <n v="159.9"/>
    <s v="Delivered"/>
    <n v="605"/>
    <n v="4"/>
    <x v="0"/>
    <n v="0.26429752066115703"/>
    <s v="fast"/>
  </r>
  <r>
    <x v="262"/>
    <x v="1"/>
    <x v="10"/>
    <x v="6"/>
    <d v="2023-03-13T00:00:00"/>
    <d v="2023-03-16T00:00:00"/>
    <n v="10"/>
    <m/>
    <s v="Delivered"/>
    <n v="373"/>
    <n v="3"/>
    <x v="0"/>
    <n v="0"/>
    <s v="fast"/>
  </r>
  <r>
    <x v="263"/>
    <x v="9"/>
    <x v="6"/>
    <x v="3"/>
    <d v="2023-08-31T00:00:00"/>
    <d v="2023-09-01T00:00:00"/>
    <n v="8.6"/>
    <n v="34.32"/>
    <s v="Delivered"/>
    <n v="165"/>
    <n v="1"/>
    <x v="0"/>
    <n v="0.20799999999999999"/>
    <s v="fast"/>
  </r>
  <r>
    <x v="264"/>
    <x v="1"/>
    <x v="4"/>
    <x v="0"/>
    <d v="2023-01-11T00:00:00"/>
    <d v="2023-01-15T00:00:00"/>
    <n v="10.9"/>
    <n v="191.54"/>
    <s v="Delivered"/>
    <n v="1435"/>
    <n v="4"/>
    <x v="0"/>
    <n v="0.1334773519163763"/>
    <s v="fast"/>
  </r>
  <r>
    <x v="265"/>
    <x v="3"/>
    <x v="7"/>
    <x v="6"/>
    <d v="2023-01-11T00:00:00"/>
    <d v="2023-01-14T00:00:00"/>
    <n v="35.299999999999997"/>
    <n v="102.36"/>
    <s v="Delivered"/>
    <n v="533"/>
    <n v="3"/>
    <x v="0"/>
    <n v="0.19204502814258911"/>
    <s v="fast"/>
  </r>
  <r>
    <x v="266"/>
    <x v="2"/>
    <x v="10"/>
    <x v="4"/>
    <d v="2023-11-29T00:00:00"/>
    <d v="2023-12-05T00:00:00"/>
    <n v="40.9"/>
    <n v="224.12"/>
    <s v="Delivered"/>
    <n v="1122"/>
    <n v="6"/>
    <x v="0"/>
    <n v="0.19975044563279859"/>
    <s v="slow"/>
  </r>
  <r>
    <x v="267"/>
    <x v="4"/>
    <x v="12"/>
    <x v="1"/>
    <d v="2023-07-22T00:00:00"/>
    <d v="2023-07-23T00:00:00"/>
    <n v="22.4"/>
    <n v="70.430000000000007"/>
    <s v="Delivered"/>
    <n v="263"/>
    <n v="1"/>
    <x v="0"/>
    <n v="0.26779467680608365"/>
    <s v="fast"/>
  </r>
  <r>
    <x v="268"/>
    <x v="9"/>
    <x v="11"/>
    <x v="4"/>
    <d v="2023-11-14T00:00:00"/>
    <d v="2023-11-19T00:00:00"/>
    <n v="8.6999999999999993"/>
    <n v="202.52"/>
    <s v="Delivered"/>
    <n v="1348"/>
    <n v="5"/>
    <x v="0"/>
    <n v="0.15023738872403561"/>
    <s v="slow"/>
  </r>
  <r>
    <x v="269"/>
    <x v="3"/>
    <x v="1"/>
    <x v="6"/>
    <d v="2023-11-28T00:00:00"/>
    <d v="2023-12-01T00:00:00"/>
    <n v="10.9"/>
    <n v="55.96"/>
    <s v="In Transit"/>
    <n v="340"/>
    <n v="3"/>
    <x v="0"/>
    <n v="0.16458823529411765"/>
    <s v="fast"/>
  </r>
  <r>
    <x v="270"/>
    <x v="9"/>
    <x v="10"/>
    <x v="3"/>
    <d v="2023-01-18T00:00:00"/>
    <d v="2023-01-21T00:00:00"/>
    <n v="4.9000000000000004"/>
    <n v="27.41"/>
    <s v="Delivered"/>
    <n v="159"/>
    <n v="3"/>
    <x v="0"/>
    <n v="0.17238993710691825"/>
    <s v="fast"/>
  </r>
  <r>
    <x v="271"/>
    <x v="2"/>
    <x v="8"/>
    <x v="3"/>
    <d v="2023-01-21T00:00:00"/>
    <d v="2023-01-26T00:00:00"/>
    <n v="45.1"/>
    <n v="322.54000000000002"/>
    <s v="Delivered"/>
    <n v="2054"/>
    <n v="5"/>
    <x v="0"/>
    <n v="0.15703018500486857"/>
    <s v="slow"/>
  </r>
  <r>
    <x v="272"/>
    <x v="7"/>
    <x v="8"/>
    <x v="4"/>
    <d v="2023-03-27T00:00:00"/>
    <d v="2023-03-28T00:00:00"/>
    <n v="24.8"/>
    <n v="66.900000000000006"/>
    <s v="In Transit"/>
    <n v="274"/>
    <n v="1"/>
    <x v="0"/>
    <n v="0.24416058394160586"/>
    <s v="fast"/>
  </r>
  <r>
    <x v="273"/>
    <x v="5"/>
    <x v="11"/>
    <x v="5"/>
    <d v="2023-01-04T00:00:00"/>
    <d v="2023-01-08T00:00:00"/>
    <n v="26.5"/>
    <m/>
    <s v="Delivered"/>
    <n v="1350"/>
    <n v="4"/>
    <x v="0"/>
    <n v="0"/>
    <s v="fast"/>
  </r>
  <r>
    <x v="274"/>
    <x v="1"/>
    <x v="11"/>
    <x v="5"/>
    <d v="2023-03-15T00:00:00"/>
    <d v="2023-03-20T00:00:00"/>
    <n v="13.4"/>
    <m/>
    <s v="Delivered"/>
    <n v="916"/>
    <n v="5"/>
    <x v="0"/>
    <n v="0"/>
    <s v="slow"/>
  </r>
  <r>
    <x v="275"/>
    <x v="1"/>
    <x v="5"/>
    <x v="5"/>
    <d v="2023-04-16T00:00:00"/>
    <d v="2023-04-18T00:00:00"/>
    <n v="25.3"/>
    <n v="107.88"/>
    <s v="In Transit"/>
    <n v="742"/>
    <n v="2"/>
    <x v="0"/>
    <n v="0.14539083557951482"/>
    <s v="fast"/>
  </r>
  <r>
    <x v="276"/>
    <x v="4"/>
    <x v="4"/>
    <x v="3"/>
    <d v="2023-08-18T00:00:00"/>
    <d v="2023-08-24T00:00:00"/>
    <n v="18"/>
    <n v="305.41000000000003"/>
    <s v="Delivered"/>
    <n v="2218"/>
    <n v="6"/>
    <x v="0"/>
    <n v="0.13769612263300271"/>
    <s v="slow"/>
  </r>
  <r>
    <x v="277"/>
    <x v="9"/>
    <x v="10"/>
    <x v="2"/>
    <d v="2023-03-12T00:00:00"/>
    <d v="2023-03-17T00:00:00"/>
    <n v="8.1999999999999993"/>
    <n v="248.9"/>
    <s v="Delivered"/>
    <n v="1857"/>
    <n v="5"/>
    <x v="0"/>
    <n v="0.1340333871836295"/>
    <s v="slow"/>
  </r>
  <r>
    <x v="278"/>
    <x v="1"/>
    <x v="13"/>
    <x v="2"/>
    <d v="2023-09-02T00:00:00"/>
    <d v="2023-09-08T00:00:00"/>
    <n v="9.6"/>
    <n v="242.9"/>
    <s v="Delivered"/>
    <n v="2001"/>
    <n v="6"/>
    <x v="0"/>
    <n v="0.12138930534732634"/>
    <s v="slow"/>
  </r>
  <r>
    <x v="279"/>
    <x v="3"/>
    <x v="12"/>
    <x v="6"/>
    <d v="2023-10-19T00:00:00"/>
    <d v="2023-10-20T00:00:00"/>
    <n v="37.700000000000003"/>
    <n v="77.3"/>
    <s v="Delivered"/>
    <n v="293"/>
    <n v="1"/>
    <x v="0"/>
    <n v="0.2638225255972696"/>
    <s v="fast"/>
  </r>
  <r>
    <x v="280"/>
    <x v="7"/>
    <x v="4"/>
    <x v="2"/>
    <d v="2023-10-22T00:00:00"/>
    <d v="2023-10-26T00:00:00"/>
    <n v="20.100000000000001"/>
    <n v="209.94"/>
    <s v="Delivered"/>
    <n v="1401"/>
    <n v="4"/>
    <x v="0"/>
    <n v="0.14985010706638116"/>
    <s v="fast"/>
  </r>
  <r>
    <x v="281"/>
    <x v="6"/>
    <x v="10"/>
    <x v="2"/>
    <d v="2023-03-22T00:00:00"/>
    <d v="2023-04-03T00:00:00"/>
    <n v="21.5"/>
    <n v="136.58000000000001"/>
    <s v="Delayed"/>
    <n v="916"/>
    <n v="2"/>
    <x v="1"/>
    <n v="0.14910480349344979"/>
    <s v="not applicabel"/>
  </r>
  <r>
    <x v="282"/>
    <x v="9"/>
    <x v="13"/>
    <x v="4"/>
    <d v="2023-03-06T00:00:00"/>
    <d v="2023-03-10T00:00:00"/>
    <n v="4.5999999999999996"/>
    <n v="230.19"/>
    <s v="Delivered"/>
    <n v="1778"/>
    <n v="4"/>
    <x v="0"/>
    <n v="0.12946569178852643"/>
    <s v="fast"/>
  </r>
  <r>
    <x v="283"/>
    <x v="5"/>
    <x v="9"/>
    <x v="3"/>
    <d v="2023-11-06T00:00:00"/>
    <d v="2023-11-12T00:00:00"/>
    <n v="29.5"/>
    <n v="194.07"/>
    <s v="Delivered"/>
    <n v="1041"/>
    <n v="6"/>
    <x v="0"/>
    <n v="0.18642651296829971"/>
    <s v="slow"/>
  </r>
  <r>
    <x v="284"/>
    <x v="4"/>
    <x v="13"/>
    <x v="6"/>
    <d v="2023-09-13T00:00:00"/>
    <d v="2023-08-14T00:00:00"/>
    <n v="8"/>
    <n v="92.47"/>
    <s v="Delivered"/>
    <n v="676"/>
    <n v="5"/>
    <x v="0"/>
    <n v="0.13678994082840237"/>
    <s v="slow"/>
  </r>
  <r>
    <x v="285"/>
    <x v="3"/>
    <x v="11"/>
    <x v="6"/>
    <d v="2023-04-04T00:00:00"/>
    <d v="2023-04-05T00:00:00"/>
    <n v="9.9"/>
    <n v="62.2"/>
    <s v="Delivered"/>
    <n v="448"/>
    <n v="1"/>
    <x v="0"/>
    <n v="0.13883928571428572"/>
    <s v="fast"/>
  </r>
  <r>
    <x v="286"/>
    <x v="8"/>
    <x v="5"/>
    <x v="1"/>
    <d v="2023-02-14T00:00:00"/>
    <d v="2023-02-19T00:00:00"/>
    <n v="27.2"/>
    <n v="334.23"/>
    <s v="Delivered"/>
    <n v="2033"/>
    <n v="5"/>
    <x v="0"/>
    <n v="0.1644023610427939"/>
    <s v="slow"/>
  </r>
  <r>
    <x v="287"/>
    <x v="9"/>
    <x v="12"/>
    <x v="1"/>
    <d v="2023-09-19T00:00:00"/>
    <d v="2023-09-23T00:00:00"/>
    <n v="75.900000000000006"/>
    <n v="251.01"/>
    <s v="Delivered"/>
    <n v="939"/>
    <n v="4"/>
    <x v="0"/>
    <n v="0.26731629392971246"/>
    <s v="fast"/>
  </r>
  <r>
    <x v="288"/>
    <x v="9"/>
    <x v="7"/>
    <x v="0"/>
    <d v="2023-06-14T00:00:00"/>
    <d v="2023-06-16T00:00:00"/>
    <n v="24.5"/>
    <n v="142.72999999999999"/>
    <s v="Delivered"/>
    <n v="926"/>
    <n v="2"/>
    <x v="0"/>
    <n v="0.15413606911447084"/>
    <s v="fast"/>
  </r>
  <r>
    <x v="289"/>
    <x v="6"/>
    <x v="13"/>
    <x v="2"/>
    <d v="2023-07-19T00:00:00"/>
    <d v="2023-07-25T00:00:00"/>
    <n v="38.5"/>
    <n v="330.97"/>
    <s v="Delivered"/>
    <n v="2444"/>
    <n v="6"/>
    <x v="0"/>
    <n v="0.13542144026186581"/>
    <s v="slow"/>
  </r>
  <r>
    <x v="290"/>
    <x v="1"/>
    <x v="4"/>
    <x v="2"/>
    <d v="2023-11-09T00:00:00"/>
    <d v="2023-11-13T00:00:00"/>
    <n v="10.6"/>
    <n v="235.34"/>
    <s v="Delivered"/>
    <n v="1435"/>
    <n v="4"/>
    <x v="0"/>
    <n v="0.16400000000000001"/>
    <s v="fast"/>
  </r>
  <r>
    <x v="291"/>
    <x v="6"/>
    <x v="7"/>
    <x v="4"/>
    <d v="2023-03-07T00:00:00"/>
    <d v="2023-03-12T00:00:00"/>
    <n v="10.1"/>
    <n v="231.81"/>
    <s v="Lost"/>
    <n v="1875"/>
    <n v="5"/>
    <x v="2"/>
    <n v="0.12363200000000001"/>
    <s v="not applicabel"/>
  </r>
  <r>
    <x v="292"/>
    <x v="1"/>
    <x v="5"/>
    <x v="3"/>
    <d v="2023-05-28T00:00:00"/>
    <d v="2023-06-02T00:00:00"/>
    <n v="18.399999999999999"/>
    <n v="302.47000000000003"/>
    <s v="Delivered"/>
    <n v="2280"/>
    <n v="5"/>
    <x v="0"/>
    <n v="0.1326622807017544"/>
    <s v="slow"/>
  </r>
  <r>
    <x v="293"/>
    <x v="0"/>
    <x v="10"/>
    <x v="1"/>
    <d v="2023-11-16T00:00:00"/>
    <d v="2023-11-20T00:00:00"/>
    <n v="16.7"/>
    <n v="341.36"/>
    <s v="Delivered"/>
    <n v="1808"/>
    <n v="4"/>
    <x v="0"/>
    <n v="0.18880530973451329"/>
    <s v="fast"/>
  </r>
  <r>
    <x v="294"/>
    <x v="9"/>
    <x v="1"/>
    <x v="0"/>
    <d v="2023-05-30T00:00:00"/>
    <d v="2023-06-04T00:00:00"/>
    <n v="4.0999999999999996"/>
    <n v="237.12"/>
    <s v="Delivered"/>
    <n v="1790"/>
    <n v="5"/>
    <x v="0"/>
    <n v="0.13246927374301676"/>
    <s v="slow"/>
  </r>
  <r>
    <x v="295"/>
    <x v="0"/>
    <x v="5"/>
    <x v="2"/>
    <d v="2023-04-22T00:00:00"/>
    <d v="2023-04-26T00:00:00"/>
    <n v="5.2"/>
    <n v="127.1"/>
    <s v="Delivered"/>
    <n v="1049"/>
    <n v="4"/>
    <x v="0"/>
    <n v="0.121163012392755"/>
    <s v="fast"/>
  </r>
  <r>
    <x v="296"/>
    <x v="7"/>
    <x v="9"/>
    <x v="5"/>
    <d v="2023-03-05T00:00:00"/>
    <d v="2023-03-18T00:00:00"/>
    <n v="23.7"/>
    <n v="82.89"/>
    <s v="Delayed"/>
    <n v="461"/>
    <n v="6"/>
    <x v="1"/>
    <n v="0.17980477223427332"/>
    <s v="not applicabel"/>
  </r>
  <r>
    <x v="297"/>
    <x v="6"/>
    <x v="6"/>
    <x v="3"/>
    <d v="2023-07-28T00:00:00"/>
    <d v="2023-08-02T00:00:00"/>
    <n v="21.8"/>
    <n v="204.43"/>
    <s v="Delivered"/>
    <n v="1218"/>
    <n v="5"/>
    <x v="0"/>
    <n v="0.16784072249589491"/>
    <s v="slow"/>
  </r>
  <r>
    <x v="298"/>
    <x v="1"/>
    <x v="13"/>
    <x v="6"/>
    <d v="2023-05-24T00:00:00"/>
    <d v="2023-05-30T00:00:00"/>
    <n v="20"/>
    <n v="255.06"/>
    <s v="Delivered"/>
    <n v="2144"/>
    <n v="6"/>
    <x v="0"/>
    <n v="0.11896455223880598"/>
    <s v="slow"/>
  </r>
  <r>
    <x v="299"/>
    <x v="7"/>
    <x v="9"/>
    <x v="5"/>
    <d v="2023-11-20T00:00:00"/>
    <d v="2023-11-24T00:00:00"/>
    <n v="12.7"/>
    <n v="261.22000000000003"/>
    <s v="Delivered"/>
    <n v="1547"/>
    <n v="4"/>
    <x v="0"/>
    <n v="0.16885585003232065"/>
    <s v="fast"/>
  </r>
  <r>
    <x v="300"/>
    <x v="6"/>
    <x v="4"/>
    <x v="1"/>
    <d v="2023-06-29T00:00:00"/>
    <d v="2023-07-01T00:00:00"/>
    <n v="22.8"/>
    <n v="76.069999999999993"/>
    <s v="Delivered"/>
    <n v="370"/>
    <n v="2"/>
    <x v="0"/>
    <n v="0.20559459459459459"/>
    <s v="fast"/>
  </r>
  <r>
    <x v="301"/>
    <x v="7"/>
    <x v="9"/>
    <x v="1"/>
    <d v="2023-06-21T00:00:00"/>
    <d v="2023-06-30T00:00:00"/>
    <n v="12.6"/>
    <n v="332.46"/>
    <s v="Delivered"/>
    <n v="2400"/>
    <n v="9"/>
    <x v="0"/>
    <n v="0.13852499999999998"/>
    <s v="slow"/>
  </r>
  <r>
    <x v="302"/>
    <x v="7"/>
    <x v="1"/>
    <x v="0"/>
    <d v="2023-09-16T00:00:00"/>
    <d v="2023-09-20T00:00:00"/>
    <n v="25"/>
    <n v="203.15"/>
    <s v="Delivered"/>
    <n v="1477"/>
    <n v="4"/>
    <x v="0"/>
    <n v="0.13754231550440082"/>
    <s v="fast"/>
  </r>
  <r>
    <x v="303"/>
    <x v="9"/>
    <x v="9"/>
    <x v="1"/>
    <d v="2023-12-05T00:00:00"/>
    <d v="2023-12-10T00:00:00"/>
    <n v="30.5"/>
    <n v="464.17"/>
    <s v="Delivered"/>
    <n v="2363"/>
    <n v="5"/>
    <x v="0"/>
    <n v="0.19643250105797716"/>
    <s v="slow"/>
  </r>
  <r>
    <x v="304"/>
    <x v="3"/>
    <x v="5"/>
    <x v="4"/>
    <d v="2023-12-06T00:00:00"/>
    <d v="2023-12-11T00:00:00"/>
    <n v="20.6"/>
    <n v="246.74"/>
    <s v="Delivered"/>
    <n v="1442"/>
    <n v="5"/>
    <x v="0"/>
    <n v="0.17110957004160887"/>
    <s v="slow"/>
  </r>
  <r>
    <x v="305"/>
    <x v="5"/>
    <x v="14"/>
    <x v="2"/>
    <d v="2023-08-11T00:00:00"/>
    <d v="2023-08-17T00:00:00"/>
    <n v="46.9"/>
    <n v="188.95"/>
    <s v="Delayed"/>
    <n v="1000"/>
    <n v="2"/>
    <x v="1"/>
    <n v="0.18894999999999998"/>
    <s v="not applicabel"/>
  </r>
  <r>
    <x v="306"/>
    <x v="5"/>
    <x v="6"/>
    <x v="5"/>
    <d v="2023-02-27T00:00:00"/>
    <d v="2023-02-28T00:00:00"/>
    <n v="30.2"/>
    <n v="71.67"/>
    <s v="Delivered"/>
    <n v="290"/>
    <n v="1"/>
    <x v="0"/>
    <n v="0.24713793103448276"/>
    <s v="fast"/>
  </r>
  <r>
    <x v="307"/>
    <x v="9"/>
    <x v="12"/>
    <x v="5"/>
    <d v="2023-02-21T00:00:00"/>
    <d v="2023-02-25T00:00:00"/>
    <n v="17.2"/>
    <n v="133.74"/>
    <s v="Delivered"/>
    <n v="888"/>
    <n v="4"/>
    <x v="0"/>
    <n v="0.15060810810810812"/>
    <s v="fast"/>
  </r>
  <r>
    <x v="308"/>
    <x v="6"/>
    <x v="5"/>
    <x v="1"/>
    <d v="2023-03-15T00:00:00"/>
    <d v="2023-03-21T00:00:00"/>
    <n v="14.4"/>
    <n v="391.92"/>
    <s v="Delivered"/>
    <n v="2448"/>
    <n v="6"/>
    <x v="0"/>
    <n v="0.16009803921568627"/>
    <s v="slow"/>
  </r>
  <r>
    <x v="309"/>
    <x v="9"/>
    <x v="10"/>
    <x v="4"/>
    <d v="2023-11-10T00:00:00"/>
    <d v="2023-11-22T00:00:00"/>
    <n v="36.5"/>
    <n v="109.9"/>
    <s v="Delayed"/>
    <n v="385"/>
    <n v="2"/>
    <x v="1"/>
    <n v="0.28545454545454546"/>
    <s v="not applicabel"/>
  </r>
  <r>
    <x v="310"/>
    <x v="3"/>
    <x v="9"/>
    <x v="4"/>
    <d v="2023-03-29T00:00:00"/>
    <d v="2023-04-09T00:00:00"/>
    <n v="17.5"/>
    <n v="198"/>
    <s v="Delayed"/>
    <n v="1539"/>
    <n v="4"/>
    <x v="1"/>
    <n v="0.12865497076023391"/>
    <s v="not applicabel"/>
  </r>
  <r>
    <x v="311"/>
    <x v="1"/>
    <x v="4"/>
    <x v="5"/>
    <d v="2023-07-21T00:00:00"/>
    <d v="2023-07-27T00:00:00"/>
    <n v="60.6"/>
    <n v="242.49"/>
    <s v="Delivered"/>
    <n v="1435"/>
    <n v="6"/>
    <x v="0"/>
    <n v="0.16898257839721256"/>
    <s v="slow"/>
  </r>
  <r>
    <x v="312"/>
    <x v="4"/>
    <x v="12"/>
    <x v="4"/>
    <d v="2023-06-22T00:00:00"/>
    <d v="2023-06-27T00:00:00"/>
    <n v="8.3000000000000007"/>
    <n v="208.92"/>
    <s v="Delivered"/>
    <n v="1713"/>
    <n v="5"/>
    <x v="0"/>
    <n v="0.12196147110332749"/>
    <s v="slow"/>
  </r>
  <r>
    <x v="313"/>
    <x v="4"/>
    <x v="3"/>
    <x v="4"/>
    <d v="2023-12-19T00:00:00"/>
    <d v="2023-12-21T00:00:00"/>
    <n v="20.399999999999999"/>
    <n v="44.83"/>
    <s v="Lost"/>
    <n v="135"/>
    <n v="2"/>
    <x v="2"/>
    <n v="0.33207407407407408"/>
    <s v="not applicabel"/>
  </r>
  <r>
    <x v="314"/>
    <x v="5"/>
    <x v="6"/>
    <x v="1"/>
    <d v="2023-10-28T00:00:00"/>
    <d v="2023-11-01T00:00:00"/>
    <n v="37.9"/>
    <n v="100.86"/>
    <s v="Delivered"/>
    <n v="305"/>
    <n v="4"/>
    <x v="0"/>
    <n v="0.33068852459016396"/>
    <s v="fast"/>
  </r>
  <r>
    <x v="315"/>
    <x v="9"/>
    <x v="5"/>
    <x v="3"/>
    <d v="2023-06-01T00:00:00"/>
    <d v="2023-06-06T00:00:00"/>
    <n v="16.2"/>
    <n v="301.83999999999997"/>
    <s v="In Transit"/>
    <n v="2209"/>
    <n v="5"/>
    <x v="0"/>
    <n v="0.13664101403349932"/>
    <s v="slow"/>
  </r>
  <r>
    <x v="316"/>
    <x v="5"/>
    <x v="14"/>
    <x v="6"/>
    <d v="2023-01-01T00:00:00"/>
    <d v="2023-01-07T00:00:00"/>
    <n v="23.8"/>
    <n v="128.01"/>
    <s v="Delivered"/>
    <n v="1000"/>
    <n v="6"/>
    <x v="0"/>
    <n v="0.12800999999999998"/>
    <s v="slow"/>
  </r>
  <r>
    <x v="317"/>
    <x v="2"/>
    <x v="9"/>
    <x v="2"/>
    <d v="2023-09-10T00:00:00"/>
    <d v="2023-09-19T00:00:00"/>
    <n v="15.9"/>
    <n v="284.07"/>
    <s v="Delivered"/>
    <n v="2374"/>
    <n v="9"/>
    <x v="0"/>
    <n v="0.11965880370682393"/>
    <s v="slow"/>
  </r>
  <r>
    <x v="318"/>
    <x v="6"/>
    <x v="13"/>
    <x v="2"/>
    <d v="2023-11-26T00:00:00"/>
    <d v="2023-12-16T00:00:00"/>
    <n v="77.8"/>
    <n v="413.72"/>
    <s v="Delayed"/>
    <n v="2313"/>
    <n v="10"/>
    <x v="1"/>
    <n v="0.17886727194120192"/>
    <s v="not applicabel"/>
  </r>
  <r>
    <x v="319"/>
    <x v="5"/>
    <x v="7"/>
    <x v="6"/>
    <d v="2023-03-22T00:00:00"/>
    <d v="2023-03-26T00:00:00"/>
    <n v="8.1"/>
    <n v="41.68"/>
    <s v="Delivered"/>
    <n v="283"/>
    <n v="4"/>
    <x v="0"/>
    <n v="0.14727915194346289"/>
    <s v="fast"/>
  </r>
  <r>
    <x v="320"/>
    <x v="2"/>
    <x v="12"/>
    <x v="2"/>
    <d v="2023-10-16T00:00:00"/>
    <d v="2023-10-21T00:00:00"/>
    <n v="52.1"/>
    <n v="282.08"/>
    <s v="Delivered"/>
    <n v="1861"/>
    <n v="5"/>
    <x v="0"/>
    <n v="0.15157442235357335"/>
    <s v="slow"/>
  </r>
  <r>
    <x v="321"/>
    <x v="9"/>
    <x v="2"/>
    <x v="5"/>
    <d v="2023-09-27T00:00:00"/>
    <m/>
    <n v="6.9"/>
    <n v="53.22"/>
    <s v="Delivered"/>
    <n v="424"/>
    <n v="2"/>
    <x v="4"/>
    <n v="0.12551886792452829"/>
    <s v="not applicabel"/>
  </r>
  <r>
    <x v="322"/>
    <x v="1"/>
    <x v="10"/>
    <x v="4"/>
    <d v="2023-01-11T00:00:00"/>
    <d v="2023-01-17T00:00:00"/>
    <n v="22.6"/>
    <n v="76.63"/>
    <s v="Delayed"/>
    <n v="373"/>
    <n v="5"/>
    <x v="1"/>
    <n v="0.20544235924932974"/>
    <s v="not applicabel"/>
  </r>
  <r>
    <x v="323"/>
    <x v="4"/>
    <x v="10"/>
    <x v="6"/>
    <d v="2023-09-18T00:00:00"/>
    <d v="2023-09-23T00:00:00"/>
    <n v="31.9"/>
    <n v="207.32"/>
    <s v="Delivered"/>
    <n v="1520"/>
    <n v="5"/>
    <x v="0"/>
    <n v="0.13639473684210526"/>
    <s v="slow"/>
  </r>
  <r>
    <x v="324"/>
    <x v="2"/>
    <x v="11"/>
    <x v="3"/>
    <d v="2023-10-23T00:00:00"/>
    <d v="2023-10-27T00:00:00"/>
    <n v="45.9"/>
    <n v="89.19"/>
    <s v="Delivered"/>
    <n v="247"/>
    <n v="4"/>
    <x v="0"/>
    <n v="0.36109311740890687"/>
    <s v="fast"/>
  </r>
  <r>
    <x v="325"/>
    <x v="4"/>
    <x v="2"/>
    <x v="3"/>
    <d v="2023-07-26T00:00:00"/>
    <d v="2023-07-30T00:00:00"/>
    <n v="14.9"/>
    <n v="112.48"/>
    <s v="Delivered"/>
    <n v="789"/>
    <n v="4"/>
    <x v="0"/>
    <n v="0.14256020278833967"/>
    <s v="fast"/>
  </r>
  <r>
    <x v="326"/>
    <x v="5"/>
    <x v="14"/>
    <x v="4"/>
    <d v="2023-02-05T00:00:00"/>
    <d v="2023-02-09T00:00:00"/>
    <n v="27.6"/>
    <n v="165.2"/>
    <s v="Delivered"/>
    <n v="1000"/>
    <n v="4"/>
    <x v="0"/>
    <n v="0.16519999999999999"/>
    <s v="fast"/>
  </r>
  <r>
    <x v="327"/>
    <x v="6"/>
    <x v="1"/>
    <x v="1"/>
    <d v="2023-03-25T00:00:00"/>
    <d v="2023-03-27T00:00:00"/>
    <n v="8.3000000000000007"/>
    <n v="128.12"/>
    <s v="Delivered"/>
    <n v="800"/>
    <n v="2"/>
    <x v="0"/>
    <n v="0.16015000000000001"/>
    <s v="fast"/>
  </r>
  <r>
    <x v="328"/>
    <x v="4"/>
    <x v="8"/>
    <x v="1"/>
    <d v="2023-10-27T00:00:00"/>
    <d v="2023-11-01T00:00:00"/>
    <n v="41.8"/>
    <n v="174.68"/>
    <s v="Delivered"/>
    <n v="773"/>
    <n v="5"/>
    <x v="0"/>
    <n v="0.22597671410090558"/>
    <s v="slow"/>
  </r>
  <r>
    <x v="329"/>
    <x v="9"/>
    <x v="3"/>
    <x v="4"/>
    <d v="2023-07-04T00:00:00"/>
    <d v="2023-07-09T00:00:00"/>
    <n v="10.7"/>
    <n v="219.9"/>
    <s v="Lost"/>
    <n v="1857"/>
    <n v="5"/>
    <x v="2"/>
    <n v="0.11841680129240711"/>
    <s v="not applicabel"/>
  </r>
  <r>
    <x v="330"/>
    <x v="0"/>
    <x v="7"/>
    <x v="4"/>
    <d v="2023-07-10T00:00:00"/>
    <d v="2023-07-13T00:00:00"/>
    <n v="8.3000000000000007"/>
    <n v="154.62"/>
    <s v="Delivered"/>
    <n v="1155"/>
    <n v="3"/>
    <x v="0"/>
    <n v="0.13387012987012986"/>
    <s v="fast"/>
  </r>
  <r>
    <x v="331"/>
    <x v="8"/>
    <x v="2"/>
    <x v="0"/>
    <d v="2023-06-03T00:00:00"/>
    <d v="2023-06-07T00:00:00"/>
    <n v="67.900000000000006"/>
    <n v="253.84"/>
    <s v="Delivered"/>
    <n v="1154"/>
    <n v="4"/>
    <x v="0"/>
    <n v="0.21996533795493933"/>
    <s v="fast"/>
  </r>
  <r>
    <x v="332"/>
    <x v="0"/>
    <x v="14"/>
    <x v="0"/>
    <d v="2023-11-07T00:00:00"/>
    <d v="2023-11-11T00:00:00"/>
    <n v="10.3"/>
    <n v="233.37"/>
    <s v="Delivered"/>
    <n v="1477"/>
    <n v="4"/>
    <x v="0"/>
    <n v="0.15800270819228165"/>
    <s v="fast"/>
  </r>
  <r>
    <x v="333"/>
    <x v="8"/>
    <x v="2"/>
    <x v="2"/>
    <d v="2023-01-30T00:00:00"/>
    <d v="2023-02-03T00:00:00"/>
    <n v="22.7"/>
    <n v="218.75"/>
    <s v="Delivered"/>
    <n v="1541"/>
    <n v="4"/>
    <x v="0"/>
    <n v="0.1419532770927969"/>
    <s v="fast"/>
  </r>
  <r>
    <x v="334"/>
    <x v="1"/>
    <x v="11"/>
    <x v="1"/>
    <d v="2023-11-07T00:00:00"/>
    <d v="2023-11-10T00:00:00"/>
    <n v="19"/>
    <n v="127.07"/>
    <s v="Delivered"/>
    <n v="622"/>
    <n v="3"/>
    <x v="0"/>
    <n v="0.20429260450160772"/>
    <s v="fast"/>
  </r>
  <r>
    <x v="335"/>
    <x v="2"/>
    <x v="12"/>
    <x v="4"/>
    <d v="2023-04-24T00:00:00"/>
    <d v="2023-04-26T00:00:00"/>
    <n v="43.4"/>
    <m/>
    <s v="Delivered"/>
    <n v="844"/>
    <n v="2"/>
    <x v="0"/>
    <n v="0"/>
    <s v="fast"/>
  </r>
  <r>
    <x v="336"/>
    <x v="7"/>
    <x v="10"/>
    <x v="4"/>
    <d v="2023-04-27T00:00:00"/>
    <d v="2023-04-30T00:00:00"/>
    <n v="12.7"/>
    <n v="192.88"/>
    <s v="Delivered"/>
    <n v="1608"/>
    <n v="3"/>
    <x v="0"/>
    <n v="0.1199502487562189"/>
    <s v="fast"/>
  </r>
  <r>
    <x v="337"/>
    <x v="7"/>
    <x v="1"/>
    <x v="0"/>
    <d v="2023-01-10T00:00:00"/>
    <d v="2023-01-14T00:00:00"/>
    <n v="45.3"/>
    <n v="240.32"/>
    <s v="Delivered"/>
    <n v="1324"/>
    <n v="4"/>
    <x v="0"/>
    <n v="0.1815105740181269"/>
    <s v="fast"/>
  </r>
  <r>
    <x v="338"/>
    <x v="5"/>
    <x v="6"/>
    <x v="0"/>
    <d v="2023-08-17T00:00:00"/>
    <d v="2023-08-22T00:00:00"/>
    <n v="12.3"/>
    <n v="310.02"/>
    <s v="Delivered"/>
    <n v="2328"/>
    <n v="5"/>
    <x v="0"/>
    <n v="0.13317010309278349"/>
    <s v="slow"/>
  </r>
  <r>
    <x v="339"/>
    <x v="3"/>
    <x v="7"/>
    <x v="6"/>
    <d v="2023-10-10T00:00:00"/>
    <d v="2023-10-15T00:00:00"/>
    <n v="52.2"/>
    <n v="253.33"/>
    <s v="Delayed"/>
    <n v="1608"/>
    <n v="4"/>
    <x v="1"/>
    <n v="0.15754353233830848"/>
    <s v="not applicabel"/>
  </r>
  <r>
    <x v="340"/>
    <x v="4"/>
    <x v="10"/>
    <x v="0"/>
    <d v="2023-01-12T00:00:00"/>
    <d v="2023-01-21T00:00:00"/>
    <n v="8.4"/>
    <n v="280.39"/>
    <s v="Delivered"/>
    <n v="2388"/>
    <n v="9"/>
    <x v="0"/>
    <n v="0.11741624790619765"/>
    <s v="slow"/>
  </r>
  <r>
    <x v="341"/>
    <x v="6"/>
    <x v="8"/>
    <x v="4"/>
    <d v="2023-07-12T00:00:00"/>
    <d v="2023-07-15T00:00:00"/>
    <n v="13.9"/>
    <n v="136.58000000000001"/>
    <s v="Delivered"/>
    <n v="1028"/>
    <n v="3"/>
    <x v="0"/>
    <n v="0.13285992217898834"/>
    <s v="fast"/>
  </r>
  <r>
    <x v="342"/>
    <x v="1"/>
    <x v="1"/>
    <x v="5"/>
    <d v="2023-01-20T00:00:00"/>
    <d v="2023-01-29T00:00:00"/>
    <n v="41"/>
    <n v="278.39"/>
    <s v="Delayed"/>
    <n v="2061"/>
    <n v="5"/>
    <x v="1"/>
    <n v="0.13507520621057739"/>
    <s v="not applicabel"/>
  </r>
  <r>
    <x v="343"/>
    <x v="1"/>
    <x v="8"/>
    <x v="6"/>
    <d v="2023-10-14T00:00:00"/>
    <d v="2023-10-19T00:00:00"/>
    <n v="26.1"/>
    <n v="232.56"/>
    <s v="Delivered"/>
    <n v="1772"/>
    <n v="5"/>
    <x v="0"/>
    <n v="0.13124153498871333"/>
    <s v="slow"/>
  </r>
  <r>
    <x v="344"/>
    <x v="1"/>
    <x v="8"/>
    <x v="6"/>
    <d v="2023-10-20T00:00:00"/>
    <d v="2023-10-24T00:00:00"/>
    <n v="26.2"/>
    <n v="210.07"/>
    <s v="Delivered"/>
    <n v="1707"/>
    <n v="4"/>
    <x v="0"/>
    <n v="0.1230638547158758"/>
    <s v="fast"/>
  </r>
  <r>
    <x v="345"/>
    <x v="7"/>
    <x v="7"/>
    <x v="6"/>
    <d v="2023-02-14T00:00:00"/>
    <d v="2023-01-15T00:00:00"/>
    <n v="47.6"/>
    <n v="135.78"/>
    <s v="Delayed"/>
    <n v="636"/>
    <n v="1"/>
    <x v="1"/>
    <n v="0.21349056603773586"/>
    <s v="not applicabel"/>
  </r>
  <r>
    <x v="346"/>
    <x v="3"/>
    <x v="2"/>
    <x v="3"/>
    <d v="2023-11-06T00:00:00"/>
    <d v="2023-11-16T00:00:00"/>
    <n v="10.8"/>
    <n v="349.56"/>
    <s v="In Transit"/>
    <n v="1953"/>
    <n v="10"/>
    <x v="0"/>
    <n v="0.17898617511520737"/>
    <s v="slow"/>
  </r>
  <r>
    <x v="347"/>
    <x v="8"/>
    <x v="7"/>
    <x v="6"/>
    <d v="2023-10-28T00:00:00"/>
    <d v="2023-11-02T00:00:00"/>
    <n v="42.4"/>
    <n v="192.86"/>
    <s v="Delivered"/>
    <n v="1319"/>
    <n v="5"/>
    <x v="0"/>
    <n v="0.14621683093252466"/>
    <s v="slow"/>
  </r>
  <r>
    <x v="348"/>
    <x v="9"/>
    <x v="9"/>
    <x v="2"/>
    <d v="2023-12-17T00:00:00"/>
    <m/>
    <n v="8.1999999999999993"/>
    <n v="69.790000000000006"/>
    <s v="Delivered"/>
    <n v="383"/>
    <n v="2"/>
    <x v="4"/>
    <n v="0.18221932114882508"/>
    <s v="not applicabel"/>
  </r>
  <r>
    <x v="349"/>
    <x v="7"/>
    <x v="2"/>
    <x v="0"/>
    <d v="2023-09-01T00:00:00"/>
    <d v="2023-09-04T00:00:00"/>
    <n v="26.1"/>
    <n v="75.760000000000005"/>
    <s v="Delivered"/>
    <n v="325"/>
    <n v="3"/>
    <x v="0"/>
    <n v="0.23310769230769232"/>
    <s v="fast"/>
  </r>
  <r>
    <x v="350"/>
    <x v="3"/>
    <x v="6"/>
    <x v="0"/>
    <d v="2023-04-03T00:00:00"/>
    <d v="2023-04-05T00:00:00"/>
    <n v="21.1"/>
    <n v="73.7"/>
    <s v="Delivered"/>
    <n v="347"/>
    <n v="2"/>
    <x v="0"/>
    <n v="0.21239193083573488"/>
    <s v="fast"/>
  </r>
  <r>
    <x v="351"/>
    <x v="3"/>
    <x v="6"/>
    <x v="4"/>
    <d v="2023-06-23T00:00:00"/>
    <d v="2023-06-25T00:00:00"/>
    <n v="15.7"/>
    <n v="87.18"/>
    <s v="Delivered"/>
    <n v="509"/>
    <n v="2"/>
    <x v="0"/>
    <n v="0.1712770137524558"/>
    <s v="fast"/>
  </r>
  <r>
    <x v="352"/>
    <x v="7"/>
    <x v="12"/>
    <x v="2"/>
    <d v="2023-12-16T00:00:00"/>
    <d v="2023-12-18T00:00:00"/>
    <n v="14.3"/>
    <n v="88.22"/>
    <s v="Delivered"/>
    <n v="421"/>
    <n v="2"/>
    <x v="0"/>
    <n v="0.20954869358669834"/>
    <s v="fast"/>
  </r>
  <r>
    <x v="353"/>
    <x v="6"/>
    <x v="12"/>
    <x v="2"/>
    <d v="2023-08-28T00:00:00"/>
    <d v="2023-09-02T00:00:00"/>
    <n v="34.299999999999997"/>
    <n v="287.66000000000003"/>
    <s v="Delivered"/>
    <n v="2065"/>
    <n v="5"/>
    <x v="0"/>
    <n v="0.13930266343825667"/>
    <s v="slow"/>
  </r>
  <r>
    <x v="354"/>
    <x v="5"/>
    <x v="13"/>
    <x v="0"/>
    <d v="2023-05-13T00:00:00"/>
    <d v="2023-05-20T00:00:00"/>
    <n v="13.7"/>
    <n v="341.16"/>
    <s v="Delivered"/>
    <n v="2361"/>
    <n v="7"/>
    <x v="0"/>
    <n v="0.14449809402795427"/>
    <s v="slow"/>
  </r>
  <r>
    <x v="355"/>
    <x v="0"/>
    <x v="0"/>
    <x v="1"/>
    <d v="2023-12-28T00:00:00"/>
    <d v="2024-01-01T00:00:00"/>
    <n v="31.2"/>
    <n v="274.73"/>
    <s v="Delivered"/>
    <n v="1415"/>
    <n v="4"/>
    <x v="0"/>
    <n v="0.19415547703180214"/>
    <s v="fast"/>
  </r>
  <r>
    <x v="356"/>
    <x v="3"/>
    <x v="7"/>
    <x v="5"/>
    <d v="2023-11-19T00:00:00"/>
    <d v="2023-11-24T00:00:00"/>
    <n v="18.7"/>
    <n v="270.75"/>
    <s v="Delivered"/>
    <n v="1679"/>
    <n v="5"/>
    <x v="0"/>
    <n v="0.16125670041691484"/>
    <s v="slow"/>
  </r>
  <r>
    <x v="357"/>
    <x v="3"/>
    <x v="9"/>
    <x v="1"/>
    <d v="2023-09-05T00:00:00"/>
    <d v="2023-09-08T00:00:00"/>
    <n v="30"/>
    <n v="187.33"/>
    <s v="Delivered"/>
    <n v="1180"/>
    <n v="3"/>
    <x v="0"/>
    <n v="0.15875423728813559"/>
    <s v="fast"/>
  </r>
  <r>
    <x v="358"/>
    <x v="7"/>
    <x v="4"/>
    <x v="6"/>
    <d v="2023-02-10T00:00:00"/>
    <d v="2023-02-13T00:00:00"/>
    <n v="20.7"/>
    <n v="201.34"/>
    <s v="Delivered"/>
    <n v="1515"/>
    <n v="3"/>
    <x v="0"/>
    <n v="0.1328976897689769"/>
    <s v="fast"/>
  </r>
  <r>
    <x v="359"/>
    <x v="5"/>
    <x v="7"/>
    <x v="4"/>
    <d v="2023-11-10T00:00:00"/>
    <d v="2023-11-12T00:00:00"/>
    <n v="27.2"/>
    <n v="87.22"/>
    <s v="Delivered"/>
    <n v="283"/>
    <n v="2"/>
    <x v="0"/>
    <n v="0.30819787985865726"/>
    <s v="fast"/>
  </r>
  <r>
    <x v="360"/>
    <x v="0"/>
    <x v="10"/>
    <x v="0"/>
    <d v="2023-02-24T00:00:00"/>
    <d v="2023-03-04T00:00:00"/>
    <n v="10.6"/>
    <n v="78.78"/>
    <s v="Delayed"/>
    <n v="517"/>
    <n v="2"/>
    <x v="1"/>
    <n v="0.15237911025145068"/>
    <s v="not applicabel"/>
  </r>
  <r>
    <x v="361"/>
    <x v="9"/>
    <x v="12"/>
    <x v="4"/>
    <d v="2023-03-21T00:00:00"/>
    <d v="2023-03-24T00:00:00"/>
    <n v="6.9"/>
    <n v="23.19"/>
    <s v="Delivered"/>
    <n v="140"/>
    <n v="3"/>
    <x v="0"/>
    <n v="0.16564285714285715"/>
    <s v="fast"/>
  </r>
  <r>
    <x v="362"/>
    <x v="7"/>
    <x v="13"/>
    <x v="3"/>
    <d v="2023-09-23T00:00:00"/>
    <d v="2023-09-29T00:00:00"/>
    <n v="17.100000000000001"/>
    <n v="309.74"/>
    <s v="Delivered"/>
    <n v="2081"/>
    <n v="6"/>
    <x v="0"/>
    <n v="0.14884190293128305"/>
    <s v="slow"/>
  </r>
  <r>
    <x v="363"/>
    <x v="9"/>
    <x v="13"/>
    <x v="0"/>
    <d v="2023-06-09T00:00:00"/>
    <d v="2023-06-15T00:00:00"/>
    <n v="33.1"/>
    <n v="283.18"/>
    <s v="Delivered"/>
    <n v="1885"/>
    <n v="6"/>
    <x v="0"/>
    <n v="0.15022811671087533"/>
    <s v="slow"/>
  </r>
  <r>
    <x v="364"/>
    <x v="3"/>
    <x v="6"/>
    <x v="2"/>
    <d v="2023-08-25T00:00:00"/>
    <d v="2023-08-27T00:00:00"/>
    <n v="18.7"/>
    <n v="90.94"/>
    <s v="Delivered"/>
    <n v="604"/>
    <n v="2"/>
    <x v="0"/>
    <n v="0.15056291390728477"/>
    <s v="fast"/>
  </r>
  <r>
    <x v="365"/>
    <x v="3"/>
    <x v="6"/>
    <x v="1"/>
    <d v="2023-06-06T00:00:00"/>
    <d v="2023-06-10T00:00:00"/>
    <n v="21.1"/>
    <n v="141.97999999999999"/>
    <s v="Delivered"/>
    <n v="847"/>
    <n v="4"/>
    <x v="0"/>
    <n v="0.16762691853600944"/>
    <s v="fast"/>
  </r>
  <r>
    <x v="366"/>
    <x v="2"/>
    <x v="9"/>
    <x v="3"/>
    <d v="2023-12-12T00:00:00"/>
    <d v="2023-12-23T00:00:00"/>
    <n v="55.1"/>
    <n v="474.36"/>
    <s v="Delayed"/>
    <n v="2247"/>
    <n v="6"/>
    <x v="1"/>
    <n v="0.21110814419225635"/>
    <s v="not applicabel"/>
  </r>
  <r>
    <x v="367"/>
    <x v="3"/>
    <x v="8"/>
    <x v="2"/>
    <d v="2023-04-25T00:00:00"/>
    <d v="2023-05-01T00:00:00"/>
    <n v="14.6"/>
    <n v="293.83"/>
    <s v="Delivered"/>
    <n v="2420"/>
    <n v="6"/>
    <x v="0"/>
    <n v="0.12141735537190082"/>
    <s v="slow"/>
  </r>
  <r>
    <x v="368"/>
    <x v="0"/>
    <x v="14"/>
    <x v="3"/>
    <d v="2023-03-20T00:00:00"/>
    <d v="2023-03-26T00:00:00"/>
    <n v="20.5"/>
    <n v="315.45999999999998"/>
    <s v="Delivered"/>
    <n v="2294"/>
    <n v="6"/>
    <x v="0"/>
    <n v="0.13751525719267654"/>
    <s v="slow"/>
  </r>
  <r>
    <x v="369"/>
    <x v="7"/>
    <x v="1"/>
    <x v="1"/>
    <d v="2023-04-14T00:00:00"/>
    <d v="2023-04-19T00:00:00"/>
    <n v="16.8"/>
    <n v="303.11"/>
    <s v="Delivered"/>
    <n v="2091"/>
    <n v="5"/>
    <x v="0"/>
    <n v="0.14495934959349593"/>
    <s v="slow"/>
  </r>
  <r>
    <x v="370"/>
    <x v="2"/>
    <x v="13"/>
    <x v="2"/>
    <d v="2023-03-19T00:00:00"/>
    <d v="2023-03-23T00:00:00"/>
    <n v="31.2"/>
    <n v="206.1"/>
    <s v="Delivered"/>
    <n v="1358"/>
    <n v="4"/>
    <x v="0"/>
    <n v="0.15176730486008835"/>
    <s v="fast"/>
  </r>
  <r>
    <x v="371"/>
    <x v="3"/>
    <x v="13"/>
    <x v="3"/>
    <d v="2023-09-27T00:00:00"/>
    <d v="2023-09-29T00:00:00"/>
    <n v="16"/>
    <n v="87.01"/>
    <s v="Returned"/>
    <n v="484"/>
    <n v="2"/>
    <x v="3"/>
    <n v="0.17977272727272728"/>
    <s v="not applicabel"/>
  </r>
  <r>
    <x v="372"/>
    <x v="0"/>
    <x v="11"/>
    <x v="3"/>
    <d v="2023-11-16T00:00:00"/>
    <d v="2023-11-17T00:00:00"/>
    <n v="11"/>
    <n v="122.5"/>
    <s v="Delivered"/>
    <n v="675"/>
    <n v="1"/>
    <x v="0"/>
    <n v="0.18148148148148149"/>
    <s v="fast"/>
  </r>
  <r>
    <x v="373"/>
    <x v="4"/>
    <x v="7"/>
    <x v="6"/>
    <d v="2023-06-09T00:00:00"/>
    <d v="2023-06-15T00:00:00"/>
    <n v="37.9"/>
    <n v="236.61"/>
    <s v="Delivered"/>
    <n v="1884"/>
    <n v="6"/>
    <x v="0"/>
    <n v="0.1255891719745223"/>
    <s v="slow"/>
  </r>
  <r>
    <x v="374"/>
    <x v="0"/>
    <x v="8"/>
    <x v="3"/>
    <d v="2023-08-12T00:00:00"/>
    <d v="2023-08-17T00:00:00"/>
    <n v="21.8"/>
    <n v="299.39999999999998"/>
    <s v="Delivered"/>
    <n v="2196"/>
    <n v="5"/>
    <x v="0"/>
    <n v="0.13633879781420763"/>
    <s v="slow"/>
  </r>
  <r>
    <x v="375"/>
    <x v="5"/>
    <x v="1"/>
    <x v="6"/>
    <d v="2023-04-26T00:00:00"/>
    <d v="2023-05-02T00:00:00"/>
    <n v="6"/>
    <n v="253.02"/>
    <s v="Delivered"/>
    <n v="2325"/>
    <n v="6"/>
    <x v="0"/>
    <n v="0.10882580645161291"/>
    <s v="slow"/>
  </r>
  <r>
    <x v="376"/>
    <x v="1"/>
    <x v="9"/>
    <x v="6"/>
    <d v="2023-07-09T00:00:00"/>
    <d v="2023-07-12T00:00:00"/>
    <n v="37.9"/>
    <n v="171.78"/>
    <s v="In Transit"/>
    <n v="1014"/>
    <n v="3"/>
    <x v="0"/>
    <n v="0.16940828402366864"/>
    <s v="fast"/>
  </r>
  <r>
    <x v="377"/>
    <x v="2"/>
    <x v="4"/>
    <x v="0"/>
    <d v="2023-02-10T00:00:00"/>
    <d v="2023-02-15T00:00:00"/>
    <n v="14.8"/>
    <n v="286.7"/>
    <s v="Delivered"/>
    <n v="2050"/>
    <n v="5"/>
    <x v="0"/>
    <n v="0.13985365853658535"/>
    <s v="slow"/>
  </r>
  <r>
    <x v="378"/>
    <x v="9"/>
    <x v="4"/>
    <x v="0"/>
    <d v="2023-07-28T00:00:00"/>
    <d v="2023-08-03T00:00:00"/>
    <n v="9.1"/>
    <n v="75.28"/>
    <s v="Delayed"/>
    <n v="474"/>
    <n v="5"/>
    <x v="1"/>
    <n v="0.15881856540084388"/>
    <s v="not applicabel"/>
  </r>
  <r>
    <x v="379"/>
    <x v="4"/>
    <x v="13"/>
    <x v="2"/>
    <d v="2023-09-26T00:00:00"/>
    <d v="2023-09-27T00:00:00"/>
    <n v="9.5"/>
    <n v="77.13"/>
    <s v="Delivered"/>
    <n v="498"/>
    <n v="1"/>
    <x v="0"/>
    <n v="0.15487951807228914"/>
    <s v="fast"/>
  </r>
  <r>
    <x v="380"/>
    <x v="2"/>
    <x v="6"/>
    <x v="2"/>
    <d v="2023-11-19T00:00:00"/>
    <d v="2023-11-23T00:00:00"/>
    <n v="33.6"/>
    <n v="291.85000000000002"/>
    <s v="Delivered"/>
    <n v="1512"/>
    <n v="4"/>
    <x v="0"/>
    <n v="0.19302248677248679"/>
    <s v="fast"/>
  </r>
  <r>
    <x v="381"/>
    <x v="0"/>
    <x v="1"/>
    <x v="6"/>
    <d v="2023-11-07T00:00:00"/>
    <d v="2023-11-12T00:00:00"/>
    <n v="40.299999999999997"/>
    <n v="206.28"/>
    <s v="Delivered"/>
    <n v="1076"/>
    <n v="5"/>
    <x v="0"/>
    <n v="0.19171003717472118"/>
    <s v="slow"/>
  </r>
  <r>
    <x v="382"/>
    <x v="8"/>
    <x v="6"/>
    <x v="2"/>
    <d v="2023-03-24T00:00:00"/>
    <d v="2023-03-27T00:00:00"/>
    <n v="15"/>
    <n v="141.6"/>
    <s v="Delivered"/>
    <n v="1115"/>
    <n v="3"/>
    <x v="0"/>
    <n v="0.12699551569506726"/>
    <s v="fast"/>
  </r>
  <r>
    <x v="383"/>
    <x v="3"/>
    <x v="8"/>
    <x v="5"/>
    <d v="2023-09-14T00:00:00"/>
    <d v="2023-09-16T00:00:00"/>
    <n v="75.400000000000006"/>
    <n v="109.7"/>
    <s v="Delivered"/>
    <n v="242"/>
    <n v="2"/>
    <x v="0"/>
    <n v="0.45330578512396696"/>
    <s v="fast"/>
  </r>
  <r>
    <x v="384"/>
    <x v="1"/>
    <x v="7"/>
    <x v="6"/>
    <d v="2023-12-23T00:00:00"/>
    <d v="2023-12-24T00:00:00"/>
    <n v="6.4"/>
    <n v="78.84"/>
    <s v="Delivered"/>
    <n v="534"/>
    <n v="1"/>
    <x v="0"/>
    <n v="0.14764044943820226"/>
    <s v="fast"/>
  </r>
  <r>
    <x v="385"/>
    <x v="5"/>
    <x v="0"/>
    <x v="2"/>
    <d v="2023-08-16T00:00:00"/>
    <d v="2023-08-22T00:00:00"/>
    <n v="44.4"/>
    <n v="179.93"/>
    <s v="Delivered"/>
    <n v="1059"/>
    <n v="6"/>
    <x v="0"/>
    <n v="0.16990557129367329"/>
    <s v="slow"/>
  </r>
  <r>
    <x v="386"/>
    <x v="3"/>
    <x v="12"/>
    <x v="4"/>
    <d v="2023-06-27T00:00:00"/>
    <d v="2023-07-02T00:00:00"/>
    <n v="11.7"/>
    <n v="140.32"/>
    <s v="Delivered"/>
    <n v="1060"/>
    <n v="5"/>
    <x v="0"/>
    <n v="0.13237735849056603"/>
    <s v="slow"/>
  </r>
  <r>
    <x v="387"/>
    <x v="6"/>
    <x v="13"/>
    <x v="0"/>
    <d v="2023-03-03T00:00:00"/>
    <d v="2023-03-08T00:00:00"/>
    <n v="24.4"/>
    <n v="326.92"/>
    <s v="Delivered"/>
    <n v="2330"/>
    <n v="5"/>
    <x v="0"/>
    <n v="0.14030901287553649"/>
    <s v="slow"/>
  </r>
  <r>
    <x v="388"/>
    <x v="9"/>
    <x v="8"/>
    <x v="3"/>
    <d v="2023-09-21T00:00:00"/>
    <d v="2023-09-26T00:00:00"/>
    <n v="20.9"/>
    <n v="268.01"/>
    <s v="Delivered"/>
    <n v="1867"/>
    <n v="5"/>
    <x v="0"/>
    <n v="0.14355115158007498"/>
    <s v="slow"/>
  </r>
  <r>
    <x v="389"/>
    <x v="0"/>
    <x v="9"/>
    <x v="2"/>
    <d v="2023-09-03T00:00:00"/>
    <d v="2023-09-11T00:00:00"/>
    <n v="17.7"/>
    <m/>
    <s v="Delivered"/>
    <n v="2465"/>
    <n v="8"/>
    <x v="0"/>
    <n v="0"/>
    <s v="slow"/>
  </r>
  <r>
    <x v="390"/>
    <x v="7"/>
    <x v="4"/>
    <x v="0"/>
    <d v="2023-06-15T00:00:00"/>
    <d v="2023-06-21T00:00:00"/>
    <n v="9.1999999999999993"/>
    <n v="286.14999999999998"/>
    <s v="Delivered"/>
    <n v="2096"/>
    <n v="6"/>
    <x v="0"/>
    <n v="0.13652194656488548"/>
    <s v="slow"/>
  </r>
  <r>
    <x v="391"/>
    <x v="1"/>
    <x v="0"/>
    <x v="4"/>
    <d v="2023-08-12T00:00:00"/>
    <d v="2023-08-19T00:00:00"/>
    <n v="32.4"/>
    <n v="332.08"/>
    <s v="Delivered"/>
    <n v="2409"/>
    <n v="7"/>
    <x v="0"/>
    <n v="0.1378497301784973"/>
    <s v="slow"/>
  </r>
  <r>
    <x v="392"/>
    <x v="3"/>
    <x v="9"/>
    <x v="3"/>
    <d v="2023-01-27T00:00:00"/>
    <d v="2023-01-30T00:00:00"/>
    <n v="110.9"/>
    <n v="283.94"/>
    <s v="Delivered"/>
    <n v="1032"/>
    <n v="3"/>
    <x v="0"/>
    <n v="0.27513565891472869"/>
    <s v="fast"/>
  </r>
  <r>
    <x v="393"/>
    <x v="8"/>
    <x v="1"/>
    <x v="3"/>
    <d v="2023-08-07T00:00:00"/>
    <d v="2023-08-09T00:00:00"/>
    <n v="50.4"/>
    <n v="175.48"/>
    <s v="Delivered"/>
    <n v="870"/>
    <n v="2"/>
    <x v="0"/>
    <n v="0.20170114942528736"/>
    <s v="fast"/>
  </r>
  <r>
    <x v="394"/>
    <x v="1"/>
    <x v="6"/>
    <x v="3"/>
    <d v="2023-06-01T00:00:00"/>
    <d v="2023-06-07T00:00:00"/>
    <n v="54.4"/>
    <n v="284.26"/>
    <s v="Delivered"/>
    <n v="1616"/>
    <n v="6"/>
    <x v="0"/>
    <n v="0.17590346534653464"/>
    <s v="slow"/>
  </r>
  <r>
    <x v="395"/>
    <x v="7"/>
    <x v="4"/>
    <x v="1"/>
    <d v="2023-03-05T00:00:00"/>
    <d v="2023-03-17T00:00:00"/>
    <n v="34.5"/>
    <n v="233.71"/>
    <s v="Delayed"/>
    <n v="1366"/>
    <n v="4"/>
    <x v="1"/>
    <n v="0.17109077598828698"/>
    <s v="not applicabel"/>
  </r>
  <r>
    <x v="396"/>
    <x v="1"/>
    <x v="14"/>
    <x v="0"/>
    <d v="2023-04-09T00:00:00"/>
    <d v="2023-04-15T00:00:00"/>
    <n v="9.5"/>
    <n v="228.41"/>
    <s v="Delivered"/>
    <n v="1802"/>
    <n v="6"/>
    <x v="0"/>
    <n v="0.12675360710321865"/>
    <s v="slow"/>
  </r>
  <r>
    <x v="397"/>
    <x v="4"/>
    <x v="7"/>
    <x v="4"/>
    <d v="2023-06-14T00:00:00"/>
    <d v="2023-05-15T00:00:00"/>
    <n v="58"/>
    <n v="90.41"/>
    <s v="Delivered"/>
    <n v="196"/>
    <n v="2"/>
    <x v="0"/>
    <n v="0.46127551020408164"/>
    <s v="fast"/>
  </r>
  <r>
    <x v="398"/>
    <x v="2"/>
    <x v="1"/>
    <x v="2"/>
    <d v="2023-12-18T00:00:00"/>
    <d v="2023-12-25T00:00:00"/>
    <n v="10.8"/>
    <n v="400.75"/>
    <s v="Delivered"/>
    <n v="2425"/>
    <n v="7"/>
    <x v="0"/>
    <n v="0.16525773195876289"/>
    <s v="slow"/>
  </r>
  <r>
    <x v="399"/>
    <x v="7"/>
    <x v="1"/>
    <x v="2"/>
    <d v="2023-03-10T00:00:00"/>
    <d v="2023-03-14T00:00:00"/>
    <n v="26"/>
    <n v="222.33"/>
    <s v="Delivered"/>
    <n v="1641"/>
    <n v="4"/>
    <x v="0"/>
    <n v="0.13548446069469836"/>
    <s v="fast"/>
  </r>
  <r>
    <x v="400"/>
    <x v="4"/>
    <x v="0"/>
    <x v="4"/>
    <d v="2023-12-01T00:00:00"/>
    <d v="2023-12-06T00:00:00"/>
    <n v="6.5"/>
    <n v="28.34"/>
    <s v="Lost"/>
    <n v="129"/>
    <n v="2"/>
    <x v="2"/>
    <n v="0.21968992248062016"/>
    <s v="not applicabel"/>
  </r>
  <r>
    <x v="401"/>
    <x v="4"/>
    <x v="6"/>
    <x v="5"/>
    <d v="2023-10-28T00:00:00"/>
    <d v="2023-11-01T00:00:00"/>
    <n v="6.9"/>
    <n v="194.18"/>
    <s v="Delivered"/>
    <n v="1649"/>
    <n v="4"/>
    <x v="0"/>
    <n v="0.11775621588841723"/>
    <s v="fast"/>
  </r>
  <r>
    <x v="402"/>
    <x v="0"/>
    <x v="9"/>
    <x v="1"/>
    <d v="2023-02-12T00:00:00"/>
    <d v="2023-03-04T00:00:00"/>
    <n v="29.5"/>
    <n v="224.76"/>
    <s v="Delayed"/>
    <n v="1289"/>
    <n v="8"/>
    <x v="1"/>
    <n v="0.17436772692009309"/>
    <s v="not applicabel"/>
  </r>
  <r>
    <x v="403"/>
    <x v="8"/>
    <x v="4"/>
    <x v="5"/>
    <d v="2023-12-17T00:00:00"/>
    <d v="2023-12-18T00:00:00"/>
    <n v="12.7"/>
    <n v="56.43"/>
    <s v="Delivered"/>
    <n v="273"/>
    <n v="1"/>
    <x v="0"/>
    <n v="0.20670329670329671"/>
    <s v="fast"/>
  </r>
  <r>
    <x v="404"/>
    <x v="6"/>
    <x v="11"/>
    <x v="0"/>
    <d v="2023-07-11T00:00:00"/>
    <d v="2023-07-14T00:00:00"/>
    <n v="29.1"/>
    <n v="160.13999999999999"/>
    <s v="Delivered"/>
    <n v="940"/>
    <n v="3"/>
    <x v="0"/>
    <n v="0.17036170212765955"/>
    <s v="fast"/>
  </r>
  <r>
    <x v="405"/>
    <x v="4"/>
    <x v="7"/>
    <x v="6"/>
    <d v="2023-11-24T00:00:00"/>
    <d v="2023-11-28T00:00:00"/>
    <n v="34.700000000000003"/>
    <n v="329.19"/>
    <s v="Delivered"/>
    <n v="1913"/>
    <n v="4"/>
    <x v="0"/>
    <n v="0.17208050182958703"/>
    <s v="fast"/>
  </r>
  <r>
    <x v="406"/>
    <x v="1"/>
    <x v="0"/>
    <x v="5"/>
    <d v="2023-06-27T00:00:00"/>
    <d v="2023-06-28T00:00:00"/>
    <n v="13.3"/>
    <n v="42.44"/>
    <s v="Delivered"/>
    <n v="252"/>
    <n v="1"/>
    <x v="0"/>
    <n v="0.1684126984126984"/>
    <s v="fast"/>
  </r>
  <r>
    <x v="407"/>
    <x v="0"/>
    <x v="10"/>
    <x v="2"/>
    <d v="2023-07-17T00:00:00"/>
    <d v="2023-07-20T00:00:00"/>
    <n v="29.3"/>
    <n v="136.26"/>
    <s v="In Transit"/>
    <n v="919"/>
    <n v="3"/>
    <x v="0"/>
    <n v="0.14826985854189334"/>
    <s v="fast"/>
  </r>
  <r>
    <x v="408"/>
    <x v="5"/>
    <x v="1"/>
    <x v="2"/>
    <d v="2023-12-02T00:00:00"/>
    <d v="2023-12-07T00:00:00"/>
    <n v="9.6"/>
    <n v="154.66"/>
    <s v="Delivered"/>
    <n v="1040"/>
    <n v="5"/>
    <x v="0"/>
    <n v="0.14871153846153845"/>
    <s v="slow"/>
  </r>
  <r>
    <x v="409"/>
    <x v="2"/>
    <x v="5"/>
    <x v="3"/>
    <d v="2023-05-05T00:00:00"/>
    <d v="2023-05-11T00:00:00"/>
    <n v="6.3"/>
    <n v="267.55"/>
    <s v="Delivered"/>
    <n v="2108"/>
    <n v="6"/>
    <x v="0"/>
    <n v="0.12692125237191651"/>
    <s v="slow"/>
  </r>
  <r>
    <x v="410"/>
    <x v="3"/>
    <x v="10"/>
    <x v="5"/>
    <d v="2023-10-03T00:00:00"/>
    <d v="2023-10-07T00:00:00"/>
    <n v="15.6"/>
    <n v="95.5"/>
    <s v="Delivered"/>
    <n v="627"/>
    <n v="4"/>
    <x v="0"/>
    <n v="0.15231259968102073"/>
    <s v="fast"/>
  </r>
  <r>
    <x v="411"/>
    <x v="7"/>
    <x v="2"/>
    <x v="3"/>
    <d v="2023-04-21T00:00:00"/>
    <d v="2023-04-22T00:00:00"/>
    <n v="8.6"/>
    <n v="33.61"/>
    <s v="Lost"/>
    <n v="178"/>
    <n v="1"/>
    <x v="2"/>
    <n v="0.18882022471910112"/>
    <s v="not applicabel"/>
  </r>
  <r>
    <x v="412"/>
    <x v="0"/>
    <x v="14"/>
    <x v="6"/>
    <d v="2023-08-31T00:00:00"/>
    <d v="2023-09-02T00:00:00"/>
    <n v="34.1"/>
    <n v="114.04"/>
    <s v="Delivered"/>
    <n v="616"/>
    <n v="2"/>
    <x v="0"/>
    <n v="0.18512987012987014"/>
    <s v="fast"/>
  </r>
  <r>
    <x v="413"/>
    <x v="6"/>
    <x v="1"/>
    <x v="2"/>
    <d v="2023-02-18T00:00:00"/>
    <d v="2023-02-20T00:00:00"/>
    <n v="21.1"/>
    <n v="109.65"/>
    <s v="Delivered"/>
    <n v="800"/>
    <n v="2"/>
    <x v="0"/>
    <n v="0.1370625"/>
    <s v="fast"/>
  </r>
  <r>
    <x v="414"/>
    <x v="1"/>
    <x v="4"/>
    <x v="4"/>
    <d v="2023-06-14T00:00:00"/>
    <d v="2023-06-18T00:00:00"/>
    <n v="33.799999999999997"/>
    <n v="204.1"/>
    <s v="Delivered"/>
    <n v="1435"/>
    <n v="4"/>
    <x v="0"/>
    <n v="0.14222996515679442"/>
    <s v="fast"/>
  </r>
  <r>
    <x v="415"/>
    <x v="4"/>
    <x v="12"/>
    <x v="4"/>
    <d v="2023-04-25T00:00:00"/>
    <d v="2023-05-01T00:00:00"/>
    <n v="331.7"/>
    <n v="242.34"/>
    <s v="Delivered"/>
    <n v="1727"/>
    <n v="6"/>
    <x v="0"/>
    <n v="0.14032426172553561"/>
    <s v="slow"/>
  </r>
  <r>
    <x v="416"/>
    <x v="6"/>
    <x v="8"/>
    <x v="1"/>
    <d v="2023-09-22T00:00:00"/>
    <d v="2023-09-26T00:00:00"/>
    <n v="9.5"/>
    <n v="271.58999999999997"/>
    <s v="Delivered"/>
    <n v="2007"/>
    <n v="4"/>
    <x v="0"/>
    <n v="0.13532137518684603"/>
    <s v="fast"/>
  </r>
  <r>
    <x v="417"/>
    <x v="8"/>
    <x v="4"/>
    <x v="5"/>
    <d v="2023-06-06T00:00:00"/>
    <d v="2023-06-14T00:00:00"/>
    <n v="21.6"/>
    <n v="221.42"/>
    <s v="Delayed"/>
    <n v="1619"/>
    <n v="4"/>
    <x v="1"/>
    <n v="0.13676343421865347"/>
    <s v="not applicabel"/>
  </r>
  <r>
    <x v="418"/>
    <x v="4"/>
    <x v="8"/>
    <x v="1"/>
    <d v="2023-01-18T00:00:00"/>
    <d v="2023-01-25T00:00:00"/>
    <n v="10"/>
    <n v="360.44"/>
    <s v="Delivered"/>
    <n v="2344"/>
    <n v="7"/>
    <x v="0"/>
    <n v="0.15377133105802049"/>
    <s v="slow"/>
  </r>
  <r>
    <x v="419"/>
    <x v="0"/>
    <x v="4"/>
    <x v="2"/>
    <d v="2023-12-04T00:00:00"/>
    <d v="2023-11-04T00:00:00"/>
    <n v="7.8"/>
    <n v="330.04"/>
    <s v="Delivered"/>
    <n v="2242"/>
    <n v="5"/>
    <x v="0"/>
    <n v="0.1472078501338091"/>
    <s v="slow"/>
  </r>
  <r>
    <x v="420"/>
    <x v="0"/>
    <x v="2"/>
    <x v="2"/>
    <d v="2023-08-28T00:00:00"/>
    <d v="2023-09-01T00:00:00"/>
    <n v="26.8"/>
    <n v="190.03"/>
    <s v="In Transit"/>
    <n v="1346"/>
    <n v="4"/>
    <x v="0"/>
    <n v="0.14118127786032689"/>
    <s v="fast"/>
  </r>
  <r>
    <x v="421"/>
    <x v="8"/>
    <x v="11"/>
    <x v="0"/>
    <d v="2023-03-17T00:00:00"/>
    <d v="2023-03-18T00:00:00"/>
    <n v="36.299999999999997"/>
    <n v="77.48"/>
    <s v="Delivered"/>
    <n v="283"/>
    <n v="1"/>
    <x v="0"/>
    <n v="0.27378091872791521"/>
    <s v="fast"/>
  </r>
  <r>
    <x v="422"/>
    <x v="9"/>
    <x v="13"/>
    <x v="5"/>
    <d v="2023-05-20T00:00:00"/>
    <d v="2023-05-24T00:00:00"/>
    <n v="7.1"/>
    <n v="26.87"/>
    <s v="In Transit"/>
    <n v="164"/>
    <n v="4"/>
    <x v="0"/>
    <n v="0.16384146341463415"/>
    <s v="fast"/>
  </r>
  <r>
    <x v="423"/>
    <x v="3"/>
    <x v="9"/>
    <x v="4"/>
    <d v="2023-01-04T00:00:00"/>
    <d v="2023-01-11T00:00:00"/>
    <n v="14.6"/>
    <n v="188.17"/>
    <s v="Delivered"/>
    <n v="1324"/>
    <n v="7"/>
    <x v="0"/>
    <n v="0.14212235649546825"/>
    <s v="slow"/>
  </r>
  <r>
    <x v="424"/>
    <x v="0"/>
    <x v="12"/>
    <x v="3"/>
    <d v="2023-12-09T00:00:00"/>
    <d v="2023-12-14T00:00:00"/>
    <n v="8.8000000000000007"/>
    <n v="157.81"/>
    <s v="Delayed"/>
    <n v="849"/>
    <n v="2"/>
    <x v="1"/>
    <n v="0.18587750294464075"/>
    <s v="not applicabel"/>
  </r>
  <r>
    <x v="425"/>
    <x v="4"/>
    <x v="14"/>
    <x v="5"/>
    <d v="2023-08-04T00:00:00"/>
    <d v="2023-08-05T00:00:00"/>
    <n v="5.9"/>
    <n v="30.32"/>
    <s v="Delivered"/>
    <n v="212"/>
    <n v="1"/>
    <x v="0"/>
    <n v="0.14301886792452831"/>
    <s v="fast"/>
  </r>
  <r>
    <x v="426"/>
    <x v="7"/>
    <x v="14"/>
    <x v="3"/>
    <d v="2023-02-21T00:00:00"/>
    <d v="2023-02-27T00:00:00"/>
    <n v="11.1"/>
    <n v="139.41999999999999"/>
    <s v="Delivered"/>
    <n v="1035"/>
    <n v="6"/>
    <x v="0"/>
    <n v="0.13470531400966182"/>
    <s v="slow"/>
  </r>
  <r>
    <x v="427"/>
    <x v="1"/>
    <x v="10"/>
    <x v="6"/>
    <d v="2023-06-13T00:00:00"/>
    <d v="2023-06-14T00:00:00"/>
    <n v="1062.2"/>
    <n v="51.54"/>
    <s v="Delivered"/>
    <n v="373"/>
    <n v="1"/>
    <x v="0"/>
    <n v="0.13817694369973191"/>
    <s v="fast"/>
  </r>
  <r>
    <x v="428"/>
    <x v="4"/>
    <x v="1"/>
    <x v="6"/>
    <d v="2023-09-16T00:00:00"/>
    <d v="2023-09-19T00:00:00"/>
    <n v="58.9"/>
    <n v="136.22"/>
    <s v="Delivered"/>
    <n v="569"/>
    <n v="3"/>
    <x v="0"/>
    <n v="0.239402460456942"/>
    <s v="fast"/>
  </r>
  <r>
    <x v="429"/>
    <x v="8"/>
    <x v="7"/>
    <x v="2"/>
    <d v="2023-08-21T00:00:00"/>
    <d v="2023-08-30T00:00:00"/>
    <n v="36.6"/>
    <n v="311.83999999999997"/>
    <s v="In Transit"/>
    <n v="2250"/>
    <n v="9"/>
    <x v="0"/>
    <n v="0.13859555555555556"/>
    <s v="slow"/>
  </r>
  <r>
    <x v="430"/>
    <x v="9"/>
    <x v="3"/>
    <x v="2"/>
    <d v="2023-04-23T00:00:00"/>
    <d v="2023-04-28T00:00:00"/>
    <n v="23"/>
    <n v="166.87"/>
    <s v="Delivered"/>
    <n v="1171"/>
    <n v="5"/>
    <x v="0"/>
    <n v="0.14250213492741248"/>
    <s v="slow"/>
  </r>
  <r>
    <x v="431"/>
    <x v="6"/>
    <x v="5"/>
    <x v="1"/>
    <d v="2023-02-09T00:00:00"/>
    <d v="2023-02-12T00:00:00"/>
    <n v="23"/>
    <n v="94.01"/>
    <s v="Delivered"/>
    <n v="462"/>
    <n v="3"/>
    <x v="0"/>
    <n v="0.20348484848484849"/>
    <s v="fast"/>
  </r>
  <r>
    <x v="432"/>
    <x v="6"/>
    <x v="0"/>
    <x v="3"/>
    <d v="2023-05-08T00:00:00"/>
    <d v="2023-05-12T00:00:00"/>
    <n v="18.5"/>
    <n v="232.87"/>
    <s v="Delivered"/>
    <n v="1761"/>
    <n v="4"/>
    <x v="0"/>
    <n v="0.13223736513344692"/>
    <s v="fast"/>
  </r>
  <r>
    <x v="433"/>
    <x v="6"/>
    <x v="12"/>
    <x v="1"/>
    <d v="2023-01-31T00:00:00"/>
    <d v="2023-02-02T00:00:00"/>
    <n v="16.8"/>
    <n v="118.63"/>
    <s v="Delivered"/>
    <n v="658"/>
    <n v="2"/>
    <x v="0"/>
    <n v="0.1802887537993921"/>
    <s v="fast"/>
  </r>
  <r>
    <x v="434"/>
    <x v="6"/>
    <x v="10"/>
    <x v="1"/>
    <d v="2023-10-20T00:00:00"/>
    <d v="2023-10-23T00:00:00"/>
    <n v="14.2"/>
    <n v="161.26"/>
    <s v="Delivered"/>
    <n v="978"/>
    <n v="3"/>
    <x v="0"/>
    <n v="0.16488752556237218"/>
    <s v="fast"/>
  </r>
  <r>
    <x v="435"/>
    <x v="5"/>
    <x v="10"/>
    <x v="1"/>
    <d v="2023-01-22T00:00:00"/>
    <d v="2023-01-25T00:00:00"/>
    <n v="45.1"/>
    <n v="238.38"/>
    <s v="Delivered"/>
    <n v="1349"/>
    <n v="3"/>
    <x v="0"/>
    <n v="0.17670867309117866"/>
    <s v="fast"/>
  </r>
  <r>
    <x v="436"/>
    <x v="4"/>
    <x v="2"/>
    <x v="4"/>
    <d v="2023-03-29T00:00:00"/>
    <d v="2023-03-30T00:00:00"/>
    <n v="19"/>
    <n v="77.14"/>
    <s v="Delivered"/>
    <n v="483"/>
    <n v="1"/>
    <x v="0"/>
    <n v="0.15971014492753624"/>
    <s v="fast"/>
  </r>
  <r>
    <x v="437"/>
    <x v="9"/>
    <x v="2"/>
    <x v="3"/>
    <d v="2023-04-14T00:00:00"/>
    <d v="2023-04-21T00:00:00"/>
    <n v="9.9"/>
    <n v="256.92"/>
    <s v="Delivered"/>
    <n v="1707"/>
    <n v="7"/>
    <x v="0"/>
    <n v="0.1505096660808436"/>
    <s v="slow"/>
  </r>
  <r>
    <x v="438"/>
    <x v="4"/>
    <x v="4"/>
    <x v="6"/>
    <d v="2023-09-25T00:00:00"/>
    <d v="2023-09-30T00:00:00"/>
    <n v="46.2"/>
    <n v="329.57"/>
    <s v="Delivered"/>
    <n v="2333"/>
    <n v="5"/>
    <x v="0"/>
    <n v="0.14126446635233605"/>
    <s v="slow"/>
  </r>
  <r>
    <x v="439"/>
    <x v="8"/>
    <x v="8"/>
    <x v="5"/>
    <d v="2023-12-04T00:00:00"/>
    <d v="2023-12-06T00:00:00"/>
    <n v="10.199999999999999"/>
    <n v="120.04"/>
    <s v="Delivered"/>
    <n v="790"/>
    <n v="2"/>
    <x v="0"/>
    <n v="0.1519493670886076"/>
    <s v="fast"/>
  </r>
  <r>
    <x v="440"/>
    <x v="5"/>
    <x v="0"/>
    <x v="1"/>
    <d v="2023-04-03T00:00:00"/>
    <d v="2023-04-11T00:00:00"/>
    <n v="5.2"/>
    <n v="216.66"/>
    <s v="Delivered"/>
    <n v="1605"/>
    <n v="8"/>
    <x v="0"/>
    <n v="0.13499065420560746"/>
    <s v="slow"/>
  </r>
  <r>
    <x v="441"/>
    <x v="3"/>
    <x v="3"/>
    <x v="0"/>
    <d v="2023-11-01T00:00:00"/>
    <d v="2023-11-05T00:00:00"/>
    <n v="26"/>
    <n v="183.17"/>
    <s v="Delivered"/>
    <n v="1019"/>
    <n v="4"/>
    <x v="0"/>
    <n v="0.17975466143277721"/>
    <s v="fast"/>
  </r>
  <r>
    <x v="442"/>
    <x v="8"/>
    <x v="0"/>
    <x v="6"/>
    <d v="2023-09-16T00:00:00"/>
    <d v="2023-09-20T00:00:00"/>
    <n v="13.2"/>
    <n v="256.52999999999997"/>
    <s v="Delivered"/>
    <n v="1945"/>
    <n v="4"/>
    <x v="0"/>
    <n v="0.13189203084832904"/>
    <s v="fast"/>
  </r>
  <r>
    <x v="443"/>
    <x v="6"/>
    <x v="10"/>
    <x v="4"/>
    <d v="2023-04-01T00:00:00"/>
    <d v="2023-04-03T00:00:00"/>
    <n v="55.5"/>
    <n v="169.22"/>
    <s v="Delivered"/>
    <n v="804"/>
    <n v="2"/>
    <x v="0"/>
    <n v="0.21047263681592041"/>
    <s v="fast"/>
  </r>
  <r>
    <x v="444"/>
    <x v="1"/>
    <x v="4"/>
    <x v="4"/>
    <d v="2023-09-17T00:00:00"/>
    <d v="2023-09-23T00:00:00"/>
    <n v="23.9"/>
    <n v="188.32"/>
    <s v="Delivered"/>
    <n v="1435"/>
    <n v="6"/>
    <x v="0"/>
    <n v="0.13123344947735191"/>
    <s v="slow"/>
  </r>
  <r>
    <x v="445"/>
    <x v="6"/>
    <x v="10"/>
    <x v="4"/>
    <d v="2023-04-10T00:00:00"/>
    <d v="2023-04-13T00:00:00"/>
    <n v="31.6"/>
    <n v="152.35"/>
    <s v="In Transit"/>
    <n v="1081"/>
    <n v="3"/>
    <x v="0"/>
    <n v="0.14093432007400555"/>
    <s v="fast"/>
  </r>
  <r>
    <x v="446"/>
    <x v="7"/>
    <x v="3"/>
    <x v="3"/>
    <d v="2023-11-29T00:00:00"/>
    <d v="2023-12-05T00:00:00"/>
    <n v="34"/>
    <n v="234.67"/>
    <s v="Delivered"/>
    <n v="1211"/>
    <n v="6"/>
    <x v="0"/>
    <n v="0.19378199834847232"/>
    <s v="slow"/>
  </r>
  <r>
    <x v="447"/>
    <x v="6"/>
    <x v="13"/>
    <x v="1"/>
    <d v="2023-07-28T00:00:00"/>
    <m/>
    <n v="29.3"/>
    <n v="171.21"/>
    <s v="Delivered"/>
    <n v="916"/>
    <n v="4"/>
    <x v="4"/>
    <n v="0.18691048034934499"/>
    <s v="not applicabel"/>
  </r>
  <r>
    <x v="448"/>
    <x v="2"/>
    <x v="8"/>
    <x v="6"/>
    <d v="2023-04-14T00:00:00"/>
    <d v="2023-04-18T00:00:00"/>
    <n v="87.5"/>
    <n v="322.08999999999997"/>
    <s v="Delivered"/>
    <n v="1941"/>
    <n v="4"/>
    <x v="0"/>
    <n v="0.16594023699124161"/>
    <s v="fast"/>
  </r>
  <r>
    <x v="449"/>
    <x v="5"/>
    <x v="2"/>
    <x v="2"/>
    <d v="2023-09-29T00:00:00"/>
    <d v="2023-10-04T00:00:00"/>
    <n v="6.6"/>
    <n v="211.32"/>
    <s v="Delivered"/>
    <n v="1560"/>
    <n v="5"/>
    <x v="0"/>
    <n v="0.13546153846153847"/>
    <s v="slow"/>
  </r>
  <r>
    <x v="450"/>
    <x v="2"/>
    <x v="8"/>
    <x v="1"/>
    <d v="2023-09-14T00:00:00"/>
    <d v="2023-09-19T00:00:00"/>
    <n v="14.2"/>
    <n v="279.38"/>
    <s v="Delivered"/>
    <n v="1843"/>
    <n v="5"/>
    <x v="0"/>
    <n v="0.15158979924036897"/>
    <s v="slow"/>
  </r>
  <r>
    <x v="451"/>
    <x v="7"/>
    <x v="3"/>
    <x v="2"/>
    <d v="2023-03-06T00:00:00"/>
    <d v="2023-03-14T00:00:00"/>
    <n v="8.3000000000000007"/>
    <n v="274.13"/>
    <s v="Delivered"/>
    <n v="2418"/>
    <n v="8"/>
    <x v="0"/>
    <n v="0.11337055417700578"/>
    <s v="slow"/>
  </r>
  <r>
    <x v="452"/>
    <x v="2"/>
    <x v="0"/>
    <x v="5"/>
    <d v="2023-01-04T00:00:00"/>
    <d v="2023-01-21T00:00:00"/>
    <n v="18"/>
    <n v="271.68"/>
    <s v="Delayed"/>
    <n v="2067"/>
    <n v="5"/>
    <x v="1"/>
    <n v="0.13143686502177068"/>
    <s v="not applicabel"/>
  </r>
  <r>
    <x v="453"/>
    <x v="8"/>
    <x v="6"/>
    <x v="2"/>
    <d v="2023-01-21T00:00:00"/>
    <d v="2023-01-23T00:00:00"/>
    <n v="45"/>
    <n v="124.14"/>
    <s v="Delivered"/>
    <n v="568"/>
    <n v="2"/>
    <x v="0"/>
    <n v="0.21855633802816901"/>
    <s v="fast"/>
  </r>
  <r>
    <x v="454"/>
    <x v="8"/>
    <x v="0"/>
    <x v="3"/>
    <d v="2023-06-09T00:00:00"/>
    <d v="2023-06-15T00:00:00"/>
    <n v="8.1"/>
    <n v="119.16"/>
    <s v="Delivered"/>
    <n v="906"/>
    <n v="6"/>
    <x v="0"/>
    <n v="0.13152317880794701"/>
    <s v="slow"/>
  </r>
  <r>
    <x v="455"/>
    <x v="7"/>
    <x v="2"/>
    <x v="6"/>
    <d v="2023-01-18T00:00:00"/>
    <d v="2023-01-23T00:00:00"/>
    <n v="16.3"/>
    <n v="87.95"/>
    <s v="Delivered"/>
    <n v="642"/>
    <n v="5"/>
    <x v="0"/>
    <n v="0.13699376947040498"/>
    <s v="slow"/>
  </r>
  <r>
    <x v="456"/>
    <x v="5"/>
    <x v="2"/>
    <x v="6"/>
    <d v="2023-11-03T00:00:00"/>
    <d v="2023-11-08T00:00:00"/>
    <n v="10.9"/>
    <n v="281.08"/>
    <s v="Delivered"/>
    <n v="1954"/>
    <n v="5"/>
    <x v="0"/>
    <n v="0.14384851586489253"/>
    <s v="slow"/>
  </r>
  <r>
    <x v="457"/>
    <x v="0"/>
    <x v="9"/>
    <x v="3"/>
    <d v="2023-03-15T00:00:00"/>
    <d v="2023-03-21T00:00:00"/>
    <n v="6"/>
    <n v="311.67"/>
    <s v="Delivered"/>
    <n v="2192"/>
    <n v="6"/>
    <x v="0"/>
    <n v="0.14218521897810218"/>
    <s v="slow"/>
  </r>
  <r>
    <x v="458"/>
    <x v="3"/>
    <x v="14"/>
    <x v="0"/>
    <d v="2023-09-15T00:00:00"/>
    <d v="2023-09-18T00:00:00"/>
    <n v="33.6"/>
    <n v="195.61"/>
    <s v="Delivered"/>
    <n v="1113"/>
    <n v="3"/>
    <x v="0"/>
    <n v="0.17575022461814915"/>
    <s v="fast"/>
  </r>
  <r>
    <x v="459"/>
    <x v="3"/>
    <x v="7"/>
    <x v="1"/>
    <d v="2023-02-17T00:00:00"/>
    <d v="2023-02-25T00:00:00"/>
    <n v="11.8"/>
    <n v="283.33999999999997"/>
    <s v="Delivered"/>
    <n v="1837"/>
    <n v="8"/>
    <x v="0"/>
    <n v="0.15424060968971148"/>
    <s v="slow"/>
  </r>
  <r>
    <x v="460"/>
    <x v="3"/>
    <x v="5"/>
    <x v="6"/>
    <d v="2023-09-18T00:00:00"/>
    <d v="2023-09-19T00:00:00"/>
    <n v="68.900000000000006"/>
    <m/>
    <s v="Delivered"/>
    <n v="447"/>
    <n v="1"/>
    <x v="0"/>
    <n v="0"/>
    <s v="fast"/>
  </r>
  <r>
    <x v="461"/>
    <x v="1"/>
    <x v="12"/>
    <x v="3"/>
    <d v="2023-08-16T00:00:00"/>
    <d v="2023-08-17T00:00:00"/>
    <n v="21.4"/>
    <n v="49.49"/>
    <s v="Delivered"/>
    <n v="162"/>
    <n v="1"/>
    <x v="0"/>
    <n v="0.30549382716049384"/>
    <s v="fast"/>
  </r>
  <r>
    <x v="462"/>
    <x v="7"/>
    <x v="12"/>
    <x v="6"/>
    <d v="2023-02-27T00:00:00"/>
    <d v="2023-03-05T00:00:00"/>
    <n v="31.3"/>
    <n v="308.27999999999997"/>
    <s v="Delivered"/>
    <n v="2454"/>
    <n v="6"/>
    <x v="0"/>
    <n v="0.12562347188264059"/>
    <s v="slow"/>
  </r>
  <r>
    <x v="463"/>
    <x v="6"/>
    <x v="4"/>
    <x v="5"/>
    <d v="2023-10-25T00:00:00"/>
    <d v="2023-10-27T00:00:00"/>
    <n v="38.9"/>
    <n v="114.76"/>
    <s v="Delivered"/>
    <n v="603"/>
    <n v="2"/>
    <x v="0"/>
    <n v="0.1903150912106136"/>
    <s v="fast"/>
  </r>
  <r>
    <x v="464"/>
    <x v="2"/>
    <x v="8"/>
    <x v="5"/>
    <d v="2023-12-09T00:00:00"/>
    <d v="2023-12-13T00:00:00"/>
    <n v="29"/>
    <n v="228.35"/>
    <s v="Delivered"/>
    <n v="1340"/>
    <n v="4"/>
    <x v="0"/>
    <n v="0.17041044776119402"/>
    <s v="fast"/>
  </r>
  <r>
    <x v="465"/>
    <x v="3"/>
    <x v="10"/>
    <x v="6"/>
    <d v="2023-07-16T00:00:00"/>
    <d v="2023-07-20T00:00:00"/>
    <n v="39.6"/>
    <n v="270.85000000000002"/>
    <s v="Delivered"/>
    <n v="1963"/>
    <n v="4"/>
    <x v="0"/>
    <n v="0.13797758532857871"/>
    <s v="fast"/>
  </r>
  <r>
    <x v="466"/>
    <x v="1"/>
    <x v="5"/>
    <x v="5"/>
    <d v="2023-05-03T00:00:00"/>
    <d v="2023-05-08T00:00:00"/>
    <n v="11.8"/>
    <n v="270.13"/>
    <s v="Delivered"/>
    <n v="2254"/>
    <n v="5"/>
    <x v="0"/>
    <n v="0.1198447204968944"/>
    <s v="slow"/>
  </r>
  <r>
    <x v="467"/>
    <x v="3"/>
    <x v="4"/>
    <x v="6"/>
    <d v="2023-11-19T00:00:00"/>
    <d v="2023-11-22T00:00:00"/>
    <n v="15.7"/>
    <n v="121.5"/>
    <s v="In Transit"/>
    <n v="664"/>
    <n v="3"/>
    <x v="0"/>
    <n v="0.18298192771084337"/>
    <s v="fast"/>
  </r>
  <r>
    <x v="468"/>
    <x v="1"/>
    <x v="4"/>
    <x v="6"/>
    <d v="2023-02-19T00:00:00"/>
    <d v="2023-02-23T00:00:00"/>
    <n v="45.3"/>
    <n v="195.45"/>
    <s v="Delivered"/>
    <n v="1435"/>
    <n v="4"/>
    <x v="0"/>
    <n v="0.13620209059233448"/>
    <s v="fast"/>
  </r>
  <r>
    <x v="469"/>
    <x v="1"/>
    <x v="4"/>
    <x v="1"/>
    <d v="2023-08-28T00:00:00"/>
    <d v="2023-09-03T00:00:00"/>
    <n v="19.7"/>
    <n v="244.45"/>
    <s v="Delivered"/>
    <n v="1435"/>
    <n v="6"/>
    <x v="0"/>
    <n v="0.17034843205574912"/>
    <s v="slow"/>
  </r>
  <r>
    <x v="470"/>
    <x v="5"/>
    <x v="2"/>
    <x v="0"/>
    <d v="2023-04-21T00:00:00"/>
    <m/>
    <n v="8.6999999999999993"/>
    <n v="35.590000000000003"/>
    <s v="Delayed"/>
    <n v="195"/>
    <n v="1"/>
    <x v="4"/>
    <n v="0.18251282051282053"/>
    <s v="not applicabel"/>
  </r>
  <r>
    <x v="471"/>
    <x v="0"/>
    <x v="13"/>
    <x v="5"/>
    <d v="2023-10-16T00:00:00"/>
    <d v="2023-10-22T00:00:00"/>
    <n v="10.5"/>
    <n v="133.36000000000001"/>
    <s v="Delivered"/>
    <n v="1072"/>
    <n v="6"/>
    <x v="0"/>
    <n v="0.12440298507462688"/>
    <s v="slow"/>
  </r>
  <r>
    <x v="472"/>
    <x v="6"/>
    <x v="14"/>
    <x v="1"/>
    <d v="2023-12-17T00:00:00"/>
    <d v="2023-12-20T00:00:00"/>
    <n v="52.6"/>
    <n v="258.14"/>
    <s v="Delivered"/>
    <n v="1030"/>
    <n v="3"/>
    <x v="0"/>
    <n v="0.25062135922330098"/>
    <s v="fast"/>
  </r>
  <r>
    <x v="473"/>
    <x v="0"/>
    <x v="1"/>
    <x v="3"/>
    <d v="2023-06-04T00:00:00"/>
    <d v="2023-06-09T00:00:00"/>
    <n v="27.7"/>
    <n v="237.6"/>
    <s v="Delivered"/>
    <n v="1363"/>
    <n v="5"/>
    <x v="0"/>
    <n v="0.17432134996331622"/>
    <s v="slow"/>
  </r>
  <r>
    <x v="474"/>
    <x v="8"/>
    <x v="12"/>
    <x v="6"/>
    <d v="2023-04-25T00:00:00"/>
    <d v="2023-04-27T00:00:00"/>
    <n v="29.6"/>
    <n v="84.55"/>
    <s v="Lost"/>
    <n v="515"/>
    <n v="2"/>
    <x v="2"/>
    <n v="0.1641747572815534"/>
    <s v="not applicabel"/>
  </r>
  <r>
    <x v="475"/>
    <x v="7"/>
    <x v="7"/>
    <x v="2"/>
    <d v="2023-09-03T00:00:00"/>
    <d v="2023-09-06T00:00:00"/>
    <n v="10.8"/>
    <n v="48.75"/>
    <s v="Delivered"/>
    <n v="262"/>
    <n v="3"/>
    <x v="0"/>
    <n v="0.18606870229007633"/>
    <s v="fast"/>
  </r>
  <r>
    <x v="476"/>
    <x v="7"/>
    <x v="5"/>
    <x v="4"/>
    <d v="2023-02-19T00:00:00"/>
    <d v="2023-02-23T00:00:00"/>
    <n v="10.6"/>
    <n v="217.45"/>
    <s v="Delivered"/>
    <n v="1866"/>
    <n v="4"/>
    <x v="0"/>
    <n v="0.11653269024651661"/>
    <s v="fast"/>
  </r>
  <r>
    <x v="477"/>
    <x v="5"/>
    <x v="10"/>
    <x v="1"/>
    <d v="2023-12-20T00:00:00"/>
    <d v="2024-01-06T00:00:00"/>
    <n v="17.899999999999999"/>
    <n v="373.8"/>
    <s v="Delayed"/>
    <n v="1998"/>
    <n v="5"/>
    <x v="1"/>
    <n v="0.1870870870870871"/>
    <s v="not applicabel"/>
  </r>
  <r>
    <x v="478"/>
    <x v="9"/>
    <x v="8"/>
    <x v="0"/>
    <d v="2023-07-16T00:00:00"/>
    <d v="2023-07-21T00:00:00"/>
    <n v="14.8"/>
    <n v="182.07"/>
    <s v="Delivered"/>
    <n v="1304"/>
    <n v="5"/>
    <x v="0"/>
    <n v="0.13962423312883435"/>
    <s v="slow"/>
  </r>
  <r>
    <x v="479"/>
    <x v="7"/>
    <x v="4"/>
    <x v="0"/>
    <d v="2023-04-19T00:00:00"/>
    <d v="2023-04-21T00:00:00"/>
    <n v="11.9"/>
    <n v="41.55"/>
    <s v="Delivered"/>
    <n v="187"/>
    <n v="2"/>
    <x v="0"/>
    <n v="0.22219251336898393"/>
    <s v="fast"/>
  </r>
  <r>
    <x v="480"/>
    <x v="1"/>
    <x v="8"/>
    <x v="6"/>
    <d v="2023-03-31T00:00:00"/>
    <d v="2023-04-05T00:00:00"/>
    <n v="26.7"/>
    <n v="209.87"/>
    <s v="Delivered"/>
    <n v="1486"/>
    <n v="5"/>
    <x v="0"/>
    <n v="0.14123149394347242"/>
    <s v="slow"/>
  </r>
  <r>
    <x v="481"/>
    <x v="3"/>
    <x v="5"/>
    <x v="4"/>
    <d v="2023-01-08T00:00:00"/>
    <d v="2023-01-12T00:00:00"/>
    <n v="7.7"/>
    <n v="170.97"/>
    <s v="Delivered"/>
    <n v="1468"/>
    <n v="4"/>
    <x v="0"/>
    <n v="0.11646457765667576"/>
    <s v="fast"/>
  </r>
  <r>
    <x v="482"/>
    <x v="5"/>
    <x v="3"/>
    <x v="4"/>
    <d v="2023-03-27T00:00:00"/>
    <d v="2023-04-01T00:00:00"/>
    <n v="17.8"/>
    <n v="323.01"/>
    <s v="Delivered"/>
    <n v="2283"/>
    <n v="5"/>
    <x v="0"/>
    <n v="0.14148488830486203"/>
    <s v="slow"/>
  </r>
  <r>
    <x v="483"/>
    <x v="3"/>
    <x v="2"/>
    <x v="0"/>
    <d v="2023-01-19T00:00:00"/>
    <d v="2023-01-23T00:00:00"/>
    <n v="57.6"/>
    <n v="346.17"/>
    <s v="Delivered"/>
    <n v="1950"/>
    <n v="4"/>
    <x v="0"/>
    <n v="0.17752307692307692"/>
    <s v="fast"/>
  </r>
  <r>
    <x v="484"/>
    <x v="0"/>
    <x v="7"/>
    <x v="5"/>
    <d v="2023-08-24T00:00:00"/>
    <d v="2023-09-02T00:00:00"/>
    <n v="13.4"/>
    <n v="31.36"/>
    <s v="Delayed"/>
    <n v="119"/>
    <n v="2"/>
    <x v="1"/>
    <n v="0.2635294117647059"/>
    <s v="not applicabel"/>
  </r>
  <r>
    <x v="485"/>
    <x v="0"/>
    <x v="8"/>
    <x v="5"/>
    <d v="2023-03-07T00:00:00"/>
    <d v="2023-03-10T00:00:00"/>
    <n v="11.5"/>
    <n v="143.87"/>
    <s v="Delivered"/>
    <n v="983"/>
    <n v="3"/>
    <x v="0"/>
    <n v="0.14635808748728382"/>
    <s v="fast"/>
  </r>
  <r>
    <x v="486"/>
    <x v="9"/>
    <x v="13"/>
    <x v="6"/>
    <d v="2023-02-18T00:00:00"/>
    <d v="2023-02-20T00:00:00"/>
    <n v="18.600000000000001"/>
    <n v="64.53"/>
    <s v="Lost"/>
    <n v="344"/>
    <n v="2"/>
    <x v="2"/>
    <n v="0.18758720930232559"/>
    <s v="not applicabel"/>
  </r>
  <r>
    <x v="487"/>
    <x v="2"/>
    <x v="7"/>
    <x v="4"/>
    <d v="2023-08-23T00:00:00"/>
    <d v="2023-08-28T00:00:00"/>
    <n v="26.8"/>
    <n v="280.97000000000003"/>
    <s v="Delivered"/>
    <n v="1996"/>
    <n v="5"/>
    <x v="0"/>
    <n v="0.14076653306613227"/>
    <s v="slow"/>
  </r>
  <r>
    <x v="488"/>
    <x v="9"/>
    <x v="13"/>
    <x v="2"/>
    <d v="2023-06-25T00:00:00"/>
    <d v="2023-07-01T00:00:00"/>
    <n v="8.6"/>
    <n v="219.42"/>
    <s v="Delayed"/>
    <n v="1671"/>
    <n v="5"/>
    <x v="1"/>
    <n v="0.13131059245960502"/>
    <s v="not applicabel"/>
  </r>
  <r>
    <x v="489"/>
    <x v="8"/>
    <x v="11"/>
    <x v="3"/>
    <d v="2023-12-22T00:00:00"/>
    <d v="2023-12-26T00:00:00"/>
    <n v="53.2"/>
    <n v="204.86"/>
    <s v="Delivered"/>
    <n v="829"/>
    <n v="4"/>
    <x v="0"/>
    <n v="0.24711700844390833"/>
    <s v="fast"/>
  </r>
  <r>
    <x v="490"/>
    <x v="3"/>
    <x v="13"/>
    <x v="4"/>
    <d v="2023-08-31T00:00:00"/>
    <d v="2023-09-06T00:00:00"/>
    <n v="14.9"/>
    <n v="186.3"/>
    <s v="Delivered"/>
    <n v="1508"/>
    <n v="6"/>
    <x v="0"/>
    <n v="0.12354111405835544"/>
    <s v="slow"/>
  </r>
  <r>
    <x v="491"/>
    <x v="1"/>
    <x v="9"/>
    <x v="1"/>
    <d v="2023-06-17T00:00:00"/>
    <d v="2023-06-20T00:00:00"/>
    <n v="59.4"/>
    <n v="316.73"/>
    <s v="Delivered"/>
    <n v="1504"/>
    <n v="3"/>
    <x v="0"/>
    <n v="0.21059175531914895"/>
    <s v="fast"/>
  </r>
  <r>
    <x v="492"/>
    <x v="5"/>
    <x v="3"/>
    <x v="6"/>
    <d v="2023-06-09T00:00:00"/>
    <d v="2023-06-13T00:00:00"/>
    <n v="16.899999999999999"/>
    <n v="213.15"/>
    <s v="Delivered"/>
    <n v="1844"/>
    <n v="4"/>
    <x v="0"/>
    <n v="0.11559110629067246"/>
    <s v="fast"/>
  </r>
  <r>
    <x v="493"/>
    <x v="6"/>
    <x v="14"/>
    <x v="3"/>
    <d v="2023-02-06T00:00:00"/>
    <d v="2023-02-10T00:00:00"/>
    <n v="13.4"/>
    <n v="139.6"/>
    <s v="Delivered"/>
    <n v="1030"/>
    <n v="4"/>
    <x v="0"/>
    <n v="0.13553398058252428"/>
    <s v="fast"/>
  </r>
  <r>
    <x v="494"/>
    <x v="7"/>
    <x v="5"/>
    <x v="1"/>
    <d v="2023-08-30T00:00:00"/>
    <d v="2023-09-01T00:00:00"/>
    <n v="11.4"/>
    <n v="65.290000000000006"/>
    <s v="Delivered"/>
    <n v="319"/>
    <n v="2"/>
    <x v="0"/>
    <n v="0.20467084639498434"/>
    <s v="fast"/>
  </r>
  <r>
    <x v="495"/>
    <x v="7"/>
    <x v="8"/>
    <x v="1"/>
    <d v="2023-04-18T00:00:00"/>
    <d v="2023-04-24T00:00:00"/>
    <n v="10.8"/>
    <n v="256.45"/>
    <s v="Delivered"/>
    <n v="1635"/>
    <n v="6"/>
    <x v="0"/>
    <n v="0.15685015290519877"/>
    <s v="slow"/>
  </r>
  <r>
    <x v="496"/>
    <x v="0"/>
    <x v="14"/>
    <x v="3"/>
    <d v="2023-09-03T00:00:00"/>
    <d v="2023-09-06T00:00:00"/>
    <n v="68.5"/>
    <n v="235.28"/>
    <s v="Delivered"/>
    <n v="1058"/>
    <n v="3"/>
    <x v="0"/>
    <n v="0.22238185255198487"/>
    <s v="fast"/>
  </r>
  <r>
    <x v="497"/>
    <x v="0"/>
    <x v="14"/>
    <x v="3"/>
    <d v="2023-01-02T00:00:00"/>
    <d v="2023-01-03T00:00:00"/>
    <n v="22.1"/>
    <n v="69.52"/>
    <s v="Delivered"/>
    <n v="309"/>
    <n v="1"/>
    <x v="0"/>
    <n v="0.22498381877022652"/>
    <s v="fast"/>
  </r>
  <r>
    <x v="498"/>
    <x v="9"/>
    <x v="2"/>
    <x v="4"/>
    <d v="2023-12-28T00:00:00"/>
    <d v="2023-12-30T00:00:00"/>
    <n v="9"/>
    <n v="149.84"/>
    <s v="Delivered"/>
    <n v="1002"/>
    <n v="2"/>
    <x v="0"/>
    <n v="0.14954091816367265"/>
    <s v="fast"/>
  </r>
  <r>
    <x v="499"/>
    <x v="3"/>
    <x v="14"/>
    <x v="1"/>
    <d v="2023-09-28T00:00:00"/>
    <d v="2023-09-30T00:00:00"/>
    <n v="10.7"/>
    <n v="51.05"/>
    <s v="Delivered"/>
    <n v="295"/>
    <n v="2"/>
    <x v="0"/>
    <n v="0.17305084745762711"/>
    <s v="fast"/>
  </r>
  <r>
    <x v="500"/>
    <x v="4"/>
    <x v="3"/>
    <x v="0"/>
    <d v="2023-08-10T00:00:00"/>
    <d v="2023-08-15T00:00:00"/>
    <n v="4.4000000000000004"/>
    <n v="316.41000000000003"/>
    <s v="Delivered"/>
    <n v="2252"/>
    <n v="5"/>
    <x v="0"/>
    <n v="0.14050177619893428"/>
    <s v="slow"/>
  </r>
  <r>
    <x v="501"/>
    <x v="1"/>
    <x v="3"/>
    <x v="0"/>
    <d v="2023-07-16T00:00:00"/>
    <d v="2023-07-21T00:00:00"/>
    <n v="39"/>
    <n v="195.48"/>
    <s v="Delivered"/>
    <n v="1135"/>
    <n v="5"/>
    <x v="0"/>
    <n v="0.17222907488986783"/>
    <s v="slow"/>
  </r>
  <r>
    <x v="502"/>
    <x v="1"/>
    <x v="13"/>
    <x v="4"/>
    <d v="2023-06-27T00:00:00"/>
    <d v="2023-07-03T00:00:00"/>
    <n v="15.9"/>
    <n v="331.92"/>
    <s v="Delivered"/>
    <n v="2378"/>
    <n v="6"/>
    <x v="0"/>
    <n v="0.13957947855340622"/>
    <s v="slow"/>
  </r>
  <r>
    <x v="503"/>
    <x v="7"/>
    <x v="12"/>
    <x v="6"/>
    <d v="2023-11-30T00:00:00"/>
    <d v="2023-12-04T00:00:00"/>
    <n v="10.3"/>
    <n v="227.04"/>
    <s v="Delivered"/>
    <n v="1473"/>
    <n v="4"/>
    <x v="0"/>
    <n v="0.15413441955193483"/>
    <s v="fast"/>
  </r>
  <r>
    <x v="504"/>
    <x v="0"/>
    <x v="7"/>
    <x v="5"/>
    <d v="2023-12-28T00:00:00"/>
    <d v="2024-01-01T00:00:00"/>
    <n v="26.9"/>
    <n v="260.39999999999998"/>
    <s v="Delivered"/>
    <n v="1433"/>
    <n v="4"/>
    <x v="0"/>
    <n v="0.18171667829727842"/>
    <s v="fast"/>
  </r>
  <r>
    <x v="505"/>
    <x v="0"/>
    <x v="2"/>
    <x v="3"/>
    <d v="2023-10-20T00:00:00"/>
    <d v="2023-10-22T00:00:00"/>
    <n v="51.6"/>
    <n v="103.41"/>
    <s v="Delivered"/>
    <n v="239"/>
    <n v="2"/>
    <x v="0"/>
    <n v="0.4326778242677824"/>
    <s v="fast"/>
  </r>
  <r>
    <x v="506"/>
    <x v="4"/>
    <x v="1"/>
    <x v="0"/>
    <d v="2023-09-13T00:00:00"/>
    <d v="2023-09-18T00:00:00"/>
    <n v="8.9"/>
    <n v="298.41000000000003"/>
    <s v="Delivered"/>
    <n v="2461"/>
    <n v="5"/>
    <x v="0"/>
    <n v="0.12125558715969119"/>
    <s v="slow"/>
  </r>
  <r>
    <x v="507"/>
    <x v="8"/>
    <x v="11"/>
    <x v="1"/>
    <d v="2023-11-30T00:00:00"/>
    <d v="2023-12-05T00:00:00"/>
    <n v="12.5"/>
    <n v="283.77999999999997"/>
    <s v="Delivered"/>
    <n v="1588"/>
    <n v="5"/>
    <x v="0"/>
    <n v="0.17870277078085642"/>
    <s v="slow"/>
  </r>
  <r>
    <x v="508"/>
    <x v="2"/>
    <x v="14"/>
    <x v="6"/>
    <d v="2023-08-30T00:00:00"/>
    <d v="2023-08-31T00:00:00"/>
    <n v="9.9"/>
    <n v="52.96"/>
    <s v="Delivered"/>
    <n v="328"/>
    <n v="1"/>
    <x v="0"/>
    <n v="0.16146341463414635"/>
    <s v="fast"/>
  </r>
  <r>
    <x v="509"/>
    <x v="2"/>
    <x v="13"/>
    <x v="0"/>
    <d v="2023-09-19T00:00:00"/>
    <d v="2023-09-24T00:00:00"/>
    <n v="11.2"/>
    <n v="306.47000000000003"/>
    <s v="Delivered"/>
    <n v="2213"/>
    <n v="5"/>
    <x v="0"/>
    <n v="0.13848621780388615"/>
    <s v="slow"/>
  </r>
  <r>
    <x v="510"/>
    <x v="3"/>
    <x v="10"/>
    <x v="6"/>
    <d v="2023-01-08T00:00:00"/>
    <d v="2023-01-20T00:00:00"/>
    <n v="19.8"/>
    <n v="263.66000000000003"/>
    <s v="Delayed"/>
    <n v="2186"/>
    <n v="6"/>
    <x v="1"/>
    <n v="0.12061299176578226"/>
    <s v="not applicabel"/>
  </r>
  <r>
    <x v="511"/>
    <x v="1"/>
    <x v="14"/>
    <x v="3"/>
    <d v="2023-07-07T00:00:00"/>
    <d v="2023-07-18T00:00:00"/>
    <n v="16.5"/>
    <n v="196.73"/>
    <s v="Delayed"/>
    <n v="1228"/>
    <n v="4"/>
    <x v="1"/>
    <n v="0.16020358306188925"/>
    <s v="not applicabel"/>
  </r>
  <r>
    <x v="512"/>
    <x v="5"/>
    <x v="6"/>
    <x v="5"/>
    <d v="2023-09-03T00:00:00"/>
    <d v="2023-09-07T00:00:00"/>
    <n v="12.1"/>
    <n v="206.41"/>
    <s v="Delivered"/>
    <n v="1553"/>
    <n v="4"/>
    <x v="0"/>
    <n v="0.13291049581455247"/>
    <s v="fast"/>
  </r>
  <r>
    <x v="513"/>
    <x v="4"/>
    <x v="13"/>
    <x v="2"/>
    <d v="2023-03-20T00:00:00"/>
    <d v="2023-03-24T00:00:00"/>
    <n v="50.9"/>
    <n v="224.98"/>
    <s v="Delivered"/>
    <n v="1225"/>
    <n v="4"/>
    <x v="0"/>
    <n v="0.18365714285714285"/>
    <s v="fast"/>
  </r>
  <r>
    <x v="514"/>
    <x v="4"/>
    <x v="1"/>
    <x v="4"/>
    <d v="2023-07-20T00:00:00"/>
    <d v="2023-07-23T00:00:00"/>
    <n v="20.5"/>
    <n v="202.83"/>
    <s v="Delivered"/>
    <n v="1428"/>
    <n v="3"/>
    <x v="0"/>
    <n v="0.14203781512605043"/>
    <s v="fast"/>
  </r>
  <r>
    <x v="515"/>
    <x v="6"/>
    <x v="6"/>
    <x v="5"/>
    <d v="2023-12-26T00:00:00"/>
    <d v="2023-12-27T00:00:00"/>
    <n v="24.1"/>
    <n v="79.56"/>
    <s v="Delivered"/>
    <n v="267"/>
    <n v="1"/>
    <x v="0"/>
    <n v="0.29797752808988764"/>
    <s v="fast"/>
  </r>
  <r>
    <x v="516"/>
    <x v="4"/>
    <x v="12"/>
    <x v="0"/>
    <d v="2023-03-13T00:00:00"/>
    <d v="2023-03-14T00:00:00"/>
    <n v="8.9"/>
    <n v="89.78"/>
    <s v="Delivered"/>
    <n v="650"/>
    <n v="1"/>
    <x v="0"/>
    <n v="0.13812307692307693"/>
    <s v="fast"/>
  </r>
  <r>
    <x v="517"/>
    <x v="6"/>
    <x v="9"/>
    <x v="6"/>
    <d v="2023-11-27T00:00:00"/>
    <d v="2023-12-03T00:00:00"/>
    <n v="80"/>
    <n v="485.62"/>
    <s v="Delivered"/>
    <n v="2479"/>
    <n v="6"/>
    <x v="0"/>
    <n v="0.19589350544574424"/>
    <s v="slow"/>
  </r>
  <r>
    <x v="518"/>
    <x v="0"/>
    <x v="2"/>
    <x v="0"/>
    <d v="2023-03-30T00:00:00"/>
    <d v="2023-04-04T00:00:00"/>
    <n v="15.4"/>
    <n v="241.05"/>
    <s v="Delivered"/>
    <n v="1859"/>
    <n v="5"/>
    <x v="0"/>
    <n v="0.12966648735879505"/>
    <s v="slow"/>
  </r>
  <r>
    <x v="519"/>
    <x v="1"/>
    <x v="10"/>
    <x v="6"/>
    <d v="2023-02-01T00:00:00"/>
    <d v="2023-02-09T00:00:00"/>
    <n v="21.4"/>
    <n v="68.02"/>
    <s v="Delayed"/>
    <n v="373"/>
    <n v="3"/>
    <x v="1"/>
    <n v="0.18235924932975869"/>
    <s v="not applicabel"/>
  </r>
  <r>
    <x v="520"/>
    <x v="1"/>
    <x v="9"/>
    <x v="2"/>
    <d v="2023-07-02T00:00:00"/>
    <d v="2023-07-04T00:00:00"/>
    <n v="6.6"/>
    <n v="115.73"/>
    <s v="Delivered"/>
    <n v="912"/>
    <n v="2"/>
    <x v="0"/>
    <n v="0.12689692982456141"/>
    <s v="fast"/>
  </r>
  <r>
    <x v="521"/>
    <x v="2"/>
    <x v="1"/>
    <x v="1"/>
    <d v="2023-06-16T00:00:00"/>
    <d v="2023-06-18T00:00:00"/>
    <n v="27.4"/>
    <n v="98.31"/>
    <s v="Delivered"/>
    <n v="490"/>
    <n v="2"/>
    <x v="0"/>
    <n v="0.20063265306122449"/>
    <s v="fast"/>
  </r>
  <r>
    <x v="522"/>
    <x v="5"/>
    <x v="11"/>
    <x v="5"/>
    <d v="2023-06-15T00:00:00"/>
    <d v="2023-06-18T00:00:00"/>
    <n v="20.100000000000001"/>
    <n v="195.91"/>
    <s v="Delivered"/>
    <n v="1350"/>
    <n v="3"/>
    <x v="0"/>
    <n v="0.14511851851851851"/>
    <s v="fast"/>
  </r>
  <r>
    <x v="523"/>
    <x v="4"/>
    <x v="6"/>
    <x v="4"/>
    <d v="2023-04-18T00:00:00"/>
    <d v="2023-05-02T00:00:00"/>
    <n v="24.7"/>
    <n v="221.91"/>
    <s v="Delayed"/>
    <n v="1572"/>
    <n v="6"/>
    <x v="1"/>
    <n v="0.14116412213740459"/>
    <s v="not applicabel"/>
  </r>
  <r>
    <x v="524"/>
    <x v="4"/>
    <x v="7"/>
    <x v="4"/>
    <d v="2023-11-12T00:00:00"/>
    <d v="2023-11-16T00:00:00"/>
    <n v="6.9"/>
    <n v="213.81"/>
    <s v="Delivered"/>
    <n v="1517"/>
    <n v="4"/>
    <x v="0"/>
    <n v="0.1409426499670402"/>
    <s v="fast"/>
  </r>
  <r>
    <x v="525"/>
    <x v="3"/>
    <x v="14"/>
    <x v="1"/>
    <d v="2023-07-07T00:00:00"/>
    <d v="2023-07-11T00:00:00"/>
    <n v="34.700000000000003"/>
    <n v="304.3"/>
    <s v="Delivered"/>
    <n v="1785"/>
    <n v="4"/>
    <x v="0"/>
    <n v="0.17047619047619048"/>
    <s v="fast"/>
  </r>
  <r>
    <x v="526"/>
    <x v="3"/>
    <x v="12"/>
    <x v="2"/>
    <d v="2023-04-24T00:00:00"/>
    <d v="2023-04-27T00:00:00"/>
    <n v="20.3"/>
    <n v="89.33"/>
    <s v="Delivered"/>
    <n v="543"/>
    <n v="3"/>
    <x v="0"/>
    <n v="0.16451197053406999"/>
    <s v="fast"/>
  </r>
  <r>
    <x v="527"/>
    <x v="1"/>
    <x v="10"/>
    <x v="2"/>
    <d v="2023-02-03T00:00:00"/>
    <d v="2023-02-06T00:00:00"/>
    <n v="32.200000000000003"/>
    <n v="83.7"/>
    <s v="Delivered"/>
    <n v="373"/>
    <n v="3"/>
    <x v="0"/>
    <n v="0.22439678284182307"/>
    <s v="fast"/>
  </r>
  <r>
    <x v="528"/>
    <x v="4"/>
    <x v="0"/>
    <x v="2"/>
    <d v="2023-06-13T00:00:00"/>
    <d v="2023-06-16T00:00:00"/>
    <n v="34.700000000000003"/>
    <n v="183.65"/>
    <s v="Delivered"/>
    <n v="1055"/>
    <n v="3"/>
    <x v="0"/>
    <n v="0.17407582938388627"/>
    <s v="fast"/>
  </r>
  <r>
    <x v="529"/>
    <x v="0"/>
    <x v="1"/>
    <x v="3"/>
    <d v="2023-07-20T00:00:00"/>
    <d v="2023-07-26T00:00:00"/>
    <n v="19.399999999999999"/>
    <n v="323.37"/>
    <s v="Delivered"/>
    <n v="2177"/>
    <n v="6"/>
    <x v="0"/>
    <n v="0.14853927423059257"/>
    <s v="slow"/>
  </r>
  <r>
    <x v="530"/>
    <x v="8"/>
    <x v="2"/>
    <x v="0"/>
    <d v="2023-11-13T00:00:00"/>
    <d v="2023-11-18T00:00:00"/>
    <n v="5.5"/>
    <n v="248.81"/>
    <s v="Delivered"/>
    <n v="1769"/>
    <n v="5"/>
    <x v="0"/>
    <n v="0.14065008479366875"/>
    <s v="slow"/>
  </r>
  <r>
    <x v="531"/>
    <x v="6"/>
    <x v="9"/>
    <x v="4"/>
    <d v="2023-10-04T00:00:00"/>
    <d v="2023-10-07T00:00:00"/>
    <n v="37.9"/>
    <n v="186.54"/>
    <s v="Delivered"/>
    <n v="1126"/>
    <n v="3"/>
    <x v="0"/>
    <n v="0.16566607460035523"/>
    <s v="fast"/>
  </r>
  <r>
    <x v="532"/>
    <x v="1"/>
    <x v="12"/>
    <x v="5"/>
    <d v="2023-07-15T00:00:00"/>
    <d v="2023-07-20T00:00:00"/>
    <n v="36.4"/>
    <n v="257.54000000000002"/>
    <s v="Delivered"/>
    <n v="1685"/>
    <n v="5"/>
    <x v="0"/>
    <n v="0.15284272997032641"/>
    <s v="slow"/>
  </r>
  <r>
    <x v="533"/>
    <x v="4"/>
    <x v="4"/>
    <x v="2"/>
    <d v="2023-03-01T00:00:00"/>
    <d v="2023-03-06T00:00:00"/>
    <n v="31.4"/>
    <n v="130.31"/>
    <s v="Delivered"/>
    <n v="838"/>
    <n v="5"/>
    <x v="0"/>
    <n v="0.15550119331742243"/>
    <s v="slow"/>
  </r>
  <r>
    <x v="534"/>
    <x v="4"/>
    <x v="11"/>
    <x v="2"/>
    <d v="2023-03-03T00:00:00"/>
    <d v="2023-03-09T00:00:00"/>
    <n v="13.3"/>
    <n v="236.71"/>
    <s v="In Transit"/>
    <n v="2025"/>
    <n v="6"/>
    <x v="0"/>
    <n v="0.11689382716049383"/>
    <s v="slow"/>
  </r>
  <r>
    <x v="535"/>
    <x v="8"/>
    <x v="3"/>
    <x v="5"/>
    <d v="2023-04-13T00:00:00"/>
    <d v="2023-04-14T00:00:00"/>
    <n v="15.4"/>
    <n v="33.51"/>
    <s v="Delivered"/>
    <n v="121"/>
    <n v="1"/>
    <x v="0"/>
    <n v="0.27694214876033058"/>
    <s v="fast"/>
  </r>
  <r>
    <x v="536"/>
    <x v="8"/>
    <x v="8"/>
    <x v="3"/>
    <d v="2023-03-25T00:00:00"/>
    <d v="2023-04-08T00:00:00"/>
    <n v="11.1"/>
    <n v="113.5"/>
    <s v="Delayed"/>
    <n v="790"/>
    <n v="4"/>
    <x v="1"/>
    <n v="0.14367088607594936"/>
    <s v="not applicabel"/>
  </r>
  <r>
    <x v="537"/>
    <x v="4"/>
    <x v="2"/>
    <x v="5"/>
    <d v="2023-04-14T00:00:00"/>
    <d v="2023-04-17T00:00:00"/>
    <n v="51.4"/>
    <n v="143.25"/>
    <s v="Delivered"/>
    <n v="582"/>
    <n v="3"/>
    <x v="0"/>
    <n v="0.24613402061855671"/>
    <s v="fast"/>
  </r>
  <r>
    <x v="538"/>
    <x v="4"/>
    <x v="5"/>
    <x v="5"/>
    <d v="2023-05-17T00:00:00"/>
    <d v="2023-05-18T00:00:00"/>
    <n v="55.6"/>
    <n v="101.32"/>
    <s v="Delivered"/>
    <n v="357"/>
    <n v="1"/>
    <x v="0"/>
    <n v="0.28380952380952379"/>
    <s v="fast"/>
  </r>
  <r>
    <x v="539"/>
    <x v="3"/>
    <x v="4"/>
    <x v="4"/>
    <d v="2023-03-14T00:00:00"/>
    <d v="2023-03-18T00:00:00"/>
    <n v="30.9"/>
    <n v="151.63"/>
    <s v="Delivered"/>
    <n v="961"/>
    <n v="4"/>
    <x v="0"/>
    <n v="0.15778355879292402"/>
    <s v="fast"/>
  </r>
  <r>
    <x v="540"/>
    <x v="6"/>
    <x v="11"/>
    <x v="3"/>
    <d v="2023-06-16T00:00:00"/>
    <d v="2023-06-23T00:00:00"/>
    <n v="5.4"/>
    <n v="187.36"/>
    <s v="Delivered"/>
    <n v="1292"/>
    <n v="7"/>
    <x v="0"/>
    <n v="0.14501547987616101"/>
    <s v="slow"/>
  </r>
  <r>
    <x v="541"/>
    <x v="0"/>
    <x v="13"/>
    <x v="3"/>
    <d v="2023-04-20T00:00:00"/>
    <d v="2023-04-21T00:00:00"/>
    <n v="35.4"/>
    <n v="88.87"/>
    <s v="Delivered"/>
    <n v="320"/>
    <n v="1"/>
    <x v="0"/>
    <n v="0.27771875000000001"/>
    <s v="fast"/>
  </r>
  <r>
    <x v="542"/>
    <x v="0"/>
    <x v="1"/>
    <x v="4"/>
    <d v="2023-01-08T00:00:00"/>
    <d v="2023-01-11T00:00:00"/>
    <n v="42.8"/>
    <m/>
    <s v="Delivered"/>
    <n v="900"/>
    <n v="3"/>
    <x v="0"/>
    <n v="0"/>
    <s v="fast"/>
  </r>
  <r>
    <x v="543"/>
    <x v="7"/>
    <x v="3"/>
    <x v="5"/>
    <d v="2023-09-23T00:00:00"/>
    <d v="2023-09-28T00:00:00"/>
    <n v="27.5"/>
    <n v="227.05"/>
    <s v="Delivered"/>
    <n v="1611"/>
    <n v="5"/>
    <x v="0"/>
    <n v="0.14093730602110491"/>
    <s v="slow"/>
  </r>
  <r>
    <x v="544"/>
    <x v="4"/>
    <x v="10"/>
    <x v="5"/>
    <d v="2023-10-14T00:00:00"/>
    <d v="2023-10-19T00:00:00"/>
    <n v="22.8"/>
    <n v="184.9"/>
    <s v="Delivered"/>
    <n v="1288"/>
    <n v="5"/>
    <x v="0"/>
    <n v="0.143555900621118"/>
    <s v="slow"/>
  </r>
  <r>
    <x v="545"/>
    <x v="3"/>
    <x v="6"/>
    <x v="3"/>
    <d v="2023-01-19T00:00:00"/>
    <d v="2023-01-23T00:00:00"/>
    <n v="21.7"/>
    <n v="139.26"/>
    <s v="Delivered"/>
    <n v="896"/>
    <n v="4"/>
    <x v="0"/>
    <n v="0.15542410714285712"/>
    <s v="fast"/>
  </r>
  <r>
    <x v="546"/>
    <x v="1"/>
    <x v="9"/>
    <x v="0"/>
    <d v="2023-06-25T00:00:00"/>
    <d v="2023-07-02T00:00:00"/>
    <n v="37"/>
    <n v="208.58"/>
    <s v="Delivered"/>
    <n v="1452"/>
    <n v="7"/>
    <x v="0"/>
    <n v="0.14365013774104685"/>
    <s v="slow"/>
  </r>
  <r>
    <x v="547"/>
    <x v="3"/>
    <x v="4"/>
    <x v="0"/>
    <d v="2023-05-04T00:00:00"/>
    <d v="2023-05-06T00:00:00"/>
    <n v="20.100000000000001"/>
    <n v="50.48"/>
    <s v="In Transit"/>
    <n v="210"/>
    <n v="2"/>
    <x v="0"/>
    <n v="0.24038095238095236"/>
    <s v="fast"/>
  </r>
  <r>
    <x v="548"/>
    <x v="5"/>
    <x v="6"/>
    <x v="3"/>
    <d v="2023-01-12T00:00:00"/>
    <d v="2023-01-14T00:00:00"/>
    <n v="20.8"/>
    <n v="74.77"/>
    <s v="Delivered"/>
    <n v="389"/>
    <n v="2"/>
    <x v="0"/>
    <n v="0.1922107969151671"/>
    <s v="fast"/>
  </r>
  <r>
    <x v="549"/>
    <x v="1"/>
    <x v="5"/>
    <x v="6"/>
    <d v="2023-04-02T00:00:00"/>
    <d v="2023-04-04T00:00:00"/>
    <n v="7.4"/>
    <n v="88.25"/>
    <s v="Returned"/>
    <n v="643"/>
    <n v="2"/>
    <x v="3"/>
    <n v="0.13724727838258166"/>
    <s v="not applicabel"/>
  </r>
  <r>
    <x v="550"/>
    <x v="4"/>
    <x v="9"/>
    <x v="6"/>
    <d v="2023-08-27T00:00:00"/>
    <d v="2023-08-29T00:00:00"/>
    <n v="21.4"/>
    <n v="109.1"/>
    <s v="Delivered"/>
    <n v="838"/>
    <n v="2"/>
    <x v="0"/>
    <n v="0.1301909307875895"/>
    <s v="fast"/>
  </r>
  <r>
    <x v="551"/>
    <x v="9"/>
    <x v="7"/>
    <x v="3"/>
    <d v="2023-05-12T00:00:00"/>
    <d v="2023-05-16T00:00:00"/>
    <n v="20.3"/>
    <n v="228.9"/>
    <s v="Delivered"/>
    <n v="1383"/>
    <n v="4"/>
    <x v="0"/>
    <n v="0.16550976138828633"/>
    <s v="fast"/>
  </r>
  <r>
    <x v="552"/>
    <x v="0"/>
    <x v="5"/>
    <x v="0"/>
    <d v="2023-05-08T00:00:00"/>
    <d v="2023-05-11T00:00:00"/>
    <n v="12.6"/>
    <n v="32.18"/>
    <s v="Delivered"/>
    <n v="121"/>
    <n v="3"/>
    <x v="0"/>
    <n v="0.2659504132231405"/>
    <s v="fast"/>
  </r>
  <r>
    <x v="553"/>
    <x v="9"/>
    <x v="1"/>
    <x v="1"/>
    <d v="2023-11-21T00:00:00"/>
    <d v="2023-11-30T00:00:00"/>
    <n v="17.5"/>
    <n v="402.56"/>
    <s v="Delivered"/>
    <n v="2146"/>
    <n v="9"/>
    <x v="0"/>
    <n v="0.18758620689655173"/>
    <s v="slow"/>
  </r>
  <r>
    <x v="554"/>
    <x v="1"/>
    <x v="9"/>
    <x v="5"/>
    <d v="2023-11-27T00:00:00"/>
    <d v="2023-11-28T00:00:00"/>
    <n v="33"/>
    <n v="73.97"/>
    <s v="Delivered"/>
    <n v="223"/>
    <n v="1"/>
    <x v="0"/>
    <n v="0.33170403587443947"/>
    <s v="fast"/>
  </r>
  <r>
    <x v="555"/>
    <x v="0"/>
    <x v="9"/>
    <x v="6"/>
    <d v="2023-07-15T00:00:00"/>
    <d v="2023-07-18T00:00:00"/>
    <n v="69.3"/>
    <n v="244.01"/>
    <s v="In Transit"/>
    <n v="1337"/>
    <n v="3"/>
    <x v="0"/>
    <n v="0.1825056095736724"/>
    <s v="fast"/>
  </r>
  <r>
    <x v="556"/>
    <x v="6"/>
    <x v="12"/>
    <x v="1"/>
    <d v="2023-09-15T00:00:00"/>
    <d v="2023-09-20T00:00:00"/>
    <n v="10.8"/>
    <n v="200.6"/>
    <s v="Delivered"/>
    <n v="1255"/>
    <n v="5"/>
    <x v="0"/>
    <n v="0.15984063745019919"/>
    <s v="slow"/>
  </r>
  <r>
    <x v="557"/>
    <x v="2"/>
    <x v="10"/>
    <x v="6"/>
    <d v="2023-08-21T00:00:00"/>
    <d v="2023-08-25T00:00:00"/>
    <n v="12.9"/>
    <n v="101.44"/>
    <s v="In Transit"/>
    <n v="825"/>
    <n v="4"/>
    <x v="0"/>
    <n v="0.12295757575757575"/>
    <s v="fast"/>
  </r>
  <r>
    <x v="558"/>
    <x v="3"/>
    <x v="12"/>
    <x v="6"/>
    <d v="2023-09-10T00:00:00"/>
    <d v="2023-09-14T00:00:00"/>
    <n v="23.6"/>
    <n v="229.43"/>
    <s v="Delivered"/>
    <n v="1852"/>
    <n v="4"/>
    <x v="0"/>
    <n v="0.12388228941684666"/>
    <s v="fast"/>
  </r>
  <r>
    <x v="559"/>
    <x v="3"/>
    <x v="4"/>
    <x v="3"/>
    <d v="2023-12-21T00:00:00"/>
    <d v="2023-12-25T00:00:00"/>
    <n v="41"/>
    <n v="324.91000000000003"/>
    <s v="Returned"/>
    <n v="1764"/>
    <n v="4"/>
    <x v="3"/>
    <n v="0.18418934240362814"/>
    <s v="not applicabel"/>
  </r>
  <r>
    <x v="560"/>
    <x v="0"/>
    <x v="10"/>
    <x v="4"/>
    <d v="2023-07-16T00:00:00"/>
    <d v="2023-07-19T00:00:00"/>
    <n v="19.5"/>
    <n v="114.24"/>
    <s v="Delivered"/>
    <n v="713"/>
    <n v="3"/>
    <x v="0"/>
    <n v="0.16022440392706871"/>
    <s v="fast"/>
  </r>
  <r>
    <x v="561"/>
    <x v="1"/>
    <x v="8"/>
    <x v="0"/>
    <d v="2023-03-24T00:00:00"/>
    <d v="2023-03-29T00:00:00"/>
    <n v="17.8"/>
    <n v="235.64"/>
    <s v="Delivered"/>
    <n v="1898"/>
    <n v="5"/>
    <x v="0"/>
    <n v="0.12415173867228661"/>
    <s v="slow"/>
  </r>
  <r>
    <x v="562"/>
    <x v="5"/>
    <x v="0"/>
    <x v="5"/>
    <d v="2023-02-24T00:00:00"/>
    <d v="2023-02-27T00:00:00"/>
    <n v="67.5"/>
    <n v="220.77"/>
    <s v="Delivered"/>
    <n v="1083"/>
    <n v="3"/>
    <x v="0"/>
    <n v="0.20385041551246538"/>
    <s v="fast"/>
  </r>
  <r>
    <x v="563"/>
    <x v="9"/>
    <x v="6"/>
    <x v="3"/>
    <d v="2023-12-09T00:00:00"/>
    <d v="2023-12-13T00:00:00"/>
    <n v="17.7"/>
    <n v="320.45"/>
    <s v="Delivered"/>
    <n v="1681"/>
    <n v="4"/>
    <x v="0"/>
    <n v="0.19063057703747768"/>
    <s v="fast"/>
  </r>
  <r>
    <x v="564"/>
    <x v="4"/>
    <x v="11"/>
    <x v="6"/>
    <d v="2023-11-19T00:00:00"/>
    <d v="2023-11-22T00:00:00"/>
    <n v="23.2"/>
    <n v="208.01"/>
    <s v="Delivered"/>
    <n v="1256"/>
    <n v="3"/>
    <x v="0"/>
    <n v="0.16561305732484075"/>
    <s v="fast"/>
  </r>
  <r>
    <x v="565"/>
    <x v="2"/>
    <x v="13"/>
    <x v="0"/>
    <d v="2023-06-15T00:00:00"/>
    <d v="2023-06-22T00:00:00"/>
    <n v="17.2"/>
    <n v="251.79"/>
    <s v="Delivered"/>
    <n v="1984"/>
    <n v="7"/>
    <x v="0"/>
    <n v="0.1269102822580645"/>
    <s v="slow"/>
  </r>
  <r>
    <x v="566"/>
    <x v="0"/>
    <x v="10"/>
    <x v="6"/>
    <d v="2023-11-29T00:00:00"/>
    <d v="2023-12-07T00:00:00"/>
    <n v="61.6"/>
    <n v="384.1"/>
    <s v="Delivered"/>
    <n v="2445"/>
    <n v="8"/>
    <x v="0"/>
    <n v="0.1570961145194274"/>
    <s v="slow"/>
  </r>
  <r>
    <x v="567"/>
    <x v="5"/>
    <x v="11"/>
    <x v="2"/>
    <d v="2023-07-13T00:00:00"/>
    <d v="2023-07-17T00:00:00"/>
    <n v="25.3"/>
    <n v="191.72"/>
    <s v="Delivered"/>
    <n v="1350"/>
    <n v="4"/>
    <x v="0"/>
    <n v="0.14201481481481482"/>
    <s v="fast"/>
  </r>
  <r>
    <x v="568"/>
    <x v="1"/>
    <x v="2"/>
    <x v="5"/>
    <d v="2023-03-13T00:00:00"/>
    <d v="2023-03-23T00:00:00"/>
    <n v="45.8"/>
    <n v="313.91000000000003"/>
    <s v="Delayed"/>
    <n v="2318"/>
    <n v="7"/>
    <x v="1"/>
    <n v="0.13542277825711821"/>
    <s v="not applicabel"/>
  </r>
  <r>
    <x v="569"/>
    <x v="1"/>
    <x v="11"/>
    <x v="2"/>
    <d v="2023-04-19T00:00:00"/>
    <d v="2023-04-26T00:00:00"/>
    <n v="28.4"/>
    <n v="304.14999999999998"/>
    <s v="Delivered"/>
    <n v="2243"/>
    <n v="7"/>
    <x v="0"/>
    <n v="0.13559964333481944"/>
    <s v="slow"/>
  </r>
  <r>
    <x v="570"/>
    <x v="0"/>
    <x v="8"/>
    <x v="0"/>
    <d v="2023-07-24T00:00:00"/>
    <d v="2023-07-31T00:00:00"/>
    <n v="31.7"/>
    <n v="333.27"/>
    <s v="Delivered"/>
    <n v="2201"/>
    <n v="7"/>
    <x v="0"/>
    <n v="0.15141753748296227"/>
    <s v="slow"/>
  </r>
  <r>
    <x v="571"/>
    <x v="0"/>
    <x v="9"/>
    <x v="1"/>
    <d v="2023-04-29T00:00:00"/>
    <d v="2023-05-06T00:00:00"/>
    <n v="33.700000000000003"/>
    <n v="363.72"/>
    <s v="Delivered"/>
    <n v="2255"/>
    <n v="7"/>
    <x v="0"/>
    <n v="0.16129490022172951"/>
    <s v="slow"/>
  </r>
  <r>
    <x v="572"/>
    <x v="3"/>
    <x v="1"/>
    <x v="0"/>
    <d v="2023-05-13T00:00:00"/>
    <d v="2023-05-22T00:00:00"/>
    <n v="58.4"/>
    <n v="196.37"/>
    <s v="Delivered"/>
    <n v="962"/>
    <n v="9"/>
    <x v="0"/>
    <n v="0.20412681912681913"/>
    <s v="slow"/>
  </r>
  <r>
    <x v="573"/>
    <x v="3"/>
    <x v="11"/>
    <x v="5"/>
    <d v="2023-06-30T00:00:00"/>
    <d v="2023-07-04T00:00:00"/>
    <n v="28.7"/>
    <n v="255.28"/>
    <s v="In Transit"/>
    <n v="1681"/>
    <n v="4"/>
    <x v="0"/>
    <n v="0.15186198691255207"/>
    <s v="fast"/>
  </r>
  <r>
    <x v="574"/>
    <x v="5"/>
    <x v="7"/>
    <x v="5"/>
    <d v="2023-05-16T00:00:00"/>
    <d v="2023-05-17T00:00:00"/>
    <n v="37.4"/>
    <n v="72.510000000000005"/>
    <s v="Delivered"/>
    <n v="283"/>
    <n v="1"/>
    <x v="0"/>
    <n v="0.25621908127208481"/>
    <s v="fast"/>
  </r>
  <r>
    <x v="575"/>
    <x v="3"/>
    <x v="9"/>
    <x v="6"/>
    <d v="2023-08-28T00:00:00"/>
    <d v="2023-08-31T00:00:00"/>
    <n v="26.9"/>
    <n v="103.85"/>
    <s v="Delivered"/>
    <n v="640"/>
    <n v="3"/>
    <x v="0"/>
    <n v="0.162265625"/>
    <s v="fast"/>
  </r>
  <r>
    <x v="576"/>
    <x v="5"/>
    <x v="10"/>
    <x v="2"/>
    <d v="2023-10-18T00:00:00"/>
    <d v="2023-10-24T00:00:00"/>
    <n v="27.8"/>
    <n v="294.98"/>
    <s v="Delivered"/>
    <n v="2409"/>
    <n v="6"/>
    <x v="0"/>
    <n v="0.1224491490244915"/>
    <s v="slow"/>
  </r>
  <r>
    <x v="577"/>
    <x v="4"/>
    <x v="0"/>
    <x v="3"/>
    <d v="2023-11-18T00:00:00"/>
    <d v="2023-11-22T00:00:00"/>
    <n v="23.3"/>
    <n v="228.28"/>
    <s v="Lost"/>
    <n v="1203"/>
    <n v="4"/>
    <x v="2"/>
    <n v="0.18975893599334995"/>
    <s v="not applicabel"/>
  </r>
  <r>
    <x v="578"/>
    <x v="5"/>
    <x v="1"/>
    <x v="4"/>
    <d v="2023-04-03T00:00:00"/>
    <d v="2023-04-04T00:00:00"/>
    <n v="17.899999999999999"/>
    <n v="45.26"/>
    <s v="Delivered"/>
    <n v="231"/>
    <n v="1"/>
    <x v="0"/>
    <n v="0.19593073593073593"/>
    <s v="fast"/>
  </r>
  <r>
    <x v="579"/>
    <x v="4"/>
    <x v="11"/>
    <x v="5"/>
    <d v="2023-09-12T00:00:00"/>
    <d v="2023-09-26T00:00:00"/>
    <n v="32.5"/>
    <n v="308.35000000000002"/>
    <s v="Delayed"/>
    <n v="2136"/>
    <n v="5"/>
    <x v="1"/>
    <n v="0.14435861423220975"/>
    <s v="not applicabel"/>
  </r>
  <r>
    <x v="580"/>
    <x v="7"/>
    <x v="6"/>
    <x v="2"/>
    <d v="2023-03-04T00:00:00"/>
    <d v="2023-03-08T00:00:00"/>
    <n v="19.8"/>
    <n v="265.39999999999998"/>
    <s v="Delivered"/>
    <n v="1886"/>
    <n v="4"/>
    <x v="0"/>
    <n v="0.14072110286320252"/>
    <s v="fast"/>
  </r>
  <r>
    <x v="581"/>
    <x v="0"/>
    <x v="8"/>
    <x v="3"/>
    <d v="2023-01-20T00:00:00"/>
    <d v="2023-01-30T00:00:00"/>
    <n v="11.9"/>
    <n v="287.05"/>
    <s v="Delivered"/>
    <n v="1896"/>
    <n v="10"/>
    <x v="0"/>
    <n v="0.15139767932489451"/>
    <s v="slow"/>
  </r>
  <r>
    <x v="582"/>
    <x v="5"/>
    <x v="12"/>
    <x v="5"/>
    <d v="2023-10-11T00:00:00"/>
    <d v="2023-10-16T00:00:00"/>
    <n v="108.6"/>
    <n v="221.52"/>
    <s v="Delivered"/>
    <n v="1869"/>
    <n v="5"/>
    <x v="0"/>
    <n v="0.11852327447833066"/>
    <s v="slow"/>
  </r>
  <r>
    <x v="583"/>
    <x v="5"/>
    <x v="0"/>
    <x v="3"/>
    <d v="2023-06-04T00:00:00"/>
    <d v="2023-06-07T00:00:00"/>
    <n v="15.9"/>
    <n v="200.58"/>
    <s v="Delivered"/>
    <n v="1412"/>
    <n v="3"/>
    <x v="0"/>
    <n v="0.14205382436260625"/>
    <s v="fast"/>
  </r>
  <r>
    <x v="584"/>
    <x v="4"/>
    <x v="8"/>
    <x v="1"/>
    <d v="2023-06-04T00:00:00"/>
    <d v="2023-06-07T00:00:00"/>
    <n v="19.8"/>
    <n v="44"/>
    <s v="Delivered"/>
    <n v="110"/>
    <n v="3"/>
    <x v="0"/>
    <n v="0.4"/>
    <s v="fast"/>
  </r>
  <r>
    <x v="585"/>
    <x v="6"/>
    <x v="11"/>
    <x v="5"/>
    <d v="2023-02-05T00:00:00"/>
    <d v="2023-02-07T00:00:00"/>
    <n v="14.6"/>
    <n v="107.88"/>
    <s v="Delivered"/>
    <n v="682"/>
    <n v="2"/>
    <x v="0"/>
    <n v="0.15818181818181817"/>
    <s v="fast"/>
  </r>
  <r>
    <x v="586"/>
    <x v="9"/>
    <x v="0"/>
    <x v="2"/>
    <d v="2023-03-01T00:00:00"/>
    <d v="2023-03-07T00:00:00"/>
    <n v="46.5"/>
    <n v="334.7"/>
    <s v="Delivered"/>
    <n v="2264"/>
    <n v="6"/>
    <x v="0"/>
    <n v="0.14783568904593639"/>
    <s v="slow"/>
  </r>
  <r>
    <x v="587"/>
    <x v="5"/>
    <x v="9"/>
    <x v="0"/>
    <d v="2023-11-15T00:00:00"/>
    <d v="2023-11-18T00:00:00"/>
    <n v="43.9"/>
    <n v="133.41"/>
    <s v="Delivered"/>
    <n v="413"/>
    <n v="3"/>
    <x v="0"/>
    <n v="0.32302663438256657"/>
    <s v="fast"/>
  </r>
  <r>
    <x v="588"/>
    <x v="0"/>
    <x v="3"/>
    <x v="4"/>
    <d v="2023-05-26T00:00:00"/>
    <d v="2023-06-09T00:00:00"/>
    <n v="17.5"/>
    <n v="144.25"/>
    <s v="Delayed"/>
    <n v="1003"/>
    <n v="3"/>
    <x v="1"/>
    <n v="0.14381854436689931"/>
    <s v="not applicabel"/>
  </r>
  <r>
    <x v="589"/>
    <x v="3"/>
    <x v="2"/>
    <x v="2"/>
    <d v="2023-07-29T00:00:00"/>
    <d v="2023-08-01T00:00:00"/>
    <n v="82.9"/>
    <n v="189.53"/>
    <s v="Delivered"/>
    <n v="893"/>
    <n v="3"/>
    <x v="0"/>
    <n v="0.21223964165733483"/>
    <s v="fast"/>
  </r>
  <r>
    <x v="590"/>
    <x v="6"/>
    <x v="9"/>
    <x v="1"/>
    <d v="2023-05-23T00:00:00"/>
    <d v="2023-06-04T00:00:00"/>
    <n v="16.2"/>
    <n v="219.44"/>
    <s v="Delayed"/>
    <n v="1509"/>
    <n v="4"/>
    <x v="1"/>
    <n v="0.14542080848243871"/>
    <s v="not applicabel"/>
  </r>
  <r>
    <x v="591"/>
    <x v="2"/>
    <x v="3"/>
    <x v="1"/>
    <d v="2023-07-12T00:00:00"/>
    <d v="2023-07-25T00:00:00"/>
    <n v="17.100000000000001"/>
    <n v="265.04000000000002"/>
    <s v="Delayed"/>
    <n v="1749"/>
    <n v="5"/>
    <x v="1"/>
    <n v="0.15153802172670097"/>
    <s v="not applicabel"/>
  </r>
  <r>
    <x v="592"/>
    <x v="0"/>
    <x v="13"/>
    <x v="2"/>
    <d v="2023-06-14T00:00:00"/>
    <d v="2023-06-15T00:00:00"/>
    <n v="9.4"/>
    <n v="59.03"/>
    <s v="Delivered"/>
    <n v="377"/>
    <n v="1"/>
    <x v="0"/>
    <n v="0.15657824933687003"/>
    <s v="fast"/>
  </r>
  <r>
    <x v="593"/>
    <x v="3"/>
    <x v="10"/>
    <x v="3"/>
    <d v="2023-10-21T00:00:00"/>
    <d v="2023-10-26T00:00:00"/>
    <n v="15.3"/>
    <n v="343.33"/>
    <s v="Delivered"/>
    <n v="2483"/>
    <n v="5"/>
    <x v="0"/>
    <n v="0.13827225130890053"/>
    <s v="slow"/>
  </r>
  <r>
    <x v="594"/>
    <x v="7"/>
    <x v="3"/>
    <x v="2"/>
    <d v="2023-03-10T00:00:00"/>
    <d v="2023-03-24T00:00:00"/>
    <n v="17.399999999999999"/>
    <n v="231.71"/>
    <s v="Delayed"/>
    <n v="1606"/>
    <n v="5"/>
    <x v="1"/>
    <n v="0.14427770859277708"/>
    <s v="not applicabel"/>
  </r>
  <r>
    <x v="595"/>
    <x v="8"/>
    <x v="1"/>
    <x v="2"/>
    <d v="2023-07-25T00:00:00"/>
    <d v="2023-07-30T00:00:00"/>
    <n v="11.8"/>
    <n v="119.5"/>
    <s v="Delivered"/>
    <n v="870"/>
    <n v="5"/>
    <x v="0"/>
    <n v="0.13735632183908045"/>
    <s v="slow"/>
  </r>
  <r>
    <x v="596"/>
    <x v="4"/>
    <x v="0"/>
    <x v="0"/>
    <d v="2023-12-08T00:00:00"/>
    <d v="2023-12-13T00:00:00"/>
    <n v="56.8"/>
    <n v="315.36"/>
    <s v="Delivered"/>
    <n v="1705"/>
    <n v="5"/>
    <x v="0"/>
    <n v="0.1849618768328446"/>
    <s v="slow"/>
  </r>
  <r>
    <x v="597"/>
    <x v="7"/>
    <x v="1"/>
    <x v="0"/>
    <d v="2023-06-19T00:00:00"/>
    <m/>
    <n v="28.5"/>
    <n v="77.760000000000005"/>
    <s v="Delivered"/>
    <n v="290"/>
    <n v="2"/>
    <x v="4"/>
    <n v="0.2681379310344828"/>
    <s v="not applicabel"/>
  </r>
  <r>
    <x v="598"/>
    <x v="9"/>
    <x v="4"/>
    <x v="4"/>
    <d v="2023-05-22T00:00:00"/>
    <d v="2023-05-26T00:00:00"/>
    <n v="14.6"/>
    <n v="187.56"/>
    <s v="Delivered"/>
    <n v="1525"/>
    <n v="4"/>
    <x v="0"/>
    <n v="0.12299016393442623"/>
    <s v="fast"/>
  </r>
  <r>
    <x v="599"/>
    <x v="0"/>
    <x v="10"/>
    <x v="1"/>
    <d v="2023-06-23T00:00:00"/>
    <d v="2023-06-26T00:00:00"/>
    <n v="9.9"/>
    <n v="180.22"/>
    <s v="Delivered"/>
    <n v="1178"/>
    <n v="3"/>
    <x v="0"/>
    <n v="0.15298811544991511"/>
    <s v="fast"/>
  </r>
  <r>
    <x v="600"/>
    <x v="3"/>
    <x v="2"/>
    <x v="3"/>
    <d v="2023-02-26T00:00:00"/>
    <d v="2023-03-02T00:00:00"/>
    <n v="45.7"/>
    <n v="247.43"/>
    <s v="Delivered"/>
    <n v="1612"/>
    <n v="4"/>
    <x v="0"/>
    <n v="0.1534925558312655"/>
    <s v="fast"/>
  </r>
  <r>
    <x v="601"/>
    <x v="1"/>
    <x v="5"/>
    <x v="4"/>
    <d v="2023-05-29T00:00:00"/>
    <d v="2023-06-04T00:00:00"/>
    <n v="19.899999999999999"/>
    <n v="316.02999999999997"/>
    <s v="Delivered"/>
    <n v="2488"/>
    <n v="6"/>
    <x v="0"/>
    <n v="0.12702170418006431"/>
    <s v="slow"/>
  </r>
  <r>
    <x v="602"/>
    <x v="6"/>
    <x v="4"/>
    <x v="4"/>
    <d v="2023-11-20T00:00:00"/>
    <d v="2023-11-30T00:00:00"/>
    <n v="10.5"/>
    <n v="325.38"/>
    <s v="Delivered"/>
    <n v="2144"/>
    <n v="10"/>
    <x v="0"/>
    <n v="0.15176305970149254"/>
    <s v="slow"/>
  </r>
  <r>
    <x v="603"/>
    <x v="8"/>
    <x v="4"/>
    <x v="3"/>
    <d v="2023-06-03T00:00:00"/>
    <d v="2023-06-06T00:00:00"/>
    <n v="4.2"/>
    <n v="45.59"/>
    <s v="Delivered"/>
    <n v="341"/>
    <n v="3"/>
    <x v="0"/>
    <n v="0.1336950146627566"/>
    <s v="fast"/>
  </r>
  <r>
    <x v="604"/>
    <x v="2"/>
    <x v="9"/>
    <x v="5"/>
    <d v="2023-02-17T00:00:00"/>
    <d v="2023-02-21T00:00:00"/>
    <n v="17.899999999999999"/>
    <n v="77.709999999999994"/>
    <s v="Delivered"/>
    <n v="484"/>
    <n v="4"/>
    <x v="0"/>
    <n v="0.1605578512396694"/>
    <s v="fast"/>
  </r>
  <r>
    <x v="605"/>
    <x v="7"/>
    <x v="7"/>
    <x v="1"/>
    <d v="2023-07-28T00:00:00"/>
    <d v="2023-08-02T00:00:00"/>
    <n v="6.9"/>
    <n v="218.92"/>
    <s v="Delivered"/>
    <n v="1461"/>
    <n v="5"/>
    <x v="0"/>
    <n v="0.1498425735797399"/>
    <s v="slow"/>
  </r>
  <r>
    <x v="606"/>
    <x v="1"/>
    <x v="8"/>
    <x v="4"/>
    <d v="2023-12-18T00:00:00"/>
    <d v="2023-12-23T00:00:00"/>
    <n v="29.7"/>
    <n v="149.52000000000001"/>
    <s v="Delivered"/>
    <n v="766"/>
    <n v="5"/>
    <x v="0"/>
    <n v="0.19519582245430811"/>
    <s v="slow"/>
  </r>
  <r>
    <x v="607"/>
    <x v="4"/>
    <x v="4"/>
    <x v="3"/>
    <d v="2023-06-05T00:00:00"/>
    <d v="2023-06-10T00:00:00"/>
    <n v="11.4"/>
    <n v="179.35"/>
    <s v="Delivered"/>
    <n v="1151"/>
    <n v="5"/>
    <x v="0"/>
    <n v="0.15582102519548219"/>
    <s v="slow"/>
  </r>
  <r>
    <x v="608"/>
    <x v="0"/>
    <x v="0"/>
    <x v="5"/>
    <d v="2023-07-26T00:00:00"/>
    <d v="2023-07-28T00:00:00"/>
    <n v="11"/>
    <n v="59.43"/>
    <s v="Delivered"/>
    <n v="412"/>
    <n v="2"/>
    <x v="0"/>
    <n v="0.14424757281553399"/>
    <s v="fast"/>
  </r>
  <r>
    <x v="609"/>
    <x v="0"/>
    <x v="4"/>
    <x v="4"/>
    <d v="2023-02-08T00:00:00"/>
    <d v="2023-02-12T00:00:00"/>
    <n v="19.7"/>
    <n v="254.01"/>
    <s v="Delivered"/>
    <n v="1858"/>
    <n v="4"/>
    <x v="0"/>
    <n v="0.13671151776103335"/>
    <s v="fast"/>
  </r>
  <r>
    <x v="610"/>
    <x v="6"/>
    <x v="0"/>
    <x v="5"/>
    <d v="2023-10-18T00:00:00"/>
    <d v="2023-11-03T00:00:00"/>
    <n v="24.2"/>
    <n v="284.17"/>
    <s v="Delayed"/>
    <n v="2188"/>
    <n v="5"/>
    <x v="1"/>
    <n v="0.12987659963436929"/>
    <s v="not applicabel"/>
  </r>
  <r>
    <x v="611"/>
    <x v="6"/>
    <x v="4"/>
    <x v="3"/>
    <d v="2023-09-07T00:00:00"/>
    <d v="2023-09-10T00:00:00"/>
    <n v="58.1"/>
    <n v="217.03"/>
    <s v="Delivered"/>
    <n v="1113"/>
    <n v="3"/>
    <x v="0"/>
    <n v="0.19499550763701706"/>
    <s v="fast"/>
  </r>
  <r>
    <x v="612"/>
    <x v="6"/>
    <x v="3"/>
    <x v="3"/>
    <d v="2023-11-11T00:00:00"/>
    <d v="2023-11-16T00:00:00"/>
    <n v="0.3"/>
    <n v="333.92"/>
    <s v="Delivered"/>
    <n v="1775"/>
    <n v="5"/>
    <x v="0"/>
    <n v="0.18812394366197183"/>
    <s v="slow"/>
  </r>
  <r>
    <x v="613"/>
    <x v="9"/>
    <x v="5"/>
    <x v="4"/>
    <d v="2023-10-26T00:00:00"/>
    <d v="2023-10-30T00:00:00"/>
    <n v="39"/>
    <n v="61.95"/>
    <s v="Delivered"/>
    <n v="109"/>
    <n v="4"/>
    <x v="0"/>
    <n v="0.56834862385321105"/>
    <s v="fast"/>
  </r>
  <r>
    <x v="614"/>
    <x v="5"/>
    <x v="14"/>
    <x v="0"/>
    <d v="2023-09-25T00:00:00"/>
    <d v="2023-09-29T00:00:00"/>
    <n v="16.5"/>
    <n v="143.91"/>
    <s v="Delivered"/>
    <n v="1000"/>
    <n v="4"/>
    <x v="0"/>
    <n v="0.14391000000000001"/>
    <s v="fast"/>
  </r>
  <r>
    <x v="615"/>
    <x v="4"/>
    <x v="6"/>
    <x v="0"/>
    <d v="2023-04-16T00:00:00"/>
    <d v="2023-04-22T00:00:00"/>
    <n v="12.9"/>
    <n v="56.83"/>
    <s v="Delayed"/>
    <n v="354"/>
    <n v="1"/>
    <x v="1"/>
    <n v="0.16053672316384179"/>
    <s v="not applicabel"/>
  </r>
  <r>
    <x v="616"/>
    <x v="4"/>
    <x v="11"/>
    <x v="3"/>
    <d v="2023-04-24T00:00:00"/>
    <d v="2023-04-26T00:00:00"/>
    <n v="11.5"/>
    <n v="114.38"/>
    <s v="Delivered"/>
    <n v="752"/>
    <n v="2"/>
    <x v="0"/>
    <n v="0.15210106382978722"/>
    <s v="fast"/>
  </r>
  <r>
    <x v="617"/>
    <x v="4"/>
    <x v="14"/>
    <x v="4"/>
    <d v="2023-09-26T00:00:00"/>
    <d v="2023-10-02T00:00:00"/>
    <n v="37.700000000000003"/>
    <n v="286.39999999999998"/>
    <s v="Delivered"/>
    <n v="2253"/>
    <n v="6"/>
    <x v="0"/>
    <n v="0.12711939636040834"/>
    <s v="slow"/>
  </r>
  <r>
    <x v="618"/>
    <x v="5"/>
    <x v="14"/>
    <x v="5"/>
    <d v="2023-06-17T00:00:00"/>
    <d v="2023-06-21T00:00:00"/>
    <n v="8.6"/>
    <n v="119.7"/>
    <s v="Delivered"/>
    <n v="1000"/>
    <n v="4"/>
    <x v="0"/>
    <n v="0.1197"/>
    <s v="fast"/>
  </r>
  <r>
    <x v="619"/>
    <x v="3"/>
    <x v="10"/>
    <x v="5"/>
    <d v="2023-12-16T00:00:00"/>
    <d v="2023-12-25T00:00:00"/>
    <n v="43.2"/>
    <n v="416.42"/>
    <s v="Delayed"/>
    <n v="2266"/>
    <n v="7"/>
    <x v="1"/>
    <n v="0.18376875551632835"/>
    <s v="not applicabel"/>
  </r>
  <r>
    <x v="620"/>
    <x v="4"/>
    <x v="12"/>
    <x v="1"/>
    <d v="2023-09-18T00:00:00"/>
    <d v="2023-09-27T00:00:00"/>
    <n v="51.8"/>
    <n v="201.57"/>
    <s v="Delayed"/>
    <n v="1014"/>
    <n v="3"/>
    <x v="1"/>
    <n v="0.1987869822485207"/>
    <s v="not applicabel"/>
  </r>
  <r>
    <x v="621"/>
    <x v="2"/>
    <x v="6"/>
    <x v="6"/>
    <d v="2023-11-14T00:00:00"/>
    <d v="2023-11-22T00:00:00"/>
    <n v="21.4"/>
    <n v="276.47000000000003"/>
    <s v="Delivered"/>
    <n v="1837"/>
    <n v="8"/>
    <x v="0"/>
    <n v="0.15050081654872074"/>
    <s v="slow"/>
  </r>
  <r>
    <x v="622"/>
    <x v="6"/>
    <x v="8"/>
    <x v="2"/>
    <d v="2023-02-17T00:00:00"/>
    <d v="2023-02-20T00:00:00"/>
    <n v="34.200000000000003"/>
    <n v="73.58"/>
    <s v="Delivered"/>
    <n v="264"/>
    <n v="3"/>
    <x v="0"/>
    <n v="0.27871212121212119"/>
    <s v="fast"/>
  </r>
  <r>
    <x v="623"/>
    <x v="1"/>
    <x v="7"/>
    <x v="3"/>
    <d v="2023-09-30T00:00:00"/>
    <d v="2023-10-03T00:00:00"/>
    <n v="27.8"/>
    <n v="172.58"/>
    <s v="Delivered"/>
    <n v="920"/>
    <n v="3"/>
    <x v="0"/>
    <n v="0.18758695652173915"/>
    <s v="fast"/>
  </r>
  <r>
    <x v="624"/>
    <x v="2"/>
    <x v="4"/>
    <x v="3"/>
    <d v="2023-04-05T00:00:00"/>
    <d v="2023-04-09T00:00:00"/>
    <n v="3.3"/>
    <n v="52.34"/>
    <s v="Delivered"/>
    <n v="385"/>
    <n v="4"/>
    <x v="0"/>
    <n v="0.13594805194805196"/>
    <s v="fast"/>
  </r>
  <r>
    <x v="625"/>
    <x v="5"/>
    <x v="0"/>
    <x v="1"/>
    <d v="2023-06-17T00:00:00"/>
    <d v="2023-06-21T00:00:00"/>
    <n v="22.5"/>
    <n v="252.88"/>
    <s v="Delivered"/>
    <n v="1650"/>
    <n v="4"/>
    <x v="0"/>
    <n v="0.15326060606060607"/>
    <s v="fast"/>
  </r>
  <r>
    <x v="626"/>
    <x v="0"/>
    <x v="12"/>
    <x v="2"/>
    <d v="2023-09-24T00:00:00"/>
    <d v="2023-09-30T00:00:00"/>
    <n v="16.3"/>
    <n v="274.14999999999998"/>
    <s v="Delivered"/>
    <n v="2133"/>
    <n v="6"/>
    <x v="0"/>
    <n v="0.12852789498359118"/>
    <s v="slow"/>
  </r>
  <r>
    <x v="627"/>
    <x v="3"/>
    <x v="0"/>
    <x v="3"/>
    <d v="2023-11-15T00:00:00"/>
    <d v="2023-11-20T00:00:00"/>
    <n v="7"/>
    <n v="194.75"/>
    <s v="In Transit"/>
    <n v="1191"/>
    <n v="5"/>
    <x v="0"/>
    <n v="0.16351805205709488"/>
    <s v="slow"/>
  </r>
  <r>
    <x v="628"/>
    <x v="1"/>
    <x v="11"/>
    <x v="6"/>
    <d v="2023-01-05T00:00:00"/>
    <d v="2023-01-08T00:00:00"/>
    <n v="27.1"/>
    <n v="133.41999999999999"/>
    <s v="Lost"/>
    <n v="836"/>
    <n v="3"/>
    <x v="2"/>
    <n v="0.15959330143540668"/>
    <s v="not applicabel"/>
  </r>
  <r>
    <x v="629"/>
    <x v="5"/>
    <x v="14"/>
    <x v="3"/>
    <d v="2023-10-04T00:00:00"/>
    <d v="2023-10-06T00:00:00"/>
    <n v="11.9"/>
    <n v="149.69999999999999"/>
    <s v="Delivered"/>
    <n v="1000"/>
    <n v="2"/>
    <x v="0"/>
    <n v="0.1497"/>
    <s v="fast"/>
  </r>
  <r>
    <x v="630"/>
    <x v="3"/>
    <x v="13"/>
    <x v="1"/>
    <d v="2023-08-12T00:00:00"/>
    <d v="2023-08-14T00:00:00"/>
    <n v="54.7"/>
    <n v="191.49"/>
    <s v="Delivered"/>
    <n v="723"/>
    <n v="2"/>
    <x v="0"/>
    <n v="0.26485477178423239"/>
    <s v="fast"/>
  </r>
  <r>
    <x v="631"/>
    <x v="0"/>
    <x v="13"/>
    <x v="3"/>
    <d v="2023-07-26T00:00:00"/>
    <d v="2023-08-01T00:00:00"/>
    <n v="26"/>
    <n v="304.66000000000003"/>
    <s v="Lost"/>
    <n v="1990"/>
    <n v="6"/>
    <x v="2"/>
    <n v="0.15309547738693469"/>
    <s v="not applicabel"/>
  </r>
  <r>
    <x v="632"/>
    <x v="2"/>
    <x v="12"/>
    <x v="0"/>
    <d v="2023-11-07T00:00:00"/>
    <d v="2023-11-09T00:00:00"/>
    <n v="6.9"/>
    <n v="107.24"/>
    <s v="Delivered"/>
    <n v="660"/>
    <n v="2"/>
    <x v="0"/>
    <n v="0.16248484848484848"/>
    <s v="fast"/>
  </r>
  <r>
    <x v="633"/>
    <x v="4"/>
    <x v="2"/>
    <x v="0"/>
    <d v="2023-07-21T00:00:00"/>
    <d v="2023-07-27T00:00:00"/>
    <n v="44.1"/>
    <n v="340.74"/>
    <s v="Delivered"/>
    <n v="2174"/>
    <n v="6"/>
    <x v="0"/>
    <n v="0.15673413063477462"/>
    <s v="slow"/>
  </r>
  <r>
    <x v="634"/>
    <x v="4"/>
    <x v="12"/>
    <x v="6"/>
    <d v="2023-08-03T00:00:00"/>
    <d v="2023-08-06T00:00:00"/>
    <n v="16.2"/>
    <n v="93.12"/>
    <s v="Delivered"/>
    <n v="651"/>
    <n v="3"/>
    <x v="0"/>
    <n v="0.14304147465437789"/>
    <s v="fast"/>
  </r>
  <r>
    <x v="635"/>
    <x v="5"/>
    <x v="14"/>
    <x v="3"/>
    <d v="2023-11-11T00:00:00"/>
    <d v="2023-11-14T00:00:00"/>
    <n v="65.2"/>
    <n v="264.64"/>
    <s v="Delivered"/>
    <n v="1000"/>
    <n v="3"/>
    <x v="0"/>
    <n v="0.26463999999999999"/>
    <s v="fast"/>
  </r>
  <r>
    <x v="636"/>
    <x v="5"/>
    <x v="12"/>
    <x v="1"/>
    <d v="2023-05-18T00:00:00"/>
    <m/>
    <n v="8"/>
    <n v="164.55"/>
    <s v="Delivered"/>
    <n v="1019"/>
    <n v="3"/>
    <x v="4"/>
    <n v="0.16148184494602552"/>
    <s v="not applicabel"/>
  </r>
  <r>
    <x v="637"/>
    <x v="9"/>
    <x v="9"/>
    <x v="5"/>
    <d v="2023-05-18T00:00:00"/>
    <d v="2023-05-20T00:00:00"/>
    <n v="29.9"/>
    <n v="95.19"/>
    <s v="Delivered"/>
    <n v="508"/>
    <n v="2"/>
    <x v="0"/>
    <n v="0.18738188976377954"/>
    <s v="fast"/>
  </r>
  <r>
    <x v="638"/>
    <x v="5"/>
    <x v="2"/>
    <x v="5"/>
    <d v="2023-05-31T00:00:00"/>
    <d v="2023-06-06T00:00:00"/>
    <n v="22.5"/>
    <n v="304.07"/>
    <s v="Delivered"/>
    <n v="2165"/>
    <n v="6"/>
    <x v="0"/>
    <n v="0.14044803695150115"/>
    <s v="slow"/>
  </r>
  <r>
    <x v="639"/>
    <x v="6"/>
    <x v="6"/>
    <x v="6"/>
    <d v="2023-09-25T00:00:00"/>
    <d v="2023-09-30T00:00:00"/>
    <n v="27.2"/>
    <n v="158.38"/>
    <s v="Delivered"/>
    <n v="1038"/>
    <n v="5"/>
    <x v="0"/>
    <n v="0.15258188824662813"/>
    <s v="slow"/>
  </r>
  <r>
    <x v="640"/>
    <x v="6"/>
    <x v="12"/>
    <x v="0"/>
    <d v="2023-02-22T00:00:00"/>
    <m/>
    <n v="27.7"/>
    <n v="129.49"/>
    <s v="Delivered"/>
    <n v="730"/>
    <n v="3"/>
    <x v="4"/>
    <n v="0.17738356164383562"/>
    <s v="not applicabel"/>
  </r>
  <r>
    <x v="641"/>
    <x v="3"/>
    <x v="13"/>
    <x v="4"/>
    <d v="2023-03-19T00:00:00"/>
    <d v="2023-03-26T00:00:00"/>
    <n v="37.700000000000003"/>
    <n v="339.21"/>
    <s v="Delivered"/>
    <n v="2201"/>
    <n v="7"/>
    <x v="0"/>
    <n v="0.1541163107678328"/>
    <s v="slow"/>
  </r>
  <r>
    <x v="642"/>
    <x v="9"/>
    <x v="7"/>
    <x v="3"/>
    <d v="2023-03-20T00:00:00"/>
    <d v="2023-03-25T00:00:00"/>
    <n v="10.199999999999999"/>
    <n v="265.14999999999998"/>
    <s v="Delivered"/>
    <n v="1808"/>
    <n v="5"/>
    <x v="0"/>
    <n v="0.14665376106194689"/>
    <s v="slow"/>
  </r>
  <r>
    <x v="643"/>
    <x v="7"/>
    <x v="10"/>
    <x v="2"/>
    <d v="2023-10-03T00:00:00"/>
    <d v="2023-10-05T00:00:00"/>
    <n v="10.199999999999999"/>
    <n v="79.739999999999995"/>
    <s v="Delivered"/>
    <n v="553"/>
    <n v="2"/>
    <x v="0"/>
    <n v="0.14419529837251355"/>
    <s v="fast"/>
  </r>
  <r>
    <x v="644"/>
    <x v="7"/>
    <x v="5"/>
    <x v="1"/>
    <d v="2023-03-18T00:00:00"/>
    <d v="2023-03-22T00:00:00"/>
    <n v="44.4"/>
    <n v="151.19999999999999"/>
    <s v="Delivered"/>
    <n v="560"/>
    <n v="4"/>
    <x v="0"/>
    <n v="0.26999999999999996"/>
    <s v="fast"/>
  </r>
  <r>
    <x v="645"/>
    <x v="0"/>
    <x v="1"/>
    <x v="6"/>
    <d v="2023-07-28T00:00:00"/>
    <d v="2023-08-02T00:00:00"/>
    <n v="21.9"/>
    <n v="289.79000000000002"/>
    <s v="Delivered"/>
    <n v="2189"/>
    <n v="5"/>
    <x v="0"/>
    <n v="0.13238465052535406"/>
    <s v="slow"/>
  </r>
  <r>
    <x v="646"/>
    <x v="4"/>
    <x v="7"/>
    <x v="5"/>
    <d v="2023-11-17T00:00:00"/>
    <d v="2023-11-19T00:00:00"/>
    <n v="23.1"/>
    <n v="98.82"/>
    <s v="Delivered"/>
    <n v="393"/>
    <n v="2"/>
    <x v="0"/>
    <n v="0.25145038167938932"/>
    <s v="fast"/>
  </r>
  <r>
    <x v="647"/>
    <x v="7"/>
    <x v="12"/>
    <x v="1"/>
    <d v="2023-12-13T00:00:00"/>
    <d v="2023-12-16T00:00:00"/>
    <n v="37.700000000000003"/>
    <n v="336.06"/>
    <s v="Delivered"/>
    <n v="1505"/>
    <n v="3"/>
    <x v="0"/>
    <n v="0.22329568106312292"/>
    <s v="fast"/>
  </r>
  <r>
    <x v="648"/>
    <x v="9"/>
    <x v="5"/>
    <x v="2"/>
    <d v="2023-09-25T00:00:00"/>
    <d v="2023-10-01T00:00:00"/>
    <n v="37.1"/>
    <n v="236.03"/>
    <s v="Delivered"/>
    <n v="1673"/>
    <n v="6"/>
    <x v="0"/>
    <n v="0.1410818888224746"/>
    <s v="slow"/>
  </r>
  <r>
    <x v="649"/>
    <x v="1"/>
    <x v="6"/>
    <x v="2"/>
    <d v="2023-08-04T00:00:00"/>
    <d v="2023-08-08T00:00:00"/>
    <n v="12.1"/>
    <n v="144.44"/>
    <s v="Delivered"/>
    <n v="1029"/>
    <n v="4"/>
    <x v="0"/>
    <n v="0.14036929057337219"/>
    <s v="fast"/>
  </r>
  <r>
    <x v="650"/>
    <x v="3"/>
    <x v="11"/>
    <x v="4"/>
    <d v="2023-09-29T00:00:00"/>
    <d v="2023-10-06T00:00:00"/>
    <n v="6.9"/>
    <n v="294.86"/>
    <s v="Delivered"/>
    <n v="2487"/>
    <n v="7"/>
    <x v="0"/>
    <n v="0.11856051467631686"/>
    <s v="slow"/>
  </r>
  <r>
    <x v="651"/>
    <x v="7"/>
    <x v="13"/>
    <x v="2"/>
    <d v="2023-07-04T00:00:00"/>
    <d v="2023-07-08T00:00:00"/>
    <n v="14.6"/>
    <n v="204.47"/>
    <s v="Delivered"/>
    <n v="1495"/>
    <n v="4"/>
    <x v="0"/>
    <n v="0.13676923076923078"/>
    <s v="fast"/>
  </r>
  <r>
    <x v="652"/>
    <x v="2"/>
    <x v="8"/>
    <x v="1"/>
    <d v="2023-07-01T00:00:00"/>
    <d v="2023-07-06T00:00:00"/>
    <n v="54.9"/>
    <n v="243.58"/>
    <s v="Delivered"/>
    <n v="1121"/>
    <n v="5"/>
    <x v="0"/>
    <n v="0.21728813559322036"/>
    <s v="slow"/>
  </r>
  <r>
    <x v="653"/>
    <x v="8"/>
    <x v="8"/>
    <x v="1"/>
    <d v="2023-08-22T00:00:00"/>
    <d v="2023-08-24T00:00:00"/>
    <n v="31.7"/>
    <n v="163.47999999999999"/>
    <s v="Delivered"/>
    <n v="790"/>
    <n v="2"/>
    <x v="0"/>
    <n v="0.20693670886075949"/>
    <s v="fast"/>
  </r>
  <r>
    <x v="654"/>
    <x v="2"/>
    <x v="12"/>
    <x v="2"/>
    <d v="2023-10-04T00:00:00"/>
    <d v="2023-10-08T00:00:00"/>
    <n v="15.7"/>
    <n v="191.45"/>
    <s v="Delivered"/>
    <n v="1457"/>
    <n v="4"/>
    <x v="0"/>
    <n v="0.13140013726835964"/>
    <s v="fast"/>
  </r>
  <r>
    <x v="655"/>
    <x v="6"/>
    <x v="11"/>
    <x v="0"/>
    <d v="2023-01-07T00:00:00"/>
    <d v="2023-01-12T00:00:00"/>
    <n v="6.6"/>
    <n v="261.19"/>
    <s v="Delivered"/>
    <n v="1832"/>
    <n v="5"/>
    <x v="0"/>
    <n v="0.14257096069868996"/>
    <s v="slow"/>
  </r>
  <r>
    <x v="656"/>
    <x v="3"/>
    <x v="13"/>
    <x v="5"/>
    <d v="2023-07-25T00:00:00"/>
    <d v="2023-07-28T00:00:00"/>
    <n v="53.1"/>
    <n v="197.62"/>
    <s v="Delivered"/>
    <n v="1208"/>
    <n v="3"/>
    <x v="0"/>
    <n v="0.16359271523178809"/>
    <s v="fast"/>
  </r>
  <r>
    <x v="657"/>
    <x v="3"/>
    <x v="14"/>
    <x v="5"/>
    <d v="2023-12-16T00:00:00"/>
    <d v="2023-12-17T00:00:00"/>
    <n v="32.299999999999997"/>
    <n v="115.94"/>
    <s v="Delivered"/>
    <n v="531"/>
    <n v="1"/>
    <x v="0"/>
    <n v="0.21834274952919019"/>
    <s v="fast"/>
  </r>
  <r>
    <x v="658"/>
    <x v="1"/>
    <x v="4"/>
    <x v="4"/>
    <d v="2023-12-23T00:00:00"/>
    <d v="2023-12-30T00:00:00"/>
    <n v="67.3"/>
    <n v="275.70999999999998"/>
    <s v="Delivered"/>
    <n v="1435"/>
    <n v="7"/>
    <x v="0"/>
    <n v="0.19213240418118466"/>
    <s v="slow"/>
  </r>
  <r>
    <x v="659"/>
    <x v="3"/>
    <x v="6"/>
    <x v="0"/>
    <d v="2023-09-17T00:00:00"/>
    <d v="2023-09-22T00:00:00"/>
    <n v="11.7"/>
    <n v="241.13"/>
    <s v="Delivered"/>
    <n v="1803"/>
    <n v="5"/>
    <x v="0"/>
    <n v="0.13373821408763173"/>
    <s v="slow"/>
  </r>
  <r>
    <x v="660"/>
    <x v="7"/>
    <x v="13"/>
    <x v="4"/>
    <d v="2023-08-17T00:00:00"/>
    <d v="2023-08-22T00:00:00"/>
    <n v="6.3"/>
    <n v="315.26"/>
    <s v="Delivered"/>
    <n v="2363"/>
    <n v="5"/>
    <x v="0"/>
    <n v="0.13341515023275496"/>
    <s v="slow"/>
  </r>
  <r>
    <x v="661"/>
    <x v="4"/>
    <x v="8"/>
    <x v="4"/>
    <d v="2023-10-05T00:00:00"/>
    <d v="2023-10-08T00:00:00"/>
    <n v="57.7"/>
    <n v="243.19"/>
    <s v="Delivered"/>
    <n v="1274"/>
    <n v="3"/>
    <x v="0"/>
    <n v="0.19088697017268447"/>
    <s v="fast"/>
  </r>
  <r>
    <x v="662"/>
    <x v="5"/>
    <x v="5"/>
    <x v="2"/>
    <d v="2023-02-09T00:00:00"/>
    <d v="2023-02-14T00:00:00"/>
    <n v="5.9"/>
    <n v="199.78"/>
    <s v="Delivered"/>
    <n v="1678"/>
    <n v="5"/>
    <x v="0"/>
    <n v="0.11905840286054828"/>
    <s v="slow"/>
  </r>
  <r>
    <x v="663"/>
    <x v="5"/>
    <x v="3"/>
    <x v="1"/>
    <d v="2023-10-17T00:00:00"/>
    <d v="2023-11-03T00:00:00"/>
    <n v="38"/>
    <n v="416.88"/>
    <s v="Delayed"/>
    <n v="2447"/>
    <n v="6"/>
    <x v="1"/>
    <n v="0.17036371066612177"/>
    <s v="not applicabel"/>
  </r>
  <r>
    <x v="664"/>
    <x v="3"/>
    <x v="12"/>
    <x v="4"/>
    <d v="2023-03-03T00:00:00"/>
    <d v="2023-03-08T00:00:00"/>
    <n v="9.6999999999999993"/>
    <n v="230.69"/>
    <s v="Delivered"/>
    <n v="1667"/>
    <n v="5"/>
    <x v="0"/>
    <n v="0.1383863227354529"/>
    <s v="slow"/>
  </r>
  <r>
    <x v="665"/>
    <x v="1"/>
    <x v="4"/>
    <x v="4"/>
    <d v="2023-06-02T00:00:00"/>
    <d v="2023-06-06T00:00:00"/>
    <n v="25"/>
    <n v="220.62"/>
    <s v="Delivered"/>
    <n v="1435"/>
    <n v="4"/>
    <x v="0"/>
    <n v="0.15374216027874565"/>
    <s v="fast"/>
  </r>
  <r>
    <x v="666"/>
    <x v="9"/>
    <x v="2"/>
    <x v="2"/>
    <d v="2023-01-07T00:00:00"/>
    <d v="2023-01-12T00:00:00"/>
    <n v="9.6999999999999993"/>
    <n v="260.86"/>
    <s v="Delivered"/>
    <n v="1937"/>
    <n v="5"/>
    <x v="0"/>
    <n v="0.13467217346411978"/>
    <s v="slow"/>
  </r>
  <r>
    <x v="667"/>
    <x v="4"/>
    <x v="4"/>
    <x v="0"/>
    <d v="2023-03-28T00:00:00"/>
    <d v="2023-03-31T00:00:00"/>
    <n v="5.6"/>
    <n v="94.63"/>
    <s v="Returned"/>
    <n v="659"/>
    <n v="3"/>
    <x v="3"/>
    <n v="0.14359635811836113"/>
    <s v="not applicabel"/>
  </r>
  <r>
    <x v="668"/>
    <x v="7"/>
    <x v="11"/>
    <x v="0"/>
    <d v="2023-03-03T00:00:00"/>
    <d v="2023-03-08T00:00:00"/>
    <n v="18.100000000000001"/>
    <n v="102.98"/>
    <s v="Delivered"/>
    <n v="663"/>
    <n v="5"/>
    <x v="0"/>
    <n v="0.15532428355957767"/>
    <s v="slow"/>
  </r>
  <r>
    <x v="669"/>
    <x v="1"/>
    <x v="4"/>
    <x v="5"/>
    <d v="2023-11-16T00:00:00"/>
    <d v="2023-11-21T00:00:00"/>
    <n v="39"/>
    <n v="280.22000000000003"/>
    <s v="Delivered"/>
    <n v="1435"/>
    <n v="5"/>
    <x v="0"/>
    <n v="0.19527526132404183"/>
    <s v="slow"/>
  </r>
  <r>
    <x v="670"/>
    <x v="2"/>
    <x v="5"/>
    <x v="5"/>
    <d v="2023-03-20T00:00:00"/>
    <d v="2023-03-28T00:00:00"/>
    <n v="28.1"/>
    <n v="192.15"/>
    <s v="Delivered"/>
    <n v="1431"/>
    <n v="8"/>
    <x v="0"/>
    <n v="0.13427672955974843"/>
    <s v="slow"/>
  </r>
  <r>
    <x v="671"/>
    <x v="0"/>
    <x v="12"/>
    <x v="1"/>
    <d v="2023-10-20T00:00:00"/>
    <d v="2023-11-03T00:00:00"/>
    <n v="22.8"/>
    <n v="362.33"/>
    <s v="Delayed"/>
    <n v="2452"/>
    <n v="5"/>
    <x v="1"/>
    <n v="0.14776916802610113"/>
    <s v="not applicabel"/>
  </r>
  <r>
    <x v="672"/>
    <x v="6"/>
    <x v="7"/>
    <x v="5"/>
    <d v="2023-07-09T00:00:00"/>
    <d v="2023-07-23T00:00:00"/>
    <n v="25.5"/>
    <n v="298.33"/>
    <s v="Delayed"/>
    <n v="2427"/>
    <n v="6"/>
    <x v="1"/>
    <n v="0.12292130201895343"/>
    <s v="not applicabel"/>
  </r>
  <r>
    <x v="673"/>
    <x v="8"/>
    <x v="3"/>
    <x v="5"/>
    <d v="2023-06-12T00:00:00"/>
    <d v="2023-06-17T00:00:00"/>
    <n v="13.9"/>
    <n v="131.13"/>
    <s v="Delivered"/>
    <n v="872"/>
    <n v="5"/>
    <x v="0"/>
    <n v="0.15037844036697248"/>
    <s v="slow"/>
  </r>
  <r>
    <x v="674"/>
    <x v="4"/>
    <x v="2"/>
    <x v="1"/>
    <d v="2023-04-15T00:00:00"/>
    <d v="2023-04-21T00:00:00"/>
    <n v="7.7"/>
    <n v="234.65"/>
    <s v="Delivered"/>
    <n v="1747"/>
    <n v="6"/>
    <x v="0"/>
    <n v="0.13431597023468805"/>
    <s v="slow"/>
  </r>
  <r>
    <x v="675"/>
    <x v="1"/>
    <x v="2"/>
    <x v="5"/>
    <d v="2023-04-25T00:00:00"/>
    <d v="2023-04-29T00:00:00"/>
    <n v="37.799999999999997"/>
    <n v="199.44"/>
    <s v="Delivered"/>
    <n v="1314"/>
    <n v="4"/>
    <x v="0"/>
    <n v="0.15178082191780823"/>
    <s v="fast"/>
  </r>
  <r>
    <x v="676"/>
    <x v="0"/>
    <x v="13"/>
    <x v="1"/>
    <d v="2023-10-27T00:00:00"/>
    <d v="2023-11-01T00:00:00"/>
    <n v="43.7"/>
    <n v="401.12"/>
    <s v="Delivered"/>
    <n v="2460"/>
    <n v="5"/>
    <x v="0"/>
    <n v="0.16305691056910571"/>
    <s v="slow"/>
  </r>
  <r>
    <x v="677"/>
    <x v="0"/>
    <x v="5"/>
    <x v="2"/>
    <d v="2023-09-08T00:00:00"/>
    <d v="2023-09-13T00:00:00"/>
    <n v="20.6"/>
    <n v="259.44"/>
    <s v="Delivered"/>
    <n v="2189"/>
    <n v="5"/>
    <x v="0"/>
    <n v="0.11851987208771128"/>
    <s v="slow"/>
  </r>
  <r>
    <x v="678"/>
    <x v="7"/>
    <x v="14"/>
    <x v="3"/>
    <d v="2023-10-02T00:00:00"/>
    <d v="2023-10-08T00:00:00"/>
    <n v="14"/>
    <n v="295.69"/>
    <s v="Delivered"/>
    <n v="2105"/>
    <n v="6"/>
    <x v="0"/>
    <n v="0.14047030878859856"/>
    <s v="slow"/>
  </r>
  <r>
    <x v="679"/>
    <x v="2"/>
    <x v="11"/>
    <x v="3"/>
    <d v="2023-03-03T00:00:00"/>
    <d v="2023-03-09T00:00:00"/>
    <n v="6.5"/>
    <n v="297.79000000000002"/>
    <s v="Delivered"/>
    <n v="2185"/>
    <n v="6"/>
    <x v="0"/>
    <n v="0.1362883295194508"/>
    <s v="slow"/>
  </r>
  <r>
    <x v="680"/>
    <x v="4"/>
    <x v="2"/>
    <x v="3"/>
    <d v="2023-08-15T00:00:00"/>
    <d v="2023-08-20T00:00:00"/>
    <n v="122.7"/>
    <n v="432.92"/>
    <s v="Delivered"/>
    <n v="1984"/>
    <n v="5"/>
    <x v="0"/>
    <n v="0.21820564516129032"/>
    <s v="slow"/>
  </r>
  <r>
    <x v="681"/>
    <x v="2"/>
    <x v="10"/>
    <x v="2"/>
    <d v="2023-10-19T00:00:00"/>
    <d v="2023-10-22T00:00:00"/>
    <n v="13.6"/>
    <n v="141.30000000000001"/>
    <s v="Delivered"/>
    <n v="1123"/>
    <n v="3"/>
    <x v="0"/>
    <n v="0.12582368655387358"/>
    <s v="fast"/>
  </r>
  <r>
    <x v="682"/>
    <x v="4"/>
    <x v="0"/>
    <x v="2"/>
    <d v="2023-05-04T00:00:00"/>
    <d v="2023-05-06T00:00:00"/>
    <n v="35.9"/>
    <n v="89.84"/>
    <s v="Delivered"/>
    <n v="348"/>
    <n v="2"/>
    <x v="0"/>
    <n v="0.25816091954022991"/>
    <s v="fast"/>
  </r>
  <r>
    <x v="683"/>
    <x v="1"/>
    <x v="4"/>
    <x v="4"/>
    <d v="2023-01-02T00:00:00"/>
    <d v="2023-01-05T00:00:00"/>
    <n v="52.3"/>
    <n v="222.33"/>
    <s v="Delivered"/>
    <n v="1435"/>
    <n v="3"/>
    <x v="0"/>
    <n v="0.15493379790940767"/>
    <s v="fast"/>
  </r>
  <r>
    <x v="684"/>
    <x v="6"/>
    <x v="7"/>
    <x v="1"/>
    <d v="2023-02-28T00:00:00"/>
    <d v="2023-03-01T00:00:00"/>
    <n v="14.6"/>
    <n v="58.01"/>
    <s v="Delivered"/>
    <n v="265"/>
    <n v="1"/>
    <x v="0"/>
    <n v="0.21890566037735848"/>
    <s v="fast"/>
  </r>
  <r>
    <x v="685"/>
    <x v="8"/>
    <x v="1"/>
    <x v="3"/>
    <d v="2023-03-14T00:00:00"/>
    <d v="2023-03-17T00:00:00"/>
    <n v="36.799999999999997"/>
    <n v="166.16"/>
    <s v="Delivered"/>
    <n v="870"/>
    <n v="3"/>
    <x v="0"/>
    <n v="0.19098850574712642"/>
    <s v="fast"/>
  </r>
  <r>
    <x v="686"/>
    <x v="2"/>
    <x v="6"/>
    <x v="5"/>
    <d v="2023-11-25T00:00:00"/>
    <d v="2023-12-01T00:00:00"/>
    <n v="25.8"/>
    <n v="319.08999999999997"/>
    <s v="Lost"/>
    <n v="2008"/>
    <n v="6"/>
    <x v="2"/>
    <n v="0.15890936254980079"/>
    <s v="not applicabel"/>
  </r>
  <r>
    <x v="687"/>
    <x v="1"/>
    <x v="8"/>
    <x v="6"/>
    <d v="2023-06-19T00:00:00"/>
    <d v="2023-06-22T00:00:00"/>
    <n v="17.5"/>
    <n v="165.72"/>
    <s v="Delivered"/>
    <n v="1305"/>
    <n v="3"/>
    <x v="0"/>
    <n v="0.12698850574712645"/>
    <s v="fast"/>
  </r>
  <r>
    <x v="688"/>
    <x v="3"/>
    <x v="6"/>
    <x v="2"/>
    <d v="2023-10-26T00:00:00"/>
    <d v="2023-10-30T00:00:00"/>
    <n v="50.1"/>
    <n v="282.69"/>
    <s v="Delivered"/>
    <n v="1646"/>
    <n v="4"/>
    <x v="0"/>
    <n v="0.17174362089914946"/>
    <s v="fast"/>
  </r>
  <r>
    <x v="689"/>
    <x v="5"/>
    <x v="1"/>
    <x v="5"/>
    <d v="2023-03-16T00:00:00"/>
    <d v="2023-03-21T00:00:00"/>
    <n v="54"/>
    <n v="326.08"/>
    <s v="Delivered"/>
    <n v="2448"/>
    <n v="5"/>
    <x v="0"/>
    <n v="0.13320261437908495"/>
    <s v="slow"/>
  </r>
  <r>
    <x v="690"/>
    <x v="2"/>
    <x v="4"/>
    <x v="1"/>
    <d v="2023-01-14T00:00:00"/>
    <d v="2023-01-18T00:00:00"/>
    <n v="9.6"/>
    <n v="243.91"/>
    <s v="Delivered"/>
    <n v="1854"/>
    <n v="4"/>
    <x v="0"/>
    <n v="0.13155879180151026"/>
    <s v="fast"/>
  </r>
  <r>
    <x v="691"/>
    <x v="2"/>
    <x v="12"/>
    <x v="4"/>
    <d v="2023-06-07T00:00:00"/>
    <d v="2023-06-10T00:00:00"/>
    <n v="14.5"/>
    <n v="174.22"/>
    <s v="Delivered"/>
    <n v="1208"/>
    <n v="3"/>
    <x v="0"/>
    <n v="0.14422185430463577"/>
    <s v="fast"/>
  </r>
  <r>
    <x v="692"/>
    <x v="0"/>
    <x v="4"/>
    <x v="6"/>
    <d v="2023-01-15T00:00:00"/>
    <d v="2023-01-19T00:00:00"/>
    <n v="14.5"/>
    <n v="230.05"/>
    <s v="Delivered"/>
    <n v="1753"/>
    <n v="4"/>
    <x v="0"/>
    <n v="0.13123217341699944"/>
    <s v="fast"/>
  </r>
  <r>
    <x v="693"/>
    <x v="0"/>
    <x v="8"/>
    <x v="6"/>
    <d v="2023-03-17T00:00:00"/>
    <d v="2023-04-03T00:00:00"/>
    <n v="3.1"/>
    <n v="124.09"/>
    <s v="Delayed"/>
    <n v="1098"/>
    <n v="6"/>
    <x v="1"/>
    <n v="0.11301457194899818"/>
    <s v="not applicabel"/>
  </r>
  <r>
    <x v="694"/>
    <x v="9"/>
    <x v="14"/>
    <x v="3"/>
    <d v="2023-02-16T00:00:00"/>
    <d v="2023-02-21T00:00:00"/>
    <n v="108.4"/>
    <n v="397.96"/>
    <s v="Delivered"/>
    <n v="1964"/>
    <n v="5"/>
    <x v="0"/>
    <n v="0.20262729124236251"/>
    <s v="slow"/>
  </r>
  <r>
    <x v="695"/>
    <x v="9"/>
    <x v="2"/>
    <x v="4"/>
    <d v="2023-06-15T00:00:00"/>
    <d v="2023-06-20T00:00:00"/>
    <n v="26.6"/>
    <n v="231.19"/>
    <s v="Delivered"/>
    <n v="1615"/>
    <n v="5"/>
    <x v="0"/>
    <n v="0.1431517027863777"/>
    <s v="slow"/>
  </r>
  <r>
    <x v="696"/>
    <x v="8"/>
    <x v="1"/>
    <x v="3"/>
    <d v="2023-11-19T00:00:00"/>
    <d v="2023-11-22T00:00:00"/>
    <n v="7.2"/>
    <n v="158.85"/>
    <s v="Delivered"/>
    <n v="870"/>
    <n v="3"/>
    <x v="0"/>
    <n v="0.18258620689655172"/>
    <s v="fast"/>
  </r>
  <r>
    <x v="697"/>
    <x v="3"/>
    <x v="7"/>
    <x v="1"/>
    <d v="2023-03-31T00:00:00"/>
    <d v="2023-04-01T00:00:00"/>
    <n v="17.100000000000001"/>
    <n v="34.450000000000003"/>
    <s v="Delivered"/>
    <n v="105"/>
    <n v="1"/>
    <x v="0"/>
    <n v="0.32809523809523811"/>
    <s v="fast"/>
  </r>
  <r>
    <x v="698"/>
    <x v="3"/>
    <x v="1"/>
    <x v="0"/>
    <d v="2023-01-18T00:00:00"/>
    <d v="2023-01-20T00:00:00"/>
    <n v="21.9"/>
    <n v="83.7"/>
    <s v="Delivered"/>
    <n v="472"/>
    <n v="2"/>
    <x v="0"/>
    <n v="0.17733050847457626"/>
    <s v="fast"/>
  </r>
  <r>
    <x v="699"/>
    <x v="6"/>
    <x v="4"/>
    <x v="0"/>
    <d v="2023-02-28T00:00:00"/>
    <d v="2023-03-05T00:00:00"/>
    <n v="78.2"/>
    <n v="195.05"/>
    <s v="Delayed"/>
    <n v="860"/>
    <n v="3"/>
    <x v="1"/>
    <n v="0.22680232558139538"/>
    <s v="not applicabel"/>
  </r>
  <r>
    <x v="700"/>
    <x v="4"/>
    <x v="3"/>
    <x v="5"/>
    <d v="2023-01-04T00:00:00"/>
    <d v="2023-01-07T00:00:00"/>
    <n v="14.5"/>
    <n v="83.98"/>
    <s v="Delivered"/>
    <n v="530"/>
    <n v="3"/>
    <x v="0"/>
    <n v="0.15845283018867926"/>
    <s v="fast"/>
  </r>
  <r>
    <x v="701"/>
    <x v="7"/>
    <x v="3"/>
    <x v="0"/>
    <d v="2023-09-16T00:00:00"/>
    <d v="2023-09-20T00:00:00"/>
    <n v="17.7"/>
    <n v="198.87"/>
    <s v="Delivered"/>
    <n v="1498"/>
    <n v="4"/>
    <x v="0"/>
    <n v="0.1327570093457944"/>
    <s v="fast"/>
  </r>
  <r>
    <x v="702"/>
    <x v="5"/>
    <x v="6"/>
    <x v="2"/>
    <d v="2023-02-05T00:00:00"/>
    <d v="2023-02-06T00:00:00"/>
    <n v="14.1"/>
    <n v="33.49"/>
    <s v="Delivered"/>
    <n v="154"/>
    <n v="1"/>
    <x v="0"/>
    <n v="0.21746753246753248"/>
    <s v="fast"/>
  </r>
  <r>
    <x v="703"/>
    <x v="4"/>
    <x v="8"/>
    <x v="6"/>
    <d v="2023-08-27T00:00:00"/>
    <d v="2023-08-28T00:00:00"/>
    <n v="6.7"/>
    <n v="52"/>
    <s v="Delivered"/>
    <n v="357"/>
    <n v="1"/>
    <x v="0"/>
    <n v="0.14565826330532214"/>
    <s v="fast"/>
  </r>
  <r>
    <x v="704"/>
    <x v="2"/>
    <x v="0"/>
    <x v="3"/>
    <d v="2023-05-17T00:00:00"/>
    <d v="2023-05-22T00:00:00"/>
    <n v="11.9"/>
    <n v="34.31"/>
    <s v="Delivered"/>
    <n v="2440"/>
    <n v="5"/>
    <x v="0"/>
    <n v="1.4061475409836066E-2"/>
    <s v="slow"/>
  </r>
  <r>
    <x v="705"/>
    <x v="8"/>
    <x v="6"/>
    <x v="0"/>
    <d v="2023-11-15T00:00:00"/>
    <d v="2023-11-20T00:00:00"/>
    <n v="60.4"/>
    <n v="370.75"/>
    <s v="Delivered"/>
    <n v="1846"/>
    <n v="5"/>
    <x v="0"/>
    <n v="0.20083965330444203"/>
    <s v="slow"/>
  </r>
  <r>
    <x v="706"/>
    <x v="8"/>
    <x v="7"/>
    <x v="6"/>
    <d v="2023-07-22T00:00:00"/>
    <d v="2023-07-25T00:00:00"/>
    <n v="12.6"/>
    <n v="75.73"/>
    <s v="Delivered"/>
    <n v="497"/>
    <n v="3"/>
    <x v="0"/>
    <n v="0.15237424547283704"/>
    <s v="fast"/>
  </r>
  <r>
    <x v="707"/>
    <x v="2"/>
    <x v="2"/>
    <x v="1"/>
    <d v="2023-04-28T00:00:00"/>
    <d v="2023-05-01T00:00:00"/>
    <n v="43.8"/>
    <n v="143.51"/>
    <s v="Delivered"/>
    <n v="632"/>
    <n v="3"/>
    <x v="0"/>
    <n v="0.22707278481012658"/>
    <s v="fast"/>
  </r>
  <r>
    <x v="708"/>
    <x v="7"/>
    <x v="14"/>
    <x v="2"/>
    <d v="2023-11-30T00:00:00"/>
    <m/>
    <n v="17"/>
    <n v="174.48"/>
    <s v="Delivered"/>
    <n v="1143"/>
    <n v="5"/>
    <x v="4"/>
    <n v="0.15265091863517061"/>
    <s v="not applicabel"/>
  </r>
  <r>
    <x v="709"/>
    <x v="9"/>
    <x v="9"/>
    <x v="5"/>
    <d v="2023-08-14T00:00:00"/>
    <d v="2023-08-18T00:00:00"/>
    <n v="27.5"/>
    <n v="172.21"/>
    <s v="Delivered"/>
    <n v="1086"/>
    <n v="4"/>
    <x v="0"/>
    <n v="0.15857274401473298"/>
    <s v="fast"/>
  </r>
  <r>
    <x v="710"/>
    <x v="4"/>
    <x v="8"/>
    <x v="0"/>
    <d v="2023-11-30T00:00:00"/>
    <d v="2023-12-02T00:00:00"/>
    <n v="30.6"/>
    <n v="89.12"/>
    <s v="Delivered"/>
    <n v="284"/>
    <n v="2"/>
    <x v="0"/>
    <n v="0.31380281690140849"/>
    <s v="fast"/>
  </r>
  <r>
    <x v="711"/>
    <x v="8"/>
    <x v="13"/>
    <x v="5"/>
    <d v="2023-10-30T00:00:00"/>
    <d v="2023-11-03T00:00:00"/>
    <n v="139.4"/>
    <n v="415.94"/>
    <s v="Delivered"/>
    <n v="1881"/>
    <n v="4"/>
    <x v="0"/>
    <n v="0.22112706007442851"/>
    <s v="fast"/>
  </r>
  <r>
    <x v="712"/>
    <x v="1"/>
    <x v="7"/>
    <x v="6"/>
    <d v="2023-11-19T00:00:00"/>
    <d v="2023-11-26T00:00:00"/>
    <n v="3.8"/>
    <n v="206.23"/>
    <s v="Delivered"/>
    <n v="1465"/>
    <n v="7"/>
    <x v="0"/>
    <n v="0.14077133105802048"/>
    <s v="slow"/>
  </r>
  <r>
    <x v="713"/>
    <x v="7"/>
    <x v="14"/>
    <x v="0"/>
    <d v="2023-02-23T00:00:00"/>
    <d v="2023-02-27T00:00:00"/>
    <n v="24.1"/>
    <n v="148.09"/>
    <s v="Delivered"/>
    <n v="1000"/>
    <n v="4"/>
    <x v="0"/>
    <n v="0.14809"/>
    <s v="fast"/>
  </r>
  <r>
    <x v="714"/>
    <x v="6"/>
    <x v="5"/>
    <x v="5"/>
    <d v="2023-01-28T00:00:00"/>
    <d v="2023-02-06T00:00:00"/>
    <n v="66.5"/>
    <n v="345.16"/>
    <s v="Delayed"/>
    <n v="2301"/>
    <n v="7"/>
    <x v="1"/>
    <n v="0.15000434593654935"/>
    <s v="not applicabel"/>
  </r>
  <r>
    <x v="715"/>
    <x v="1"/>
    <x v="12"/>
    <x v="5"/>
    <d v="2023-03-12T00:00:00"/>
    <d v="2023-03-18T00:00:00"/>
    <n v="21.4"/>
    <n v="92.29"/>
    <s v="Delivered"/>
    <n v="623"/>
    <n v="6"/>
    <x v="0"/>
    <n v="0.14813804173354736"/>
    <s v="slow"/>
  </r>
  <r>
    <x v="716"/>
    <x v="5"/>
    <x v="2"/>
    <x v="5"/>
    <d v="2023-08-31T00:00:00"/>
    <d v="2023-09-08T00:00:00"/>
    <n v="12"/>
    <n v="321.79000000000002"/>
    <s v="Delivered"/>
    <n v="2422"/>
    <n v="8"/>
    <x v="0"/>
    <n v="0.13286127167630057"/>
    <s v="slow"/>
  </r>
  <r>
    <x v="717"/>
    <x v="4"/>
    <x v="7"/>
    <x v="3"/>
    <d v="2023-06-23T00:00:00"/>
    <d v="2023-06-28T00:00:00"/>
    <n v="19.7"/>
    <n v="201.01"/>
    <s v="Delivered"/>
    <n v="1284"/>
    <n v="5"/>
    <x v="0"/>
    <n v="0.15654984423676011"/>
    <s v="slow"/>
  </r>
  <r>
    <x v="718"/>
    <x v="1"/>
    <x v="3"/>
    <x v="4"/>
    <d v="2023-08-05T00:00:00"/>
    <d v="2023-07-06T00:00:00"/>
    <n v="35"/>
    <m/>
    <s v="Delivered"/>
    <n v="1135"/>
    <n v="3"/>
    <x v="0"/>
    <n v="0"/>
    <s v="fast"/>
  </r>
  <r>
    <x v="719"/>
    <x v="9"/>
    <x v="8"/>
    <x v="1"/>
    <d v="2023-09-17T00:00:00"/>
    <d v="2023-09-23T00:00:00"/>
    <n v="21.9"/>
    <m/>
    <s v="Delivered"/>
    <n v="2344"/>
    <n v="6"/>
    <x v="0"/>
    <n v="0"/>
    <s v="slow"/>
  </r>
  <r>
    <x v="720"/>
    <x v="7"/>
    <x v="8"/>
    <x v="1"/>
    <d v="2023-01-04T00:00:00"/>
    <d v="2023-01-10T00:00:00"/>
    <n v="19"/>
    <n v="117.94"/>
    <s v="Delayed"/>
    <n v="593"/>
    <n v="5"/>
    <x v="1"/>
    <n v="0.19888701517706575"/>
    <s v="not applicabel"/>
  </r>
  <r>
    <x v="721"/>
    <x v="8"/>
    <x v="10"/>
    <x v="1"/>
    <d v="2023-02-22T00:00:00"/>
    <d v="2023-02-27T00:00:00"/>
    <n v="66.099999999999994"/>
    <n v="181.39"/>
    <s v="Delivered"/>
    <n v="796"/>
    <n v="5"/>
    <x v="0"/>
    <n v="0.22787688442211054"/>
    <s v="slow"/>
  </r>
  <r>
    <x v="722"/>
    <x v="3"/>
    <x v="0"/>
    <x v="6"/>
    <d v="2023-12-31T00:00:00"/>
    <d v="2024-01-05T00:00:00"/>
    <n v="23.2"/>
    <n v="295.97000000000003"/>
    <s v="Delivered"/>
    <n v="2164"/>
    <n v="5"/>
    <x v="0"/>
    <n v="0.13676987060998153"/>
    <s v="slow"/>
  </r>
  <r>
    <x v="723"/>
    <x v="5"/>
    <x v="9"/>
    <x v="0"/>
    <d v="2023-10-04T00:00:00"/>
    <d v="2023-10-07T00:00:00"/>
    <n v="16.2"/>
    <n v="157.6"/>
    <s v="Delivered"/>
    <n v="1217"/>
    <n v="3"/>
    <x v="0"/>
    <n v="0.12949876746096958"/>
    <s v="fast"/>
  </r>
  <r>
    <x v="724"/>
    <x v="5"/>
    <x v="0"/>
    <x v="6"/>
    <d v="2023-01-08T00:00:00"/>
    <d v="2023-01-10T00:00:00"/>
    <n v="14.4"/>
    <n v="34.450000000000003"/>
    <s v="Delivered"/>
    <n v="140"/>
    <n v="2"/>
    <x v="0"/>
    <n v="0.24607142857142858"/>
    <s v="fast"/>
  </r>
  <r>
    <x v="725"/>
    <x v="8"/>
    <x v="12"/>
    <x v="6"/>
    <d v="2023-07-14T00:00:00"/>
    <d v="2023-07-19T00:00:00"/>
    <n v="27.4"/>
    <n v="178.29"/>
    <s v="Delivered"/>
    <n v="1367"/>
    <n v="5"/>
    <x v="0"/>
    <n v="0.13042428675932699"/>
    <s v="slow"/>
  </r>
  <r>
    <x v="726"/>
    <x v="1"/>
    <x v="8"/>
    <x v="0"/>
    <d v="2023-07-16T00:00:00"/>
    <d v="2023-07-23T00:00:00"/>
    <n v="27.4"/>
    <n v="286.48"/>
    <s v="Delivered"/>
    <n v="2072"/>
    <n v="7"/>
    <x v="0"/>
    <n v="0.13826254826254827"/>
    <s v="slow"/>
  </r>
  <r>
    <x v="727"/>
    <x v="9"/>
    <x v="1"/>
    <x v="6"/>
    <d v="2023-05-07T00:00:00"/>
    <d v="2023-05-12T00:00:00"/>
    <n v="6.2"/>
    <n v="25.02"/>
    <s v="Delivered"/>
    <n v="150"/>
    <n v="5"/>
    <x v="0"/>
    <n v="0.1668"/>
    <s v="slow"/>
  </r>
  <r>
    <x v="728"/>
    <x v="2"/>
    <x v="10"/>
    <x v="1"/>
    <d v="2023-10-12T00:00:00"/>
    <d v="2023-10-15T00:00:00"/>
    <n v="24.1"/>
    <n v="204.04"/>
    <s v="Delivered"/>
    <n v="1168"/>
    <n v="3"/>
    <x v="0"/>
    <n v="0.1746917808219178"/>
    <s v="fast"/>
  </r>
  <r>
    <x v="729"/>
    <x v="0"/>
    <x v="14"/>
    <x v="2"/>
    <d v="2023-10-13T00:00:00"/>
    <d v="2023-10-14T00:00:00"/>
    <n v="28.8"/>
    <n v="54.72"/>
    <s v="Delivered"/>
    <n v="147"/>
    <n v="1"/>
    <x v="0"/>
    <n v="0.37224489795918364"/>
    <s v="fast"/>
  </r>
  <r>
    <x v="730"/>
    <x v="8"/>
    <x v="8"/>
    <x v="5"/>
    <d v="2023-09-06T00:00:00"/>
    <d v="2023-09-09T00:00:00"/>
    <n v="12.5"/>
    <n v="106.43"/>
    <s v="Delivered"/>
    <n v="790"/>
    <n v="3"/>
    <x v="0"/>
    <n v="0.13472151898734178"/>
    <s v="fast"/>
  </r>
  <r>
    <x v="731"/>
    <x v="1"/>
    <x v="13"/>
    <x v="1"/>
    <d v="2023-02-28T00:00:00"/>
    <d v="2023-03-02T00:00:00"/>
    <n v="48.5"/>
    <n v="84.38"/>
    <s v="Delivered"/>
    <n v="159"/>
    <n v="2"/>
    <x v="0"/>
    <n v="0.53069182389937108"/>
    <s v="fast"/>
  </r>
  <r>
    <x v="732"/>
    <x v="3"/>
    <x v="4"/>
    <x v="5"/>
    <d v="2023-11-24T00:00:00"/>
    <d v="2023-12-03T00:00:00"/>
    <n v="15"/>
    <n v="266.52999999999997"/>
    <s v="Delayed"/>
    <n v="1632"/>
    <n v="5"/>
    <x v="1"/>
    <n v="0.16331495098039214"/>
    <s v="not applicabel"/>
  </r>
  <r>
    <x v="733"/>
    <x v="9"/>
    <x v="13"/>
    <x v="2"/>
    <d v="2023-01-13T00:00:00"/>
    <d v="2023-01-15T00:00:00"/>
    <n v="12"/>
    <n v="95.74"/>
    <s v="Delivered"/>
    <n v="607"/>
    <n v="2"/>
    <x v="0"/>
    <n v="0.15772652388797362"/>
    <s v="fast"/>
  </r>
  <r>
    <x v="734"/>
    <x v="3"/>
    <x v="7"/>
    <x v="3"/>
    <d v="2023-11-07T00:00:00"/>
    <d v="2023-11-12T00:00:00"/>
    <n v="39.9"/>
    <n v="138.47"/>
    <s v="Delivered"/>
    <n v="475"/>
    <n v="5"/>
    <x v="0"/>
    <n v="0.29151578947368423"/>
    <s v="slow"/>
  </r>
  <r>
    <x v="735"/>
    <x v="2"/>
    <x v="2"/>
    <x v="3"/>
    <d v="2023-05-25T00:00:00"/>
    <d v="2023-05-29T00:00:00"/>
    <n v="6.6"/>
    <n v="199.12"/>
    <s v="Delivered"/>
    <n v="1370"/>
    <n v="4"/>
    <x v="0"/>
    <n v="0.14534306569343067"/>
    <s v="fast"/>
  </r>
  <r>
    <x v="736"/>
    <x v="9"/>
    <x v="13"/>
    <x v="5"/>
    <d v="2023-10-27T00:00:00"/>
    <d v="2023-11-02T00:00:00"/>
    <n v="474.2"/>
    <n v="341.15"/>
    <s v="Delivered"/>
    <n v="2200"/>
    <n v="6"/>
    <x v="0"/>
    <n v="0.1550681818181818"/>
    <s v="slow"/>
  </r>
  <r>
    <x v="737"/>
    <x v="4"/>
    <x v="11"/>
    <x v="6"/>
    <d v="2023-07-12T00:00:00"/>
    <d v="2023-07-18T00:00:00"/>
    <n v="15.1"/>
    <n v="236.63"/>
    <s v="In Transit"/>
    <n v="1795"/>
    <n v="6"/>
    <x v="0"/>
    <n v="0.13182729805013926"/>
    <s v="slow"/>
  </r>
  <r>
    <x v="738"/>
    <x v="9"/>
    <x v="10"/>
    <x v="3"/>
    <d v="2023-02-24T00:00:00"/>
    <d v="2023-03-01T00:00:00"/>
    <n v="32"/>
    <n v="340.57"/>
    <s v="Delivered"/>
    <n v="2208"/>
    <n v="5"/>
    <x v="0"/>
    <n v="0.15424365942028986"/>
    <s v="slow"/>
  </r>
  <r>
    <x v="739"/>
    <x v="6"/>
    <x v="9"/>
    <x v="6"/>
    <d v="2023-10-31T00:00:00"/>
    <d v="2023-11-02T00:00:00"/>
    <n v="14.5"/>
    <n v="86.35"/>
    <s v="Delivered"/>
    <n v="585"/>
    <n v="2"/>
    <x v="0"/>
    <n v="0.1476068376068376"/>
    <s v="fast"/>
  </r>
  <r>
    <x v="740"/>
    <x v="9"/>
    <x v="10"/>
    <x v="4"/>
    <d v="2023-12-18T00:00:00"/>
    <d v="2023-12-27T00:00:00"/>
    <n v="9.1999999999999993"/>
    <n v="141.68"/>
    <s v="Delayed"/>
    <n v="974"/>
    <n v="3"/>
    <x v="1"/>
    <n v="0.14546201232032854"/>
    <s v="not applicabel"/>
  </r>
  <r>
    <x v="741"/>
    <x v="1"/>
    <x v="1"/>
    <x v="3"/>
    <d v="2023-06-29T00:00:00"/>
    <d v="2023-07-04T00:00:00"/>
    <n v="32.200000000000003"/>
    <n v="247.76"/>
    <s v="Delivered"/>
    <n v="1610"/>
    <n v="5"/>
    <x v="0"/>
    <n v="0.15388819875776397"/>
    <s v="slow"/>
  </r>
  <r>
    <x v="742"/>
    <x v="6"/>
    <x v="14"/>
    <x v="3"/>
    <d v="2023-10-27T00:00:00"/>
    <d v="2023-10-31T00:00:00"/>
    <n v="27.1"/>
    <n v="165.65"/>
    <s v="Delivered"/>
    <n v="1030"/>
    <n v="4"/>
    <x v="0"/>
    <n v="0.16082524271844661"/>
    <s v="fast"/>
  </r>
  <r>
    <x v="743"/>
    <x v="6"/>
    <x v="9"/>
    <x v="5"/>
    <d v="2023-05-02T00:00:00"/>
    <d v="2023-05-11T00:00:00"/>
    <n v="22.8"/>
    <n v="342.44"/>
    <s v="Delivered"/>
    <n v="2380"/>
    <n v="9"/>
    <x v="0"/>
    <n v="0.14388235294117646"/>
    <s v="slow"/>
  </r>
  <r>
    <x v="744"/>
    <x v="6"/>
    <x v="1"/>
    <x v="3"/>
    <d v="2023-03-10T00:00:00"/>
    <d v="2023-03-12T00:00:00"/>
    <n v="10.199999999999999"/>
    <n v="111.08"/>
    <s v="Delivered"/>
    <n v="800"/>
    <n v="2"/>
    <x v="0"/>
    <n v="0.13885"/>
    <s v="fast"/>
  </r>
  <r>
    <x v="745"/>
    <x v="8"/>
    <x v="11"/>
    <x v="4"/>
    <d v="2023-08-10T00:00:00"/>
    <d v="2023-08-14T00:00:00"/>
    <n v="30.8"/>
    <n v="255.81"/>
    <s v="Delivered"/>
    <n v="1692"/>
    <n v="4"/>
    <x v="0"/>
    <n v="0.15118794326241136"/>
    <s v="fast"/>
  </r>
  <r>
    <x v="746"/>
    <x v="2"/>
    <x v="11"/>
    <x v="6"/>
    <d v="2023-04-03T00:00:00"/>
    <d v="2023-04-05T00:00:00"/>
    <n v="11.9"/>
    <n v="139.28"/>
    <s v="Delivered"/>
    <n v="1032"/>
    <n v="2"/>
    <x v="0"/>
    <n v="0.13496124031007753"/>
    <s v="fast"/>
  </r>
  <r>
    <x v="747"/>
    <x v="4"/>
    <x v="13"/>
    <x v="6"/>
    <d v="2023-01-25T00:00:00"/>
    <d v="2023-01-27T00:00:00"/>
    <n v="16.8"/>
    <n v="124.3"/>
    <s v="Delivered"/>
    <n v="1003"/>
    <n v="2"/>
    <x v="0"/>
    <n v="0.12392821535393818"/>
    <s v="fast"/>
  </r>
  <r>
    <x v="748"/>
    <x v="3"/>
    <x v="10"/>
    <x v="0"/>
    <d v="2023-10-13T00:00:00"/>
    <d v="2023-10-15T00:00:00"/>
    <n v="7.2"/>
    <n v="59.98"/>
    <s v="Delivered"/>
    <n v="367"/>
    <n v="2"/>
    <x v="0"/>
    <n v="0.16343324250681199"/>
    <s v="fast"/>
  </r>
  <r>
    <x v="749"/>
    <x v="7"/>
    <x v="11"/>
    <x v="5"/>
    <d v="2023-12-30T00:00:00"/>
    <d v="2024-01-06T00:00:00"/>
    <n v="11.6"/>
    <n v="264.5"/>
    <s v="Delivered"/>
    <n v="1614"/>
    <n v="7"/>
    <x v="0"/>
    <n v="0.16387856257744735"/>
    <s v="slow"/>
  </r>
  <r>
    <x v="750"/>
    <x v="1"/>
    <x v="6"/>
    <x v="5"/>
    <d v="2023-05-06T00:00:00"/>
    <d v="2023-05-11T00:00:00"/>
    <n v="7.8"/>
    <n v="53.18"/>
    <s v="Delivered"/>
    <n v="402"/>
    <n v="5"/>
    <x v="0"/>
    <n v="0.13228855721393035"/>
    <s v="slow"/>
  </r>
  <r>
    <x v="751"/>
    <x v="2"/>
    <x v="10"/>
    <x v="5"/>
    <d v="2023-08-22T00:00:00"/>
    <d v="2023-09-02T00:00:00"/>
    <n v="43.8"/>
    <n v="138.22999999999999"/>
    <s v="Delayed"/>
    <n v="691"/>
    <n v="3"/>
    <x v="1"/>
    <n v="0.20004341534008682"/>
    <s v="not applicabel"/>
  </r>
  <r>
    <x v="752"/>
    <x v="9"/>
    <x v="11"/>
    <x v="6"/>
    <d v="2023-07-20T00:00:00"/>
    <d v="2023-07-22T00:00:00"/>
    <n v="10.1"/>
    <n v="61.2"/>
    <s v="Delivered"/>
    <n v="469"/>
    <n v="2"/>
    <x v="0"/>
    <n v="0.13049040511727081"/>
    <s v="fast"/>
  </r>
  <r>
    <x v="753"/>
    <x v="0"/>
    <x v="7"/>
    <x v="6"/>
    <d v="2023-08-22T00:00:00"/>
    <d v="2023-08-30T00:00:00"/>
    <n v="24.7"/>
    <n v="280.23"/>
    <s v="Delivered"/>
    <n v="2030"/>
    <n v="8"/>
    <x v="0"/>
    <n v="0.13804433497536947"/>
    <s v="slow"/>
  </r>
  <r>
    <x v="754"/>
    <x v="9"/>
    <x v="12"/>
    <x v="3"/>
    <d v="2023-10-07T00:00:00"/>
    <d v="2023-10-10T00:00:00"/>
    <n v="26.5"/>
    <n v="155.19999999999999"/>
    <s v="Delivered"/>
    <n v="810"/>
    <n v="3"/>
    <x v="0"/>
    <n v="0.19160493827160494"/>
    <s v="fast"/>
  </r>
  <r>
    <x v="755"/>
    <x v="1"/>
    <x v="0"/>
    <x v="5"/>
    <d v="2023-12-06T00:00:00"/>
    <d v="2023-12-09T00:00:00"/>
    <n v="6.2"/>
    <n v="111.44"/>
    <s v="Delivered"/>
    <n v="735"/>
    <n v="3"/>
    <x v="0"/>
    <n v="0.15161904761904763"/>
    <s v="fast"/>
  </r>
  <r>
    <x v="756"/>
    <x v="9"/>
    <x v="12"/>
    <x v="1"/>
    <d v="2023-04-13T00:00:00"/>
    <d v="2023-04-15T00:00:00"/>
    <n v="10"/>
    <n v="45.28"/>
    <s v="Delivered"/>
    <n v="236"/>
    <n v="2"/>
    <x v="0"/>
    <n v="0.19186440677966102"/>
    <s v="fast"/>
  </r>
  <r>
    <x v="757"/>
    <x v="7"/>
    <x v="10"/>
    <x v="1"/>
    <d v="2023-04-12T00:00:00"/>
    <d v="2023-04-17T00:00:00"/>
    <n v="9.5"/>
    <n v="194.71"/>
    <s v="Delivered"/>
    <n v="1346"/>
    <n v="5"/>
    <x v="0"/>
    <n v="0.14465824665676077"/>
    <s v="slow"/>
  </r>
  <r>
    <x v="758"/>
    <x v="6"/>
    <x v="14"/>
    <x v="0"/>
    <d v="2023-04-27T00:00:00"/>
    <m/>
    <n v="12.1"/>
    <n v="140.94"/>
    <s v="Delivered"/>
    <n v="1030"/>
    <n v="3"/>
    <x v="4"/>
    <n v="0.13683495145631067"/>
    <s v="not applicabel"/>
  </r>
  <r>
    <x v="759"/>
    <x v="7"/>
    <x v="8"/>
    <x v="6"/>
    <d v="2023-08-24T00:00:00"/>
    <d v="2023-08-28T00:00:00"/>
    <n v="71"/>
    <n v="148.26"/>
    <s v="Delivered"/>
    <n v="706"/>
    <n v="4"/>
    <x v="0"/>
    <n v="0.21"/>
    <s v="fast"/>
  </r>
  <r>
    <x v="760"/>
    <x v="2"/>
    <x v="11"/>
    <x v="1"/>
    <d v="2023-08-18T00:00:00"/>
    <d v="2023-08-26T00:00:00"/>
    <n v="35.299999999999997"/>
    <n v="212.84"/>
    <s v="Delivered"/>
    <n v="1056"/>
    <n v="8"/>
    <x v="0"/>
    <n v="0.20155303030303032"/>
    <s v="slow"/>
  </r>
  <r>
    <x v="761"/>
    <x v="9"/>
    <x v="11"/>
    <x v="1"/>
    <d v="2023-07-07T00:00:00"/>
    <d v="2023-07-12T00:00:00"/>
    <n v="18.100000000000001"/>
    <n v="229.06"/>
    <s v="Delivered"/>
    <n v="1660"/>
    <n v="5"/>
    <x v="0"/>
    <n v="0.13798795180722892"/>
    <s v="slow"/>
  </r>
  <r>
    <x v="762"/>
    <x v="6"/>
    <x v="13"/>
    <x v="0"/>
    <d v="2023-11-04T00:00:00"/>
    <d v="2023-11-10T00:00:00"/>
    <n v="10.3"/>
    <n v="332.84"/>
    <s v="Delivered"/>
    <n v="2174"/>
    <n v="6"/>
    <x v="0"/>
    <n v="0.15310027598896042"/>
    <s v="slow"/>
  </r>
  <r>
    <x v="763"/>
    <x v="1"/>
    <x v="8"/>
    <x v="4"/>
    <d v="2023-04-19T00:00:00"/>
    <d v="2023-04-23T00:00:00"/>
    <n v="72.900000000000006"/>
    <n v="236.99"/>
    <s v="Delivered"/>
    <n v="1270"/>
    <n v="4"/>
    <x v="0"/>
    <n v="0.18660629921259844"/>
    <s v="fast"/>
  </r>
  <r>
    <x v="764"/>
    <x v="9"/>
    <x v="6"/>
    <x v="6"/>
    <d v="2023-01-20T00:00:00"/>
    <d v="2023-01-25T00:00:00"/>
    <n v="18.7"/>
    <n v="312.02"/>
    <s v="Delivered"/>
    <n v="2308"/>
    <n v="5"/>
    <x v="0"/>
    <n v="0.13519064124783362"/>
    <s v="slow"/>
  </r>
  <r>
    <x v="765"/>
    <x v="2"/>
    <x v="2"/>
    <x v="5"/>
    <d v="2023-01-14T00:00:00"/>
    <d v="2023-01-16T00:00:00"/>
    <n v="39.6"/>
    <n v="90.47"/>
    <s v="Delivered"/>
    <n v="307"/>
    <n v="2"/>
    <x v="0"/>
    <n v="0.29469055374592834"/>
    <s v="fast"/>
  </r>
  <r>
    <x v="766"/>
    <x v="0"/>
    <x v="10"/>
    <x v="5"/>
    <d v="2023-05-17T00:00:00"/>
    <d v="2023-05-21T00:00:00"/>
    <n v="10.8"/>
    <n v="125.78"/>
    <s v="Delivered"/>
    <n v="912"/>
    <n v="4"/>
    <x v="0"/>
    <n v="0.13791666666666666"/>
    <s v="fast"/>
  </r>
  <r>
    <x v="767"/>
    <x v="1"/>
    <x v="4"/>
    <x v="3"/>
    <d v="2023-01-16T00:00:00"/>
    <d v="2023-01-21T00:00:00"/>
    <n v="48.5"/>
    <n v="261.64"/>
    <s v="Delivered"/>
    <n v="1435"/>
    <n v="5"/>
    <x v="0"/>
    <n v="0.18232752613240416"/>
    <s v="slow"/>
  </r>
  <r>
    <x v="768"/>
    <x v="0"/>
    <x v="8"/>
    <x v="1"/>
    <d v="2023-08-24T00:00:00"/>
    <d v="2023-08-29T00:00:00"/>
    <n v="57.5"/>
    <n v="257.60000000000002"/>
    <s v="Delayed"/>
    <n v="1260"/>
    <n v="3"/>
    <x v="1"/>
    <n v="0.20444444444444446"/>
    <s v="not applicabel"/>
  </r>
  <r>
    <x v="769"/>
    <x v="9"/>
    <x v="5"/>
    <x v="6"/>
    <d v="2023-07-06T00:00:00"/>
    <d v="2023-07-10T00:00:00"/>
    <n v="13.6"/>
    <n v="204.17"/>
    <s v="Delivered"/>
    <n v="1646"/>
    <n v="4"/>
    <x v="0"/>
    <n v="0.12404009720534628"/>
    <s v="fast"/>
  </r>
  <r>
    <x v="770"/>
    <x v="5"/>
    <x v="9"/>
    <x v="0"/>
    <d v="2023-04-15T00:00:00"/>
    <d v="2023-04-21T00:00:00"/>
    <n v="7.7"/>
    <n v="284.58999999999997"/>
    <s v="Delivered"/>
    <n v="2012"/>
    <n v="6"/>
    <x v="0"/>
    <n v="0.14144632206759442"/>
    <s v="slow"/>
  </r>
  <r>
    <x v="771"/>
    <x v="5"/>
    <x v="7"/>
    <x v="3"/>
    <d v="2023-08-16T00:00:00"/>
    <d v="2023-08-18T00:00:00"/>
    <n v="41.8"/>
    <n v="84.62"/>
    <s v="Delivered"/>
    <n v="283"/>
    <n v="2"/>
    <x v="0"/>
    <n v="0.29901060070671381"/>
    <s v="fast"/>
  </r>
  <r>
    <x v="772"/>
    <x v="1"/>
    <x v="0"/>
    <x v="6"/>
    <d v="2023-06-01T00:00:00"/>
    <d v="2023-06-04T00:00:00"/>
    <n v="43.9"/>
    <n v="222.74"/>
    <s v="Delivered"/>
    <n v="1342"/>
    <n v="3"/>
    <x v="0"/>
    <n v="0.16597615499254845"/>
    <s v="fast"/>
  </r>
  <r>
    <x v="773"/>
    <x v="7"/>
    <x v="10"/>
    <x v="0"/>
    <d v="2023-07-29T00:00:00"/>
    <d v="2023-08-04T00:00:00"/>
    <n v="30"/>
    <n v="266.62"/>
    <s v="Delivered"/>
    <n v="2030"/>
    <n v="6"/>
    <x v="0"/>
    <n v="0.1313399014778325"/>
    <s v="slow"/>
  </r>
  <r>
    <x v="774"/>
    <x v="7"/>
    <x v="5"/>
    <x v="1"/>
    <d v="2023-04-11T00:00:00"/>
    <d v="2023-04-27T00:00:00"/>
    <n v="73.599999999999994"/>
    <n v="437.29"/>
    <s v="Delayed"/>
    <n v="2241"/>
    <n v="6"/>
    <x v="1"/>
    <n v="0.19513163766175814"/>
    <s v="not applicabel"/>
  </r>
  <r>
    <x v="775"/>
    <x v="0"/>
    <x v="11"/>
    <x v="5"/>
    <d v="2023-11-02T00:00:00"/>
    <d v="2023-11-07T00:00:00"/>
    <n v="23.2"/>
    <n v="51.9"/>
    <s v="Delivered"/>
    <n v="147"/>
    <n v="5"/>
    <x v="0"/>
    <n v="0.35306122448979593"/>
    <s v="slow"/>
  </r>
  <r>
    <x v="776"/>
    <x v="3"/>
    <x v="8"/>
    <x v="4"/>
    <d v="2023-09-09T00:00:00"/>
    <d v="2023-09-13T00:00:00"/>
    <n v="23.2"/>
    <n v="191.94"/>
    <s v="Delivered"/>
    <n v="1277"/>
    <n v="4"/>
    <x v="0"/>
    <n v="0.1503054032889585"/>
    <s v="fast"/>
  </r>
  <r>
    <x v="777"/>
    <x v="4"/>
    <x v="9"/>
    <x v="0"/>
    <d v="2023-10-01T00:00:00"/>
    <d v="2023-10-13T00:00:00"/>
    <n v="38"/>
    <n v="108.83"/>
    <s v="Delayed"/>
    <n v="527"/>
    <n v="2"/>
    <x v="1"/>
    <n v="0.20650853889943074"/>
    <s v="not applicabel"/>
  </r>
  <r>
    <x v="778"/>
    <x v="2"/>
    <x v="6"/>
    <x v="2"/>
    <d v="2023-09-26T00:00:00"/>
    <d v="2023-09-30T00:00:00"/>
    <n v="12.8"/>
    <n v="147.18"/>
    <s v="Delivered"/>
    <n v="1012"/>
    <n v="4"/>
    <x v="0"/>
    <n v="0.14543478260869566"/>
    <s v="fast"/>
  </r>
  <r>
    <x v="779"/>
    <x v="4"/>
    <x v="6"/>
    <x v="6"/>
    <d v="2023-02-24T00:00:00"/>
    <d v="2023-02-27T00:00:00"/>
    <n v="103.4"/>
    <n v="226.95"/>
    <s v="Delivered"/>
    <n v="779"/>
    <n v="3"/>
    <x v="0"/>
    <n v="0.29133504492939666"/>
    <s v="fast"/>
  </r>
  <r>
    <x v="780"/>
    <x v="4"/>
    <x v="8"/>
    <x v="4"/>
    <d v="2023-10-12T00:00:00"/>
    <d v="2023-10-21T00:00:00"/>
    <n v="44.1"/>
    <n v="319.83999999999997"/>
    <s v="Delivered"/>
    <n v="2372"/>
    <n v="9"/>
    <x v="0"/>
    <n v="0.1348397976391231"/>
    <s v="slow"/>
  </r>
  <r>
    <x v="781"/>
    <x v="3"/>
    <x v="4"/>
    <x v="5"/>
    <d v="2023-12-22T00:00:00"/>
    <d v="2023-12-26T00:00:00"/>
    <n v="22.3"/>
    <n v="223.83"/>
    <s v="Delivered"/>
    <n v="1234"/>
    <n v="4"/>
    <x v="0"/>
    <n v="0.18138573743922204"/>
    <s v="fast"/>
  </r>
  <r>
    <x v="782"/>
    <x v="8"/>
    <x v="2"/>
    <x v="2"/>
    <d v="2023-12-03T00:00:00"/>
    <d v="2023-12-07T00:00:00"/>
    <n v="17.3"/>
    <n v="218.41"/>
    <s v="Delivered"/>
    <n v="1246"/>
    <n v="4"/>
    <x v="0"/>
    <n v="0.17528892455858747"/>
    <s v="fast"/>
  </r>
  <r>
    <x v="783"/>
    <x v="2"/>
    <x v="4"/>
    <x v="5"/>
    <d v="2023-08-16T00:00:00"/>
    <d v="2023-08-19T00:00:00"/>
    <n v="19.3"/>
    <n v="147.72999999999999"/>
    <s v="Delivered"/>
    <n v="1068"/>
    <n v="3"/>
    <x v="0"/>
    <n v="0.13832397003745317"/>
    <s v="fast"/>
  </r>
  <r>
    <x v="784"/>
    <x v="9"/>
    <x v="10"/>
    <x v="6"/>
    <d v="2023-03-16T00:00:00"/>
    <d v="2023-03-21T00:00:00"/>
    <n v="22.5"/>
    <m/>
    <s v="Delivered"/>
    <n v="1164"/>
    <n v="5"/>
    <x v="0"/>
    <n v="0"/>
    <s v="slow"/>
  </r>
  <r>
    <x v="785"/>
    <x v="4"/>
    <x v="14"/>
    <x v="5"/>
    <d v="2023-02-01T00:00:00"/>
    <d v="2023-02-05T00:00:00"/>
    <n v="34"/>
    <n v="193.6"/>
    <s v="Lost"/>
    <n v="1192"/>
    <n v="4"/>
    <x v="2"/>
    <n v="0.16241610738255033"/>
    <s v="not applicabel"/>
  </r>
  <r>
    <x v="786"/>
    <x v="9"/>
    <x v="4"/>
    <x v="1"/>
    <d v="2023-04-20T00:00:00"/>
    <d v="2023-04-24T00:00:00"/>
    <n v="18.600000000000001"/>
    <n v="144.94999999999999"/>
    <s v="Returned"/>
    <n v="923"/>
    <n v="4"/>
    <x v="3"/>
    <n v="0.15704225352112675"/>
    <s v="not applicabel"/>
  </r>
  <r>
    <x v="787"/>
    <x v="4"/>
    <x v="2"/>
    <x v="1"/>
    <d v="2023-02-18T00:00:00"/>
    <d v="2023-02-21T00:00:00"/>
    <n v="16.899999999999999"/>
    <n v="208.26"/>
    <s v="Delivered"/>
    <n v="1434"/>
    <n v="3"/>
    <x v="0"/>
    <n v="0.14523012552301254"/>
    <s v="fast"/>
  </r>
  <r>
    <x v="788"/>
    <x v="2"/>
    <x v="10"/>
    <x v="5"/>
    <d v="2023-11-25T00:00:00"/>
    <d v="2023-12-02T00:00:00"/>
    <n v="36.9"/>
    <n v="307.39999999999998"/>
    <s v="Delivered"/>
    <n v="1682"/>
    <n v="7"/>
    <x v="0"/>
    <n v="0.18275862068965515"/>
    <s v="slow"/>
  </r>
  <r>
    <x v="789"/>
    <x v="1"/>
    <x v="4"/>
    <x v="2"/>
    <d v="2023-04-26T00:00:00"/>
    <d v="2023-04-30T00:00:00"/>
    <n v="26.3"/>
    <n v="200.48"/>
    <s v="Delivered"/>
    <n v="1435"/>
    <n v="4"/>
    <x v="0"/>
    <n v="0.13970731707317072"/>
    <s v="fast"/>
  </r>
  <r>
    <x v="790"/>
    <x v="1"/>
    <x v="14"/>
    <x v="3"/>
    <d v="2023-04-03T00:00:00"/>
    <d v="2023-04-08T00:00:00"/>
    <n v="12.5"/>
    <n v="326.12"/>
    <s v="Delivered"/>
    <n v="2386"/>
    <n v="5"/>
    <x v="0"/>
    <n v="0.13668063704945516"/>
    <s v="slow"/>
  </r>
  <r>
    <x v="791"/>
    <x v="8"/>
    <x v="13"/>
    <x v="3"/>
    <d v="2023-08-29T00:00:00"/>
    <d v="2023-09-02T00:00:00"/>
    <n v="6.8"/>
    <n v="155.94999999999999"/>
    <s v="Delivered"/>
    <n v="1007"/>
    <n v="4"/>
    <x v="0"/>
    <n v="0.15486593843098312"/>
    <s v="fast"/>
  </r>
  <r>
    <x v="792"/>
    <x v="0"/>
    <x v="5"/>
    <x v="0"/>
    <d v="2023-06-28T00:00:00"/>
    <d v="2023-07-02T00:00:00"/>
    <n v="15.4"/>
    <n v="238.58"/>
    <s v="Delivered"/>
    <n v="1636"/>
    <n v="4"/>
    <x v="0"/>
    <n v="0.14583129584352078"/>
    <s v="fast"/>
  </r>
  <r>
    <x v="793"/>
    <x v="4"/>
    <x v="9"/>
    <x v="5"/>
    <d v="2023-10-02T00:00:00"/>
    <d v="2023-10-17T00:00:00"/>
    <n v="46.9"/>
    <n v="180.87"/>
    <s v="Delayed"/>
    <n v="993"/>
    <n v="3"/>
    <x v="1"/>
    <n v="0.18214501510574019"/>
    <s v="not applicabel"/>
  </r>
  <r>
    <x v="794"/>
    <x v="0"/>
    <x v="7"/>
    <x v="5"/>
    <d v="2023-05-03T00:00:00"/>
    <d v="2023-05-07T00:00:00"/>
    <n v="19.2"/>
    <n v="132.01"/>
    <s v="Delivered"/>
    <n v="810"/>
    <n v="4"/>
    <x v="0"/>
    <n v="0.16297530864197529"/>
    <s v="fast"/>
  </r>
  <r>
    <x v="795"/>
    <x v="6"/>
    <x v="8"/>
    <x v="1"/>
    <d v="2023-02-07T00:00:00"/>
    <d v="2023-02-15T00:00:00"/>
    <n v="77.7"/>
    <m/>
    <s v="Delivered"/>
    <n v="2113"/>
    <n v="8"/>
    <x v="0"/>
    <n v="0"/>
    <s v="slow"/>
  </r>
  <r>
    <x v="796"/>
    <x v="1"/>
    <x v="8"/>
    <x v="4"/>
    <d v="2023-08-21T00:00:00"/>
    <d v="2023-08-25T00:00:00"/>
    <n v="12.4"/>
    <n v="228.09"/>
    <s v="Delivered"/>
    <n v="1640"/>
    <n v="4"/>
    <x v="0"/>
    <n v="0.13907926829268294"/>
    <s v="fast"/>
  </r>
  <r>
    <x v="797"/>
    <x v="6"/>
    <x v="3"/>
    <x v="1"/>
    <d v="2023-06-20T00:00:00"/>
    <d v="2023-06-24T00:00:00"/>
    <n v="9.6999999999999993"/>
    <n v="233.83"/>
    <s v="Delivered"/>
    <n v="1517"/>
    <n v="4"/>
    <x v="0"/>
    <n v="0.15413974950560316"/>
    <s v="fast"/>
  </r>
  <r>
    <x v="798"/>
    <x v="6"/>
    <x v="12"/>
    <x v="4"/>
    <d v="2023-05-10T00:00:00"/>
    <d v="2023-05-16T00:00:00"/>
    <n v="12.3"/>
    <n v="306.2"/>
    <s v="Delivered"/>
    <n v="2458"/>
    <n v="6"/>
    <x v="0"/>
    <n v="0.12457282343368592"/>
    <s v="slow"/>
  </r>
  <r>
    <x v="799"/>
    <x v="5"/>
    <x v="7"/>
    <x v="2"/>
    <d v="2023-01-20T00:00:00"/>
    <m/>
    <n v="70"/>
    <n v="123.86"/>
    <s v="Delivered"/>
    <n v="283"/>
    <n v="3"/>
    <x v="4"/>
    <n v="0.4376678445229682"/>
    <s v="not applicabel"/>
  </r>
  <r>
    <x v="800"/>
    <x v="6"/>
    <x v="11"/>
    <x v="0"/>
    <d v="2023-06-12T00:00:00"/>
    <d v="2023-06-17T00:00:00"/>
    <n v="9.9"/>
    <n v="282.29000000000002"/>
    <s v="Delivered"/>
    <n v="2114"/>
    <n v="5"/>
    <x v="0"/>
    <n v="0.13353358561967835"/>
    <s v="slow"/>
  </r>
  <r>
    <x v="801"/>
    <x v="3"/>
    <x v="9"/>
    <x v="4"/>
    <d v="2023-06-01T00:00:00"/>
    <d v="2023-06-07T00:00:00"/>
    <n v="24.8"/>
    <n v="213.13"/>
    <s v="Delivered"/>
    <n v="1683"/>
    <n v="6"/>
    <x v="0"/>
    <n v="0.1266369578134284"/>
    <s v="slow"/>
  </r>
  <r>
    <x v="802"/>
    <x v="9"/>
    <x v="4"/>
    <x v="6"/>
    <d v="2023-10-27T00:00:00"/>
    <d v="2023-10-29T00:00:00"/>
    <n v="4.5999999999999996"/>
    <n v="44.35"/>
    <s v="Delivered"/>
    <n v="345"/>
    <n v="2"/>
    <x v="0"/>
    <n v="0.12855072463768116"/>
    <s v="fast"/>
  </r>
  <r>
    <x v="803"/>
    <x v="0"/>
    <x v="7"/>
    <x v="2"/>
    <d v="2023-03-31T00:00:00"/>
    <d v="2023-04-06T00:00:00"/>
    <n v="4.8"/>
    <n v="287.60000000000002"/>
    <s v="Delivered"/>
    <n v="2470"/>
    <n v="6"/>
    <x v="0"/>
    <n v="0.11643724696356277"/>
    <s v="slow"/>
  </r>
  <r>
    <x v="804"/>
    <x v="2"/>
    <x v="8"/>
    <x v="1"/>
    <d v="2023-06-03T00:00:00"/>
    <d v="2023-06-05T00:00:00"/>
    <n v="19.2"/>
    <m/>
    <s v="Delivered"/>
    <n v="285"/>
    <n v="2"/>
    <x v="0"/>
    <n v="0"/>
    <s v="fast"/>
  </r>
  <r>
    <x v="805"/>
    <x v="6"/>
    <x v="8"/>
    <x v="0"/>
    <d v="2023-02-08T00:00:00"/>
    <d v="2023-02-15T00:00:00"/>
    <n v="40.1"/>
    <n v="104.23"/>
    <s v="Delayed"/>
    <n v="428"/>
    <n v="2"/>
    <x v="1"/>
    <n v="0.24352803738317758"/>
    <s v="not applicabel"/>
  </r>
  <r>
    <x v="806"/>
    <x v="0"/>
    <x v="8"/>
    <x v="4"/>
    <d v="2023-02-22T00:00:00"/>
    <d v="2023-02-28T00:00:00"/>
    <n v="38.4"/>
    <n v="276.83"/>
    <s v="Delivered"/>
    <n v="1780"/>
    <n v="6"/>
    <x v="0"/>
    <n v="0.15552247191011234"/>
    <s v="slow"/>
  </r>
  <r>
    <x v="807"/>
    <x v="3"/>
    <x v="3"/>
    <x v="6"/>
    <d v="2023-08-11T00:00:00"/>
    <d v="2023-08-16T00:00:00"/>
    <n v="30.3"/>
    <n v="247.69"/>
    <s v="Delivered"/>
    <n v="2049"/>
    <n v="5"/>
    <x v="0"/>
    <n v="0.12088335773548071"/>
    <s v="slow"/>
  </r>
  <r>
    <x v="808"/>
    <x v="7"/>
    <x v="10"/>
    <x v="3"/>
    <d v="2023-12-25T00:00:00"/>
    <d v="2024-01-03T00:00:00"/>
    <n v="14.1"/>
    <n v="430.99"/>
    <s v="Delivered"/>
    <n v="2363"/>
    <n v="9"/>
    <x v="0"/>
    <n v="0.18239102835378757"/>
    <s v="slow"/>
  </r>
  <r>
    <x v="809"/>
    <x v="7"/>
    <x v="8"/>
    <x v="2"/>
    <d v="2023-11-26T00:00:00"/>
    <d v="2023-12-03T00:00:00"/>
    <n v="6.2"/>
    <n v="314.26"/>
    <s v="Delivered"/>
    <n v="2315"/>
    <n v="7"/>
    <x v="0"/>
    <n v="0.13574946004319655"/>
    <s v="slow"/>
  </r>
  <r>
    <x v="810"/>
    <x v="0"/>
    <x v="7"/>
    <x v="4"/>
    <d v="2023-03-31T00:00:00"/>
    <d v="2023-04-03T00:00:00"/>
    <n v="51.8"/>
    <n v="231.8"/>
    <s v="Delivered"/>
    <n v="1415"/>
    <n v="3"/>
    <x v="0"/>
    <n v="0.16381625441696113"/>
    <s v="fast"/>
  </r>
  <r>
    <x v="811"/>
    <x v="0"/>
    <x v="8"/>
    <x v="6"/>
    <d v="2023-09-08T00:00:00"/>
    <d v="2023-09-11T00:00:00"/>
    <n v="24.6"/>
    <n v="87.65"/>
    <s v="In Transit"/>
    <n v="454"/>
    <n v="3"/>
    <x v="0"/>
    <n v="0.19306167400881058"/>
    <s v="fast"/>
  </r>
  <r>
    <x v="812"/>
    <x v="0"/>
    <x v="6"/>
    <x v="5"/>
    <d v="2023-11-02T00:00:00"/>
    <d v="2023-11-04T00:00:00"/>
    <n v="18.399999999999999"/>
    <n v="151.66999999999999"/>
    <s v="Delivered"/>
    <n v="862"/>
    <n v="2"/>
    <x v="0"/>
    <n v="0.17595127610208816"/>
    <s v="fast"/>
  </r>
  <r>
    <x v="813"/>
    <x v="9"/>
    <x v="9"/>
    <x v="2"/>
    <d v="2023-11-26T00:00:00"/>
    <d v="2023-12-02T00:00:00"/>
    <n v="14.5"/>
    <n v="301.8"/>
    <s v="Delivered"/>
    <n v="1889"/>
    <n v="6"/>
    <x v="0"/>
    <n v="0.15976707252514558"/>
    <s v="slow"/>
  </r>
  <r>
    <x v="814"/>
    <x v="8"/>
    <x v="13"/>
    <x v="5"/>
    <d v="2023-08-19T00:00:00"/>
    <d v="2023-08-22T00:00:00"/>
    <n v="14.7"/>
    <n v="124.34"/>
    <s v="Delivered"/>
    <n v="909"/>
    <n v="3"/>
    <x v="0"/>
    <n v="0.13678767876787679"/>
    <s v="fast"/>
  </r>
  <r>
    <x v="815"/>
    <x v="5"/>
    <x v="6"/>
    <x v="5"/>
    <d v="2023-09-25T00:00:00"/>
    <d v="2023-09-27T00:00:00"/>
    <n v="46.3"/>
    <n v="140.84"/>
    <s v="Delivered"/>
    <n v="675"/>
    <n v="2"/>
    <x v="0"/>
    <n v="0.20865185185185187"/>
    <s v="fast"/>
  </r>
  <r>
    <x v="816"/>
    <x v="2"/>
    <x v="5"/>
    <x v="5"/>
    <d v="2023-11-24T00:00:00"/>
    <d v="2023-11-28T00:00:00"/>
    <n v="17"/>
    <n v="113.42"/>
    <s v="Lost"/>
    <n v="677"/>
    <n v="4"/>
    <x v="2"/>
    <n v="0.16753323485967503"/>
    <s v="not applicabel"/>
  </r>
  <r>
    <x v="817"/>
    <x v="4"/>
    <x v="10"/>
    <x v="6"/>
    <d v="2023-11-07T00:00:00"/>
    <d v="2023-11-12T00:00:00"/>
    <n v="36.1"/>
    <n v="234.42"/>
    <s v="Delivered"/>
    <n v="1315"/>
    <n v="5"/>
    <x v="0"/>
    <n v="0.17826615969581749"/>
    <s v="slow"/>
  </r>
  <r>
    <x v="818"/>
    <x v="5"/>
    <x v="3"/>
    <x v="5"/>
    <d v="2023-09-21T00:00:00"/>
    <d v="2023-09-23T00:00:00"/>
    <n v="57.5"/>
    <n v="82.81"/>
    <s v="Delivered"/>
    <n v="105"/>
    <n v="2"/>
    <x v="0"/>
    <n v="0.78866666666666674"/>
    <s v="fast"/>
  </r>
  <r>
    <x v="819"/>
    <x v="1"/>
    <x v="5"/>
    <x v="6"/>
    <d v="2023-11-13T00:00:00"/>
    <d v="2023-11-18T00:00:00"/>
    <n v="25.2"/>
    <n v="283.73"/>
    <s v="Delivered"/>
    <n v="1791"/>
    <n v="5"/>
    <x v="0"/>
    <n v="0.15841987716359576"/>
    <s v="slow"/>
  </r>
  <r>
    <x v="820"/>
    <x v="6"/>
    <x v="2"/>
    <x v="6"/>
    <d v="2023-07-24T00:00:00"/>
    <d v="2023-07-29T00:00:00"/>
    <n v="97.3"/>
    <n v="286.39"/>
    <s v="Delivered"/>
    <n v="1778"/>
    <n v="5"/>
    <x v="0"/>
    <n v="0.16107424071991"/>
    <s v="slow"/>
  </r>
  <r>
    <x v="821"/>
    <x v="4"/>
    <x v="11"/>
    <x v="6"/>
    <d v="2023-03-12T00:00:00"/>
    <d v="2023-03-14T00:00:00"/>
    <n v="7.3"/>
    <n v="35.270000000000003"/>
    <s v="Delivered"/>
    <n v="209"/>
    <n v="2"/>
    <x v="0"/>
    <n v="0.16875598086124402"/>
    <s v="fast"/>
  </r>
  <r>
    <x v="822"/>
    <x v="8"/>
    <x v="4"/>
    <x v="2"/>
    <d v="2023-05-31T00:00:00"/>
    <d v="2023-06-04T00:00:00"/>
    <n v="21.4"/>
    <n v="73.84"/>
    <s v="Delivered"/>
    <n v="350"/>
    <n v="4"/>
    <x v="0"/>
    <n v="0.21097142857142859"/>
    <s v="fast"/>
  </r>
  <r>
    <x v="823"/>
    <x v="9"/>
    <x v="12"/>
    <x v="1"/>
    <d v="2023-01-18T00:00:00"/>
    <d v="2023-01-24T00:00:00"/>
    <n v="50.2"/>
    <n v="326.57"/>
    <s v="Delivered"/>
    <n v="1802"/>
    <n v="6"/>
    <x v="0"/>
    <n v="0.18122641509433962"/>
    <s v="slow"/>
  </r>
  <r>
    <x v="824"/>
    <x v="4"/>
    <x v="12"/>
    <x v="6"/>
    <d v="2023-10-19T00:00:00"/>
    <d v="2023-10-22T00:00:00"/>
    <n v="5.8"/>
    <n v="120.42"/>
    <s v="Delivered"/>
    <n v="1093"/>
    <n v="3"/>
    <x v="0"/>
    <n v="0.11017383348581884"/>
    <s v="fast"/>
  </r>
  <r>
    <x v="825"/>
    <x v="8"/>
    <x v="1"/>
    <x v="3"/>
    <d v="2023-11-13T00:00:00"/>
    <d v="2023-11-19T00:00:00"/>
    <n v="9.6999999999999993"/>
    <n v="162.41999999999999"/>
    <s v="Delivered"/>
    <n v="870"/>
    <n v="6"/>
    <x v="0"/>
    <n v="0.18668965517241379"/>
    <s v="slow"/>
  </r>
  <r>
    <x v="826"/>
    <x v="1"/>
    <x v="13"/>
    <x v="3"/>
    <d v="2023-09-10T00:00:00"/>
    <d v="2023-09-14T00:00:00"/>
    <n v="39.1"/>
    <n v="277.98"/>
    <s v="Delivered"/>
    <n v="1645"/>
    <n v="4"/>
    <x v="0"/>
    <n v="0.16898480243161096"/>
    <s v="fast"/>
  </r>
  <r>
    <x v="827"/>
    <x v="8"/>
    <x v="7"/>
    <x v="1"/>
    <d v="2023-08-24T00:00:00"/>
    <d v="2023-08-26T00:00:00"/>
    <n v="27.7"/>
    <n v="51.34"/>
    <s v="Delivered"/>
    <n v="121"/>
    <n v="2"/>
    <x v="0"/>
    <n v="0.42429752066115706"/>
    <s v="fast"/>
  </r>
  <r>
    <x v="828"/>
    <x v="6"/>
    <x v="1"/>
    <x v="6"/>
    <d v="2023-01-16T00:00:00"/>
    <d v="2023-01-18T00:00:00"/>
    <n v="38.4"/>
    <n v="125.03"/>
    <s v="Delivered"/>
    <n v="800"/>
    <n v="2"/>
    <x v="0"/>
    <n v="0.1562875"/>
    <s v="fast"/>
  </r>
  <r>
    <x v="829"/>
    <x v="5"/>
    <x v="7"/>
    <x v="2"/>
    <d v="2023-02-03T00:00:00"/>
    <d v="2023-02-04T00:00:00"/>
    <n v="0"/>
    <n v="35.85"/>
    <s v="Delivered"/>
    <n v="283"/>
    <n v="1"/>
    <x v="0"/>
    <n v="0.126678445229682"/>
    <s v="fast"/>
  </r>
  <r>
    <x v="830"/>
    <x v="6"/>
    <x v="12"/>
    <x v="2"/>
    <d v="2023-03-05T00:00:00"/>
    <d v="2023-03-06T00:00:00"/>
    <n v="12.8"/>
    <n v="41.3"/>
    <s v="Delivered"/>
    <n v="205"/>
    <n v="1"/>
    <x v="0"/>
    <n v="0.20146341463414633"/>
    <s v="fast"/>
  </r>
  <r>
    <x v="831"/>
    <x v="5"/>
    <x v="8"/>
    <x v="6"/>
    <d v="2023-04-22T00:00:00"/>
    <d v="2023-04-26T00:00:00"/>
    <n v="42.2"/>
    <n v="271.44"/>
    <s v="Delivered"/>
    <n v="1943"/>
    <n v="4"/>
    <x v="0"/>
    <n v="0.13970149253731343"/>
    <s v="fast"/>
  </r>
  <r>
    <x v="832"/>
    <x v="1"/>
    <x v="2"/>
    <x v="4"/>
    <d v="2023-09-07T00:00:00"/>
    <d v="2023-09-10T00:00:00"/>
    <n v="13.3"/>
    <n v="179.74"/>
    <s v="Delivered"/>
    <n v="1317"/>
    <n v="3"/>
    <x v="0"/>
    <n v="0.13647684130599849"/>
    <s v="fast"/>
  </r>
  <r>
    <x v="833"/>
    <x v="0"/>
    <x v="5"/>
    <x v="1"/>
    <d v="2023-07-10T00:00:00"/>
    <d v="2023-07-11T00:00:00"/>
    <n v="12.4"/>
    <n v="47.25"/>
    <s v="Delivered"/>
    <n v="237"/>
    <n v="1"/>
    <x v="0"/>
    <n v="0.19936708860759494"/>
    <s v="fast"/>
  </r>
  <r>
    <x v="834"/>
    <x v="2"/>
    <x v="7"/>
    <x v="6"/>
    <d v="2023-02-25T00:00:00"/>
    <d v="2023-02-27T00:00:00"/>
    <n v="12.2"/>
    <n v="70.06"/>
    <s v="Delivered"/>
    <n v="489"/>
    <n v="2"/>
    <x v="0"/>
    <n v="0.14327198364008181"/>
    <s v="fast"/>
  </r>
  <r>
    <x v="835"/>
    <x v="5"/>
    <x v="10"/>
    <x v="5"/>
    <d v="2023-06-20T00:00:00"/>
    <d v="2023-06-24T00:00:00"/>
    <n v="28.6"/>
    <n v="223.2"/>
    <s v="Delivered"/>
    <n v="1752"/>
    <n v="4"/>
    <x v="0"/>
    <n v="0.12739726027397261"/>
    <s v="fast"/>
  </r>
  <r>
    <x v="836"/>
    <x v="5"/>
    <x v="11"/>
    <x v="3"/>
    <d v="2023-05-22T00:00:00"/>
    <d v="2023-05-25T00:00:00"/>
    <n v="12.3"/>
    <n v="199.26"/>
    <s v="Delivered"/>
    <n v="1350"/>
    <n v="3"/>
    <x v="0"/>
    <n v="0.14759999999999998"/>
    <s v="fast"/>
  </r>
  <r>
    <x v="837"/>
    <x v="9"/>
    <x v="0"/>
    <x v="6"/>
    <d v="2023-06-12T00:00:00"/>
    <d v="2023-06-16T00:00:00"/>
    <n v="7.5"/>
    <n v="165.29"/>
    <s v="Delivered"/>
    <n v="1323"/>
    <n v="4"/>
    <x v="0"/>
    <n v="0.12493575207860921"/>
    <s v="fast"/>
  </r>
  <r>
    <x v="838"/>
    <x v="2"/>
    <x v="0"/>
    <x v="2"/>
    <d v="2023-08-19T00:00:00"/>
    <d v="2023-08-25T00:00:00"/>
    <n v="10.4"/>
    <n v="45.53"/>
    <s v="Delivered"/>
    <n v="255"/>
    <n v="6"/>
    <x v="0"/>
    <n v="0.17854901960784314"/>
    <s v="slow"/>
  </r>
  <r>
    <x v="839"/>
    <x v="1"/>
    <x v="5"/>
    <x v="0"/>
    <d v="2023-09-24T00:00:00"/>
    <d v="2023-09-27T00:00:00"/>
    <n v="33.5"/>
    <n v="88.12"/>
    <s v="Delivered"/>
    <n v="420"/>
    <n v="3"/>
    <x v="0"/>
    <n v="0.20980952380952381"/>
    <s v="fast"/>
  </r>
  <r>
    <x v="840"/>
    <x v="5"/>
    <x v="1"/>
    <x v="5"/>
    <d v="2023-08-13T00:00:00"/>
    <d v="2023-08-19T00:00:00"/>
    <n v="16.899999999999999"/>
    <n v="192.93"/>
    <s v="Delivered"/>
    <n v="1506"/>
    <n v="6"/>
    <x v="0"/>
    <n v="0.12810756972111553"/>
    <s v="slow"/>
  </r>
  <r>
    <x v="841"/>
    <x v="0"/>
    <x v="10"/>
    <x v="5"/>
    <d v="2023-11-08T00:00:00"/>
    <d v="2023-11-13T00:00:00"/>
    <n v="25.9"/>
    <n v="272"/>
    <s v="Delivered"/>
    <n v="1763"/>
    <n v="5"/>
    <x v="0"/>
    <n v="0.1542824730572887"/>
    <s v="slow"/>
  </r>
  <r>
    <x v="842"/>
    <x v="2"/>
    <x v="9"/>
    <x v="3"/>
    <d v="2023-03-20T00:00:00"/>
    <d v="2023-03-24T00:00:00"/>
    <n v="6.2"/>
    <n v="217.1"/>
    <s v="Delivered"/>
    <n v="1483"/>
    <n v="4"/>
    <x v="0"/>
    <n v="0.14639244774106541"/>
    <s v="fast"/>
  </r>
  <r>
    <x v="843"/>
    <x v="4"/>
    <x v="9"/>
    <x v="3"/>
    <d v="2023-03-25T00:00:00"/>
    <d v="2023-03-30T00:00:00"/>
    <n v="7.3"/>
    <n v="238.37"/>
    <s v="Delivered"/>
    <n v="1921"/>
    <n v="5"/>
    <x v="0"/>
    <n v="0.1240864133263925"/>
    <s v="slow"/>
  </r>
  <r>
    <x v="844"/>
    <x v="3"/>
    <x v="1"/>
    <x v="5"/>
    <d v="2023-08-14T00:00:00"/>
    <d v="2023-08-19T00:00:00"/>
    <n v="30.8"/>
    <n v="251.75"/>
    <s v="Delivered"/>
    <n v="1737"/>
    <n v="5"/>
    <x v="0"/>
    <n v="0.14493379389752448"/>
    <s v="slow"/>
  </r>
  <r>
    <x v="845"/>
    <x v="2"/>
    <x v="11"/>
    <x v="2"/>
    <d v="2023-01-20T00:00:00"/>
    <d v="2023-01-23T00:00:00"/>
    <n v="3.6"/>
    <n v="68.650000000000006"/>
    <s v="Returned"/>
    <n v="560"/>
    <n v="3"/>
    <x v="3"/>
    <n v="0.12258928571428572"/>
    <s v="not applicabel"/>
  </r>
  <r>
    <x v="846"/>
    <x v="6"/>
    <x v="4"/>
    <x v="2"/>
    <d v="2023-01-08T00:00:00"/>
    <d v="2023-01-11T00:00:00"/>
    <n v="63.5"/>
    <n v="192.27"/>
    <s v="Delivered"/>
    <n v="1118"/>
    <n v="3"/>
    <x v="0"/>
    <n v="0.17197674418604653"/>
    <s v="fast"/>
  </r>
  <r>
    <x v="847"/>
    <x v="5"/>
    <x v="7"/>
    <x v="3"/>
    <d v="2023-02-15T00:00:00"/>
    <d v="2023-02-16T00:00:00"/>
    <n v="53.7"/>
    <n v="113.89"/>
    <s v="Delivered"/>
    <n v="283"/>
    <n v="1"/>
    <x v="0"/>
    <n v="0.40243816254416959"/>
    <s v="fast"/>
  </r>
  <r>
    <x v="848"/>
    <x v="9"/>
    <x v="3"/>
    <x v="4"/>
    <d v="2023-03-23T00:00:00"/>
    <d v="2023-03-29T00:00:00"/>
    <n v="10.3"/>
    <n v="312.01"/>
    <s v="Delivered"/>
    <n v="2287"/>
    <n v="6"/>
    <x v="0"/>
    <n v="0.1364276344556187"/>
    <s v="slow"/>
  </r>
  <r>
    <x v="849"/>
    <x v="8"/>
    <x v="12"/>
    <x v="1"/>
    <d v="2023-03-16T00:00:00"/>
    <d v="2023-03-19T00:00:00"/>
    <n v="23.7"/>
    <n v="105.39"/>
    <s v="Delivered"/>
    <n v="475"/>
    <n v="3"/>
    <x v="0"/>
    <n v="0.22187368421052631"/>
    <s v="fast"/>
  </r>
  <r>
    <x v="850"/>
    <x v="0"/>
    <x v="1"/>
    <x v="3"/>
    <d v="2023-12-16T00:00:00"/>
    <d v="2023-12-30T00:00:00"/>
    <n v="12.4"/>
    <n v="55.37"/>
    <s v="Delayed"/>
    <n v="253"/>
    <n v="1"/>
    <x v="1"/>
    <n v="0.21885375494071146"/>
    <s v="not applicabel"/>
  </r>
  <r>
    <x v="851"/>
    <x v="5"/>
    <x v="1"/>
    <x v="0"/>
    <d v="2023-10-15T00:00:00"/>
    <d v="2023-10-19T00:00:00"/>
    <n v="21.5"/>
    <n v="163.13"/>
    <s v="Delivered"/>
    <n v="976"/>
    <n v="4"/>
    <x v="0"/>
    <n v="0.16714139344262294"/>
    <s v="fast"/>
  </r>
  <r>
    <x v="852"/>
    <x v="6"/>
    <x v="14"/>
    <x v="3"/>
    <d v="2023-10-09T00:00:00"/>
    <d v="2023-10-12T00:00:00"/>
    <n v="13.7"/>
    <n v="151.52000000000001"/>
    <s v="Delivered"/>
    <n v="1030"/>
    <n v="3"/>
    <x v="0"/>
    <n v="0.14710679611650487"/>
    <s v="fast"/>
  </r>
  <r>
    <x v="853"/>
    <x v="2"/>
    <x v="8"/>
    <x v="6"/>
    <d v="2023-02-16T00:00:00"/>
    <d v="2023-02-20T00:00:00"/>
    <n v="11.5"/>
    <n v="215.48"/>
    <s v="Delivered"/>
    <n v="1702"/>
    <n v="4"/>
    <x v="0"/>
    <n v="0.12660399529964747"/>
    <s v="fast"/>
  </r>
  <r>
    <x v="854"/>
    <x v="9"/>
    <x v="13"/>
    <x v="3"/>
    <d v="2023-12-24T00:00:00"/>
    <d v="2023-12-28T00:00:00"/>
    <n v="7.2"/>
    <n v="340.75"/>
    <s v="Returned"/>
    <n v="2010"/>
    <n v="4"/>
    <x v="3"/>
    <n v="0.1695273631840796"/>
    <s v="not applicabel"/>
  </r>
  <r>
    <x v="855"/>
    <x v="6"/>
    <x v="3"/>
    <x v="4"/>
    <d v="2023-02-27T00:00:00"/>
    <d v="2023-03-05T00:00:00"/>
    <n v="12.9"/>
    <n v="311.31"/>
    <s v="Delivered"/>
    <n v="2323"/>
    <n v="6"/>
    <x v="0"/>
    <n v="0.13401205337925096"/>
    <s v="slow"/>
  </r>
  <r>
    <x v="856"/>
    <x v="8"/>
    <x v="7"/>
    <x v="4"/>
    <d v="2023-03-08T00:00:00"/>
    <d v="2023-03-13T00:00:00"/>
    <n v="16.3"/>
    <n v="299.25"/>
    <s v="Delivered"/>
    <n v="2263"/>
    <n v="5"/>
    <x v="0"/>
    <n v="0.13223596995139195"/>
    <s v="slow"/>
  </r>
  <r>
    <x v="857"/>
    <x v="7"/>
    <x v="12"/>
    <x v="3"/>
    <d v="2023-11-14T00:00:00"/>
    <d v="2023-11-17T00:00:00"/>
    <n v="8.3000000000000007"/>
    <n v="166.12"/>
    <s v="Delivered"/>
    <n v="1054"/>
    <n v="3"/>
    <x v="0"/>
    <n v="0.1576091081593928"/>
    <s v="fast"/>
  </r>
  <r>
    <x v="858"/>
    <x v="3"/>
    <x v="10"/>
    <x v="3"/>
    <d v="2023-10-25T00:00:00"/>
    <d v="2023-10-29T00:00:00"/>
    <n v="11.6"/>
    <n v="147.12"/>
    <s v="Delivered"/>
    <n v="905"/>
    <n v="4"/>
    <x v="0"/>
    <n v="0.16256353591160222"/>
    <s v="fast"/>
  </r>
  <r>
    <x v="859"/>
    <x v="9"/>
    <x v="1"/>
    <x v="6"/>
    <d v="2023-08-04T00:00:00"/>
    <d v="2023-08-09T00:00:00"/>
    <n v="9.1"/>
    <n v="144.68"/>
    <s v="Delivered"/>
    <n v="1069"/>
    <n v="5"/>
    <x v="0"/>
    <n v="0.13534144059869038"/>
    <s v="slow"/>
  </r>
  <r>
    <x v="860"/>
    <x v="2"/>
    <x v="4"/>
    <x v="0"/>
    <d v="2023-02-11T00:00:00"/>
    <d v="2023-02-17T00:00:00"/>
    <n v="26.8"/>
    <n v="317.7"/>
    <s v="Delivered"/>
    <n v="2274"/>
    <n v="6"/>
    <x v="0"/>
    <n v="0.13970976253298154"/>
    <s v="slow"/>
  </r>
  <r>
    <x v="861"/>
    <x v="3"/>
    <x v="1"/>
    <x v="0"/>
    <d v="2023-11-03T00:00:00"/>
    <d v="2023-11-05T00:00:00"/>
    <n v="14.9"/>
    <n v="50"/>
    <s v="Delivered"/>
    <n v="161"/>
    <n v="2"/>
    <x v="0"/>
    <n v="0.3105590062111801"/>
    <s v="fast"/>
  </r>
  <r>
    <x v="862"/>
    <x v="0"/>
    <x v="2"/>
    <x v="2"/>
    <d v="2023-09-20T00:00:00"/>
    <d v="2023-09-24T00:00:00"/>
    <n v="139.30000000000001"/>
    <n v="235.27"/>
    <s v="Delivered"/>
    <n v="547"/>
    <n v="4"/>
    <x v="0"/>
    <n v="0.43010968921389398"/>
    <s v="fast"/>
  </r>
  <r>
    <x v="863"/>
    <x v="8"/>
    <x v="9"/>
    <x v="4"/>
    <d v="2023-05-13T00:00:00"/>
    <d v="2023-05-15T00:00:00"/>
    <n v="85.2"/>
    <n v="135.66999999999999"/>
    <s v="Delivered"/>
    <n v="215"/>
    <n v="2"/>
    <x v="0"/>
    <n v="0.63102325581395347"/>
    <s v="fast"/>
  </r>
  <r>
    <x v="864"/>
    <x v="6"/>
    <x v="9"/>
    <x v="3"/>
    <d v="2023-10-03T00:00:00"/>
    <d v="2023-10-09T00:00:00"/>
    <n v="61.4"/>
    <n v="405.09"/>
    <s v="Delivered"/>
    <n v="2282"/>
    <n v="6"/>
    <x v="0"/>
    <n v="0.17751533742331288"/>
    <s v="slow"/>
  </r>
  <r>
    <x v="865"/>
    <x v="4"/>
    <x v="8"/>
    <x v="4"/>
    <d v="2023-08-23T00:00:00"/>
    <d v="2023-09-03T00:00:00"/>
    <n v="72.5"/>
    <n v="350.54"/>
    <s v="Delayed"/>
    <n v="2411"/>
    <n v="7"/>
    <x v="1"/>
    <n v="0.14539195354624637"/>
    <s v="not applicabel"/>
  </r>
  <r>
    <x v="866"/>
    <x v="7"/>
    <x v="4"/>
    <x v="1"/>
    <d v="2023-06-29T00:00:00"/>
    <d v="2023-07-02T00:00:00"/>
    <n v="26.8"/>
    <n v="176.88"/>
    <s v="Delivered"/>
    <n v="1008"/>
    <n v="3"/>
    <x v="0"/>
    <n v="0.17547619047619048"/>
    <s v="fast"/>
  </r>
  <r>
    <x v="867"/>
    <x v="4"/>
    <x v="0"/>
    <x v="3"/>
    <d v="2023-07-08T00:00:00"/>
    <d v="2023-07-18T00:00:00"/>
    <n v="34.200000000000003"/>
    <n v="93.52"/>
    <s v="Delayed"/>
    <n v="439"/>
    <n v="3"/>
    <x v="1"/>
    <n v="0.21302961275626422"/>
    <s v="not applicabel"/>
  </r>
  <r>
    <x v="868"/>
    <x v="4"/>
    <x v="8"/>
    <x v="3"/>
    <d v="2023-03-09T00:00:00"/>
    <m/>
    <n v="45.4"/>
    <n v="84.91"/>
    <s v="Delivered"/>
    <n v="151"/>
    <n v="2"/>
    <x v="4"/>
    <n v="0.56231788079470202"/>
    <s v="not applicabel"/>
  </r>
  <r>
    <x v="869"/>
    <x v="0"/>
    <x v="3"/>
    <x v="5"/>
    <d v="2023-07-08T00:00:00"/>
    <d v="2023-07-13T00:00:00"/>
    <n v="64"/>
    <n v="233.21"/>
    <s v="Delivered"/>
    <n v="1235"/>
    <n v="5"/>
    <x v="0"/>
    <n v="0.188834008097166"/>
    <s v="slow"/>
  </r>
  <r>
    <x v="870"/>
    <x v="4"/>
    <x v="9"/>
    <x v="4"/>
    <d v="2023-09-09T00:00:00"/>
    <d v="2023-09-13T00:00:00"/>
    <n v="32.9"/>
    <n v="227.09"/>
    <s v="In Transit"/>
    <n v="1512"/>
    <n v="4"/>
    <x v="0"/>
    <n v="0.15019179894179893"/>
    <s v="fast"/>
  </r>
  <r>
    <x v="871"/>
    <x v="0"/>
    <x v="3"/>
    <x v="4"/>
    <d v="2023-06-04T00:00:00"/>
    <d v="2023-06-10T00:00:00"/>
    <n v="81.900000000000006"/>
    <n v="300.38"/>
    <s v="Delivered"/>
    <n v="1836"/>
    <n v="6"/>
    <x v="0"/>
    <n v="0.16360566448801742"/>
    <s v="slow"/>
  </r>
  <r>
    <x v="872"/>
    <x v="0"/>
    <x v="9"/>
    <x v="2"/>
    <d v="2023-04-01T00:00:00"/>
    <d v="2023-04-08T00:00:00"/>
    <n v="16.7"/>
    <n v="340.65"/>
    <s v="Delivered"/>
    <n v="2415"/>
    <n v="7"/>
    <x v="0"/>
    <n v="0.141055900621118"/>
    <s v="slow"/>
  </r>
  <r>
    <x v="873"/>
    <x v="3"/>
    <x v="3"/>
    <x v="4"/>
    <d v="2023-01-26T00:00:00"/>
    <d v="2023-02-01T00:00:00"/>
    <n v="17.399999999999999"/>
    <n v="249.13"/>
    <s v="Delayed"/>
    <n v="1969"/>
    <n v="5"/>
    <x v="1"/>
    <n v="0.12652615540883697"/>
    <s v="not applicabel"/>
  </r>
  <r>
    <x v="874"/>
    <x v="9"/>
    <x v="1"/>
    <x v="2"/>
    <d v="2023-07-30T00:00:00"/>
    <d v="2023-08-02T00:00:00"/>
    <n v="108.8"/>
    <n v="204.71"/>
    <s v="Delivered"/>
    <n v="784"/>
    <n v="3"/>
    <x v="0"/>
    <n v="0.26110969387755101"/>
    <s v="fast"/>
  </r>
  <r>
    <x v="875"/>
    <x v="4"/>
    <x v="0"/>
    <x v="5"/>
    <d v="2023-01-28T00:00:00"/>
    <d v="2023-02-02T00:00:00"/>
    <n v="25.7"/>
    <n v="227.68"/>
    <s v="Delivered"/>
    <n v="1687"/>
    <n v="5"/>
    <x v="0"/>
    <n v="0.13496147006520451"/>
    <s v="slow"/>
  </r>
  <r>
    <x v="876"/>
    <x v="2"/>
    <x v="2"/>
    <x v="6"/>
    <d v="2023-06-03T00:00:00"/>
    <d v="2023-06-08T00:00:00"/>
    <n v="11.6"/>
    <n v="214.12"/>
    <s v="Delivered"/>
    <n v="1624"/>
    <n v="5"/>
    <x v="0"/>
    <n v="0.1318472906403941"/>
    <s v="slow"/>
  </r>
  <r>
    <x v="877"/>
    <x v="4"/>
    <x v="0"/>
    <x v="4"/>
    <d v="2023-07-30T00:00:00"/>
    <d v="2023-08-01T00:00:00"/>
    <n v="27.3"/>
    <n v="70.849999999999994"/>
    <s v="Delivered"/>
    <n v="337"/>
    <n v="2"/>
    <x v="0"/>
    <n v="0.21023738872403558"/>
    <s v="fast"/>
  </r>
  <r>
    <x v="878"/>
    <x v="3"/>
    <x v="6"/>
    <x v="4"/>
    <d v="2023-04-03T00:00:00"/>
    <d v="2023-04-08T00:00:00"/>
    <n v="11.9"/>
    <n v="260.02"/>
    <s v="Delivered"/>
    <n v="2131"/>
    <n v="5"/>
    <x v="0"/>
    <n v="0.1220178320037541"/>
    <s v="slow"/>
  </r>
  <r>
    <x v="879"/>
    <x v="4"/>
    <x v="13"/>
    <x v="2"/>
    <d v="2023-10-04T00:00:00"/>
    <d v="2023-10-09T00:00:00"/>
    <n v="125.8"/>
    <n v="154.81"/>
    <s v="Delivered"/>
    <n v="144"/>
    <n v="5"/>
    <x v="0"/>
    <n v="1.0750694444444444"/>
    <s v="slow"/>
  </r>
  <r>
    <x v="880"/>
    <x v="6"/>
    <x v="10"/>
    <x v="5"/>
    <d v="2023-03-17T00:00:00"/>
    <d v="2023-03-21T00:00:00"/>
    <n v="24.7"/>
    <n v="73.47"/>
    <s v="Delivered"/>
    <n v="371"/>
    <n v="4"/>
    <x v="0"/>
    <n v="0.19803234501347708"/>
    <s v="fast"/>
  </r>
  <r>
    <x v="881"/>
    <x v="9"/>
    <x v="12"/>
    <x v="6"/>
    <d v="2023-07-26T00:00:00"/>
    <d v="2023-07-31T00:00:00"/>
    <n v="22.8"/>
    <n v="287.85000000000002"/>
    <s v="Delivered"/>
    <n v="2393"/>
    <n v="5"/>
    <x v="0"/>
    <n v="0.12028834099456749"/>
    <s v="slow"/>
  </r>
  <r>
    <x v="882"/>
    <x v="3"/>
    <x v="9"/>
    <x v="1"/>
    <d v="2023-05-08T00:00:00"/>
    <d v="2023-05-13T00:00:00"/>
    <n v="18.100000000000001"/>
    <n v="236.64"/>
    <s v="Delivered"/>
    <n v="1504"/>
    <n v="5"/>
    <x v="0"/>
    <n v="0.15734042553191488"/>
    <s v="slow"/>
  </r>
  <r>
    <x v="883"/>
    <x v="9"/>
    <x v="8"/>
    <x v="4"/>
    <d v="2023-10-23T00:00:00"/>
    <d v="2023-10-30T00:00:00"/>
    <n v="8.6999999999999993"/>
    <n v="296.81"/>
    <s v="Delivered"/>
    <n v="2333"/>
    <n v="7"/>
    <x v="0"/>
    <n v="0.12722246035147877"/>
    <s v="slow"/>
  </r>
  <r>
    <x v="884"/>
    <x v="7"/>
    <x v="4"/>
    <x v="3"/>
    <d v="2023-10-26T00:00:00"/>
    <d v="2023-10-27T00:00:00"/>
    <n v="27.5"/>
    <n v="68.709999999999994"/>
    <s v="Delivered"/>
    <n v="303"/>
    <n v="1"/>
    <x v="0"/>
    <n v="0.22676567656765675"/>
    <s v="fast"/>
  </r>
  <r>
    <x v="885"/>
    <x v="6"/>
    <x v="3"/>
    <x v="5"/>
    <d v="2023-12-10T00:00:00"/>
    <d v="2023-12-15T00:00:00"/>
    <n v="10.5"/>
    <n v="308.36"/>
    <s v="In Transit"/>
    <n v="2147"/>
    <n v="5"/>
    <x v="0"/>
    <n v="0.14362366092221707"/>
    <s v="slow"/>
  </r>
  <r>
    <x v="886"/>
    <x v="9"/>
    <x v="5"/>
    <x v="6"/>
    <d v="2023-12-25T00:00:00"/>
    <d v="2024-01-06T00:00:00"/>
    <n v="24.8"/>
    <n v="54.1"/>
    <s v="Delayed"/>
    <n v="118"/>
    <n v="1"/>
    <x v="1"/>
    <n v="0.45847457627118643"/>
    <s v="not applicabel"/>
  </r>
  <r>
    <x v="887"/>
    <x v="4"/>
    <x v="9"/>
    <x v="4"/>
    <d v="2023-11-17T00:00:00"/>
    <d v="2023-11-23T00:00:00"/>
    <n v="42.3"/>
    <n v="378.62"/>
    <s v="Delivered"/>
    <n v="2282"/>
    <n v="6"/>
    <x v="0"/>
    <n v="0.16591586327782648"/>
    <s v="slow"/>
  </r>
  <r>
    <x v="888"/>
    <x v="5"/>
    <x v="1"/>
    <x v="6"/>
    <d v="2023-02-25T00:00:00"/>
    <d v="2023-03-04T00:00:00"/>
    <n v="13.5"/>
    <n v="246"/>
    <s v="Delivered"/>
    <n v="2106"/>
    <n v="7"/>
    <x v="0"/>
    <n v="0.11680911680911681"/>
    <s v="slow"/>
  </r>
  <r>
    <x v="889"/>
    <x v="1"/>
    <x v="10"/>
    <x v="2"/>
    <d v="2023-05-30T00:00:00"/>
    <d v="2023-06-02T00:00:00"/>
    <n v="9.4"/>
    <n v="61.04"/>
    <s v="Delivered"/>
    <n v="373"/>
    <n v="3"/>
    <x v="0"/>
    <n v="0.16364611260053619"/>
    <s v="fast"/>
  </r>
  <r>
    <x v="890"/>
    <x v="9"/>
    <x v="0"/>
    <x v="2"/>
    <d v="2023-05-17T00:00:00"/>
    <d v="2023-05-21T00:00:00"/>
    <n v="20.6"/>
    <n v="219.02"/>
    <s v="Delivered"/>
    <n v="1611"/>
    <n v="4"/>
    <x v="0"/>
    <n v="0.13595282433271261"/>
    <s v="fast"/>
  </r>
  <r>
    <x v="891"/>
    <x v="8"/>
    <x v="1"/>
    <x v="5"/>
    <d v="2023-10-15T00:00:00"/>
    <d v="2023-10-19T00:00:00"/>
    <n v="75.7"/>
    <n v="211.3"/>
    <s v="Delivered"/>
    <n v="870"/>
    <n v="4"/>
    <x v="0"/>
    <n v="0.24287356321839082"/>
    <s v="fast"/>
  </r>
  <r>
    <x v="892"/>
    <x v="3"/>
    <x v="5"/>
    <x v="5"/>
    <d v="2023-11-30T00:00:00"/>
    <d v="2023-12-01T00:00:00"/>
    <n v="11.3"/>
    <n v="29.98"/>
    <s v="Delivered"/>
    <n v="104"/>
    <n v="1"/>
    <x v="0"/>
    <n v="0.28826923076923078"/>
    <s v="fast"/>
  </r>
  <r>
    <x v="893"/>
    <x v="3"/>
    <x v="4"/>
    <x v="2"/>
    <d v="2023-11-17T00:00:00"/>
    <d v="2023-11-20T00:00:00"/>
    <n v="10.5"/>
    <n v="154.75"/>
    <s v="Delivered"/>
    <n v="917"/>
    <n v="3"/>
    <x v="0"/>
    <n v="0.16875681570338058"/>
    <s v="fast"/>
  </r>
  <r>
    <x v="894"/>
    <x v="1"/>
    <x v="2"/>
    <x v="6"/>
    <d v="2023-11-03T00:00:00"/>
    <d v="2023-11-06T00:00:00"/>
    <n v="21"/>
    <n v="186.14"/>
    <s v="Delivered"/>
    <n v="1090"/>
    <n v="3"/>
    <x v="0"/>
    <n v="0.17077064220183485"/>
    <s v="fast"/>
  </r>
  <r>
    <x v="895"/>
    <x v="5"/>
    <x v="14"/>
    <x v="0"/>
    <d v="2023-12-24T00:00:00"/>
    <d v="2023-12-26T00:00:00"/>
    <n v="28.7"/>
    <n v="188.12"/>
    <s v="Delivered"/>
    <n v="1000"/>
    <n v="2"/>
    <x v="0"/>
    <n v="0.18812000000000001"/>
    <s v="fast"/>
  </r>
  <r>
    <x v="896"/>
    <x v="0"/>
    <x v="6"/>
    <x v="5"/>
    <d v="2023-06-06T00:00:00"/>
    <d v="2023-06-08T00:00:00"/>
    <n v="14.1"/>
    <n v="42.48"/>
    <s v="Delivered"/>
    <n v="181"/>
    <n v="2"/>
    <x v="0"/>
    <n v="0.23469613259668506"/>
    <s v="fast"/>
  </r>
  <r>
    <x v="897"/>
    <x v="6"/>
    <x v="10"/>
    <x v="0"/>
    <d v="2023-03-20T00:00:00"/>
    <d v="2023-03-27T00:00:00"/>
    <n v="35.700000000000003"/>
    <n v="341.41"/>
    <s v="Delivered"/>
    <n v="2300"/>
    <n v="7"/>
    <x v="0"/>
    <n v="0.14843913043478263"/>
    <s v="slow"/>
  </r>
  <r>
    <x v="898"/>
    <x v="3"/>
    <x v="14"/>
    <x v="2"/>
    <d v="2023-09-11T00:00:00"/>
    <d v="2023-09-16T00:00:00"/>
    <n v="40.5"/>
    <n v="175.32"/>
    <s v="Delivered"/>
    <n v="1176"/>
    <n v="5"/>
    <x v="0"/>
    <n v="0.14908163265306121"/>
    <s v="slow"/>
  </r>
  <r>
    <x v="899"/>
    <x v="6"/>
    <x v="13"/>
    <x v="0"/>
    <d v="2023-03-21T00:00:00"/>
    <d v="2023-04-05T00:00:00"/>
    <n v="18.2"/>
    <n v="150.78"/>
    <s v="Delayed"/>
    <n v="915"/>
    <n v="3"/>
    <x v="1"/>
    <n v="0.16478688524590165"/>
    <s v="not applicabel"/>
  </r>
  <r>
    <x v="900"/>
    <x v="1"/>
    <x v="13"/>
    <x v="1"/>
    <d v="2023-11-08T00:00:00"/>
    <d v="2023-11-23T00:00:00"/>
    <n v="11.9"/>
    <n v="103"/>
    <s v="Delayed"/>
    <n v="495"/>
    <n v="6"/>
    <x v="1"/>
    <n v="0.20808080808080809"/>
    <s v="not applicabel"/>
  </r>
  <r>
    <x v="901"/>
    <x v="0"/>
    <x v="12"/>
    <x v="1"/>
    <d v="2023-11-15T00:00:00"/>
    <d v="2023-11-17T00:00:00"/>
    <n v="24.4"/>
    <n v="146.91"/>
    <s v="Delivered"/>
    <n v="605"/>
    <n v="2"/>
    <x v="0"/>
    <n v="0.24282644628099173"/>
    <s v="fast"/>
  </r>
  <r>
    <x v="902"/>
    <x v="1"/>
    <x v="4"/>
    <x v="1"/>
    <d v="2023-11-25T00:00:00"/>
    <d v="2023-11-28T00:00:00"/>
    <n v="18"/>
    <n v="271.66000000000003"/>
    <s v="Delivered"/>
    <n v="1435"/>
    <n v="3"/>
    <x v="0"/>
    <n v="0.18931010452961675"/>
    <s v="fast"/>
  </r>
  <r>
    <x v="903"/>
    <x v="0"/>
    <x v="13"/>
    <x v="4"/>
    <d v="2023-09-20T00:00:00"/>
    <d v="2023-09-25T00:00:00"/>
    <n v="11.8"/>
    <n v="268.58999999999997"/>
    <s v="Delivered"/>
    <n v="1973"/>
    <n v="5"/>
    <x v="0"/>
    <n v="0.13613279270146983"/>
    <s v="slow"/>
  </r>
  <r>
    <x v="904"/>
    <x v="5"/>
    <x v="12"/>
    <x v="5"/>
    <d v="2023-04-03T00:00:00"/>
    <d v="2023-04-06T00:00:00"/>
    <n v="30.9"/>
    <n v="46.94"/>
    <s v="Delivered"/>
    <n v="106"/>
    <n v="3"/>
    <x v="0"/>
    <n v="0.44283018867924528"/>
    <s v="fast"/>
  </r>
  <r>
    <x v="905"/>
    <x v="6"/>
    <x v="11"/>
    <x v="2"/>
    <d v="2023-10-23T00:00:00"/>
    <d v="2023-10-26T00:00:00"/>
    <n v="59.4"/>
    <n v="192.19"/>
    <s v="Delivered"/>
    <n v="1118"/>
    <n v="3"/>
    <x v="0"/>
    <n v="0.17190518783542039"/>
    <s v="fast"/>
  </r>
  <r>
    <x v="906"/>
    <x v="3"/>
    <x v="0"/>
    <x v="4"/>
    <d v="2023-11-28T00:00:00"/>
    <d v="2023-12-03T00:00:00"/>
    <n v="40.299999999999997"/>
    <n v="208.84"/>
    <s v="Delivered"/>
    <n v="1034"/>
    <n v="5"/>
    <x v="0"/>
    <n v="0.20197292069632494"/>
    <s v="slow"/>
  </r>
  <r>
    <x v="907"/>
    <x v="5"/>
    <x v="3"/>
    <x v="3"/>
    <d v="2023-11-14T00:00:00"/>
    <d v="2023-11-19T00:00:00"/>
    <n v="14"/>
    <n v="337"/>
    <s v="Delivered"/>
    <n v="1878"/>
    <n v="5"/>
    <x v="0"/>
    <n v="0.17944621938232161"/>
    <s v="slow"/>
  </r>
  <r>
    <x v="908"/>
    <x v="3"/>
    <x v="3"/>
    <x v="1"/>
    <d v="2023-04-15T00:00:00"/>
    <d v="2023-04-19T00:00:00"/>
    <n v="33.700000000000003"/>
    <n v="302.22000000000003"/>
    <s v="Delivered"/>
    <n v="1819"/>
    <n v="4"/>
    <x v="0"/>
    <n v="0.16614623419461244"/>
    <s v="fast"/>
  </r>
  <r>
    <x v="909"/>
    <x v="3"/>
    <x v="4"/>
    <x v="5"/>
    <d v="2023-01-04T00:00:00"/>
    <d v="2023-01-12T00:00:00"/>
    <n v="32"/>
    <n v="327.10000000000002"/>
    <s v="Delivered"/>
    <n v="2355"/>
    <n v="8"/>
    <x v="0"/>
    <n v="0.13889596602972401"/>
    <s v="slow"/>
  </r>
  <r>
    <x v="910"/>
    <x v="3"/>
    <x v="9"/>
    <x v="4"/>
    <d v="2023-02-12T00:00:00"/>
    <d v="2023-02-17T00:00:00"/>
    <n v="15.9"/>
    <n v="308.5"/>
    <s v="Delivered"/>
    <n v="2282"/>
    <n v="5"/>
    <x v="0"/>
    <n v="0.13518843120070115"/>
    <s v="slow"/>
  </r>
  <r>
    <x v="911"/>
    <x v="2"/>
    <x v="5"/>
    <x v="5"/>
    <d v="2023-10-20T00:00:00"/>
    <d v="2023-10-22T00:00:00"/>
    <n v="31.6"/>
    <n v="74.81"/>
    <s v="Delivered"/>
    <n v="308"/>
    <n v="2"/>
    <x v="0"/>
    <n v="0.24288961038961041"/>
    <s v="fast"/>
  </r>
  <r>
    <x v="912"/>
    <x v="3"/>
    <x v="6"/>
    <x v="4"/>
    <d v="2023-10-09T00:00:00"/>
    <d v="2023-10-13T00:00:00"/>
    <n v="16.5"/>
    <n v="169.6"/>
    <s v="Lost"/>
    <n v="1221"/>
    <n v="4"/>
    <x v="2"/>
    <n v="0.1389025389025389"/>
    <s v="not applicabel"/>
  </r>
  <r>
    <x v="913"/>
    <x v="2"/>
    <x v="13"/>
    <x v="0"/>
    <d v="2023-10-15T00:00:00"/>
    <d v="2023-10-29T00:00:00"/>
    <n v="24.6"/>
    <n v="150.37"/>
    <s v="Delayed"/>
    <n v="852"/>
    <n v="4"/>
    <x v="1"/>
    <n v="0.1764906103286385"/>
    <s v="not applicabel"/>
  </r>
  <r>
    <x v="914"/>
    <x v="4"/>
    <x v="2"/>
    <x v="2"/>
    <d v="2023-11-13T00:00:00"/>
    <d v="2023-11-16T00:00:00"/>
    <n v="22.5"/>
    <n v="172.21"/>
    <s v="Delivered"/>
    <n v="945"/>
    <n v="3"/>
    <x v="0"/>
    <n v="0.18223280423280425"/>
    <s v="fast"/>
  </r>
  <r>
    <x v="915"/>
    <x v="2"/>
    <x v="10"/>
    <x v="0"/>
    <d v="2023-07-24T00:00:00"/>
    <d v="2023-07-30T00:00:00"/>
    <n v="14"/>
    <n v="295.74"/>
    <s v="Delivered"/>
    <n v="2256"/>
    <n v="6"/>
    <x v="0"/>
    <n v="0.13109042553191491"/>
    <s v="slow"/>
  </r>
  <r>
    <x v="916"/>
    <x v="8"/>
    <x v="12"/>
    <x v="3"/>
    <d v="2023-10-28T00:00:00"/>
    <d v="2023-10-29T00:00:00"/>
    <n v="8.1"/>
    <n v="81.180000000000007"/>
    <s v="Delivered"/>
    <n v="481"/>
    <n v="1"/>
    <x v="0"/>
    <n v="0.16877338877338879"/>
    <s v="fast"/>
  </r>
  <r>
    <x v="917"/>
    <x v="2"/>
    <x v="6"/>
    <x v="4"/>
    <d v="2023-05-20T00:00:00"/>
    <d v="2023-05-24T00:00:00"/>
    <n v="20"/>
    <n v="254.01"/>
    <s v="Delivered"/>
    <n v="1767"/>
    <n v="4"/>
    <x v="0"/>
    <n v="0.14375212224108658"/>
    <s v="fast"/>
  </r>
  <r>
    <x v="918"/>
    <x v="0"/>
    <x v="10"/>
    <x v="3"/>
    <d v="2023-05-31T00:00:00"/>
    <d v="2023-06-07T00:00:00"/>
    <n v="35.9"/>
    <n v="140.38"/>
    <s v="Delivered"/>
    <n v="788"/>
    <n v="7"/>
    <x v="0"/>
    <n v="0.17814720812182741"/>
    <s v="slow"/>
  </r>
  <r>
    <x v="919"/>
    <x v="6"/>
    <x v="12"/>
    <x v="1"/>
    <d v="2023-08-09T00:00:00"/>
    <d v="2023-08-12T00:00:00"/>
    <n v="22.5"/>
    <n v="171.17"/>
    <s v="Delivered"/>
    <n v="1017"/>
    <n v="3"/>
    <x v="0"/>
    <n v="0.16830875122910519"/>
    <s v="fast"/>
  </r>
  <r>
    <x v="920"/>
    <x v="9"/>
    <x v="3"/>
    <x v="0"/>
    <d v="2023-01-08T00:00:00"/>
    <d v="2023-01-12T00:00:00"/>
    <n v="17.600000000000001"/>
    <n v="242.22"/>
    <s v="Delivered"/>
    <n v="1577"/>
    <n v="4"/>
    <x v="0"/>
    <n v="0.15359543436905518"/>
    <s v="fast"/>
  </r>
  <r>
    <x v="921"/>
    <x v="4"/>
    <x v="7"/>
    <x v="1"/>
    <d v="2023-03-18T00:00:00"/>
    <d v="2023-03-20T00:00:00"/>
    <n v="12.9"/>
    <n v="74.16"/>
    <s v="In Transit"/>
    <n v="419"/>
    <n v="2"/>
    <x v="0"/>
    <n v="0.1769928400954654"/>
    <s v="fast"/>
  </r>
  <r>
    <x v="922"/>
    <x v="6"/>
    <x v="7"/>
    <x v="0"/>
    <d v="2023-08-17T00:00:00"/>
    <d v="2023-08-23T00:00:00"/>
    <n v="12.8"/>
    <n v="6229.12"/>
    <s v="Delivered"/>
    <n v="2490"/>
    <n v="6"/>
    <x v="0"/>
    <n v="2.5016546184738955"/>
    <s v="slow"/>
  </r>
  <r>
    <x v="923"/>
    <x v="0"/>
    <x v="10"/>
    <x v="2"/>
    <d v="2023-01-25T00:00:00"/>
    <d v="2023-01-26T00:00:00"/>
    <n v="71.099999999999994"/>
    <n v="114.32"/>
    <s v="Delivered"/>
    <n v="167"/>
    <n v="1"/>
    <x v="0"/>
    <n v="0.68455089820359283"/>
    <s v="fast"/>
  </r>
  <r>
    <x v="924"/>
    <x v="2"/>
    <x v="2"/>
    <x v="3"/>
    <d v="2023-08-23T00:00:00"/>
    <d v="2023-08-29T00:00:00"/>
    <n v="13.6"/>
    <n v="326.70999999999998"/>
    <s v="Delivered"/>
    <n v="2328"/>
    <n v="6"/>
    <x v="0"/>
    <n v="0.14033934707903778"/>
    <s v="slow"/>
  </r>
  <r>
    <x v="925"/>
    <x v="4"/>
    <x v="5"/>
    <x v="2"/>
    <d v="2023-04-29T00:00:00"/>
    <d v="2023-05-02T00:00:00"/>
    <n v="24.2"/>
    <n v="107.33"/>
    <s v="Delivered"/>
    <n v="669"/>
    <n v="3"/>
    <x v="0"/>
    <n v="0.16043348281016442"/>
    <s v="fast"/>
  </r>
  <r>
    <x v="926"/>
    <x v="3"/>
    <x v="14"/>
    <x v="2"/>
    <d v="2023-12-31T00:00:00"/>
    <d v="2024-01-02T00:00:00"/>
    <n v="39.700000000000003"/>
    <n v="130.72999999999999"/>
    <s v="Delivered"/>
    <n v="468"/>
    <n v="2"/>
    <x v="0"/>
    <n v="0.27933760683760683"/>
    <s v="fast"/>
  </r>
  <r>
    <x v="927"/>
    <x v="9"/>
    <x v="0"/>
    <x v="4"/>
    <d v="2023-03-06T00:00:00"/>
    <d v="2023-03-09T00:00:00"/>
    <n v="9.4"/>
    <n v="84.83"/>
    <s v="Delivered"/>
    <n v="563"/>
    <n v="3"/>
    <x v="0"/>
    <n v="0.15067495559502664"/>
    <s v="fast"/>
  </r>
  <r>
    <x v="928"/>
    <x v="0"/>
    <x v="10"/>
    <x v="4"/>
    <d v="2023-10-24T00:00:00"/>
    <d v="2023-10-28T00:00:00"/>
    <n v="13.6"/>
    <n v="187.79"/>
    <s v="Delivered"/>
    <n v="1584"/>
    <n v="4"/>
    <x v="0"/>
    <n v="0.11855429292929293"/>
    <s v="fast"/>
  </r>
  <r>
    <x v="929"/>
    <x v="7"/>
    <x v="12"/>
    <x v="6"/>
    <d v="2023-05-21T00:00:00"/>
    <d v="2023-05-26T00:00:00"/>
    <n v="32.5"/>
    <n v="252.22"/>
    <s v="Delivered"/>
    <n v="2107"/>
    <n v="5"/>
    <x v="0"/>
    <n v="0.11970574276222117"/>
    <s v="slow"/>
  </r>
  <r>
    <x v="930"/>
    <x v="0"/>
    <x v="13"/>
    <x v="0"/>
    <d v="2023-12-01T00:00:00"/>
    <d v="2023-12-05T00:00:00"/>
    <n v="23.3"/>
    <n v="266.08"/>
    <s v="Delivered"/>
    <n v="1473"/>
    <n v="4"/>
    <x v="0"/>
    <n v="0.18063815342837744"/>
    <s v="fast"/>
  </r>
  <r>
    <x v="931"/>
    <x v="8"/>
    <x v="14"/>
    <x v="1"/>
    <d v="2023-06-23T00:00:00"/>
    <d v="2023-06-26T00:00:00"/>
    <n v="88.7"/>
    <n v="196.15"/>
    <s v="Delivered"/>
    <n v="509"/>
    <n v="3"/>
    <x v="0"/>
    <n v="0.38536345776031433"/>
    <s v="fast"/>
  </r>
  <r>
    <x v="932"/>
    <x v="4"/>
    <x v="12"/>
    <x v="2"/>
    <d v="2023-04-04T00:00:00"/>
    <d v="2023-04-06T00:00:00"/>
    <n v="36.299999999999997"/>
    <n v="74.959999999999994"/>
    <s v="Delivered"/>
    <n v="253"/>
    <n v="2"/>
    <x v="0"/>
    <n v="0.29628458498023713"/>
    <s v="fast"/>
  </r>
  <r>
    <x v="933"/>
    <x v="3"/>
    <x v="9"/>
    <x v="2"/>
    <d v="2023-09-02T00:00:00"/>
    <d v="2023-09-05T00:00:00"/>
    <n v="36.5"/>
    <n v="128"/>
    <s v="Delivered"/>
    <n v="757"/>
    <n v="3"/>
    <x v="0"/>
    <n v="0.1690885072655218"/>
    <s v="fast"/>
  </r>
  <r>
    <x v="934"/>
    <x v="7"/>
    <x v="0"/>
    <x v="6"/>
    <d v="2023-04-27T00:00:00"/>
    <d v="2023-05-01T00:00:00"/>
    <n v="26.9"/>
    <n v="221.1"/>
    <s v="Delivered"/>
    <n v="1796"/>
    <n v="4"/>
    <x v="0"/>
    <n v="0.12310690423162583"/>
    <s v="fast"/>
  </r>
  <r>
    <x v="935"/>
    <x v="7"/>
    <x v="3"/>
    <x v="3"/>
    <d v="2023-06-27T00:00:00"/>
    <d v="2023-07-02T00:00:00"/>
    <n v="4.4000000000000004"/>
    <n v="301.81"/>
    <s v="Delivered"/>
    <n v="2087"/>
    <n v="5"/>
    <x v="0"/>
    <n v="0.14461427886919023"/>
    <s v="slow"/>
  </r>
  <r>
    <x v="936"/>
    <x v="2"/>
    <x v="8"/>
    <x v="5"/>
    <d v="2023-03-31T00:00:00"/>
    <d v="2023-04-03T00:00:00"/>
    <n v="16.5"/>
    <n v="152.12"/>
    <s v="Delivered"/>
    <n v="1027"/>
    <n v="3"/>
    <x v="0"/>
    <n v="0.1481207400194742"/>
    <s v="fast"/>
  </r>
  <r>
    <x v="937"/>
    <x v="4"/>
    <x v="14"/>
    <x v="3"/>
    <d v="2023-02-02T00:00:00"/>
    <d v="2023-02-09T00:00:00"/>
    <n v="11.8"/>
    <n v="306.43"/>
    <s v="Delivered"/>
    <n v="2442"/>
    <n v="7"/>
    <x v="0"/>
    <n v="0.12548321048321048"/>
    <s v="slow"/>
  </r>
  <r>
    <x v="938"/>
    <x v="3"/>
    <x v="0"/>
    <x v="3"/>
    <d v="2023-12-06T00:00:00"/>
    <d v="2023-12-10T00:00:00"/>
    <n v="22.4"/>
    <n v="162.76"/>
    <s v="Delivered"/>
    <n v="862"/>
    <n v="4"/>
    <x v="0"/>
    <n v="0.18881670533642692"/>
    <s v="fast"/>
  </r>
  <r>
    <x v="939"/>
    <x v="6"/>
    <x v="4"/>
    <x v="3"/>
    <d v="2023-07-17T00:00:00"/>
    <d v="2023-07-30T00:00:00"/>
    <n v="9.3000000000000007"/>
    <n v="108.95"/>
    <s v="Delayed"/>
    <n v="813"/>
    <n v="3"/>
    <x v="1"/>
    <n v="0.134009840098401"/>
    <s v="not applicabel"/>
  </r>
  <r>
    <x v="940"/>
    <x v="9"/>
    <x v="12"/>
    <x v="3"/>
    <d v="2023-01-29T00:00:00"/>
    <d v="2023-02-07T00:00:00"/>
    <n v="40.9"/>
    <n v="307.95999999999998"/>
    <s v="Delivered"/>
    <n v="1805"/>
    <n v="9"/>
    <x v="0"/>
    <n v="0.17061495844875346"/>
    <s v="slow"/>
  </r>
  <r>
    <x v="941"/>
    <x v="8"/>
    <x v="12"/>
    <x v="3"/>
    <d v="2023-12-28T00:00:00"/>
    <d v="2024-01-07T00:00:00"/>
    <n v="11.8"/>
    <n v="345.46"/>
    <s v="Delayed"/>
    <n v="1958"/>
    <n v="5"/>
    <x v="1"/>
    <n v="0.17643513789581206"/>
    <s v="not applicabel"/>
  </r>
  <r>
    <x v="942"/>
    <x v="3"/>
    <x v="5"/>
    <x v="4"/>
    <d v="2023-04-28T00:00:00"/>
    <d v="2023-05-04T00:00:00"/>
    <n v="10.1"/>
    <n v="221.55"/>
    <s v="Delivered"/>
    <n v="1943"/>
    <n v="6"/>
    <x v="0"/>
    <n v="0.11402470406587752"/>
    <s v="slow"/>
  </r>
  <r>
    <x v="943"/>
    <x v="5"/>
    <x v="8"/>
    <x v="4"/>
    <d v="2023-11-01T00:00:00"/>
    <d v="2023-11-08T00:00:00"/>
    <n v="8.9"/>
    <n v="390.8"/>
    <s v="Delivered"/>
    <n v="2441"/>
    <n v="7"/>
    <x v="0"/>
    <n v="0.160098320360508"/>
    <s v="slow"/>
  </r>
  <r>
    <x v="944"/>
    <x v="8"/>
    <x v="10"/>
    <x v="6"/>
    <d v="2023-05-18T00:00:00"/>
    <d v="2023-04-18T00:00:00"/>
    <n v="55.4"/>
    <n v="237.06"/>
    <s v="In Transit"/>
    <n v="1644"/>
    <n v="5"/>
    <x v="0"/>
    <n v="0.14419708029197081"/>
    <s v="slow"/>
  </r>
  <r>
    <x v="945"/>
    <x v="6"/>
    <x v="6"/>
    <x v="5"/>
    <d v="2023-10-07T00:00:00"/>
    <d v="2023-10-10T00:00:00"/>
    <n v="7.1"/>
    <n v="164.49"/>
    <s v="Delivered"/>
    <n v="1336"/>
    <n v="3"/>
    <x v="0"/>
    <n v="0.12312125748502994"/>
    <s v="fast"/>
  </r>
  <r>
    <x v="946"/>
    <x v="1"/>
    <x v="6"/>
    <x v="0"/>
    <d v="2023-01-23T00:00:00"/>
    <d v="2023-01-27T00:00:00"/>
    <n v="45.4"/>
    <n v="172.09"/>
    <s v="Delivered"/>
    <n v="1050"/>
    <n v="4"/>
    <x v="0"/>
    <n v="0.16389523809523809"/>
    <s v="fast"/>
  </r>
  <r>
    <x v="947"/>
    <x v="4"/>
    <x v="1"/>
    <x v="0"/>
    <d v="2023-10-17T00:00:00"/>
    <d v="2023-10-23T00:00:00"/>
    <n v="53.8"/>
    <n v="334.19"/>
    <s v="Delivered"/>
    <n v="2107"/>
    <n v="6"/>
    <x v="0"/>
    <n v="0.15860939724727099"/>
    <s v="slow"/>
  </r>
  <r>
    <x v="948"/>
    <x v="0"/>
    <x v="4"/>
    <x v="0"/>
    <d v="2023-04-17T00:00:00"/>
    <d v="2023-04-19T00:00:00"/>
    <n v="20"/>
    <n v="96.84"/>
    <s v="Delivered"/>
    <n v="517"/>
    <n v="2"/>
    <x v="0"/>
    <n v="0.18731141199226306"/>
    <s v="fast"/>
  </r>
  <r>
    <x v="949"/>
    <x v="4"/>
    <x v="4"/>
    <x v="0"/>
    <d v="2023-11-17T00:00:00"/>
    <d v="2023-12-03T00:00:00"/>
    <n v="47.6"/>
    <n v="267.76"/>
    <s v="Delayed"/>
    <n v="1263"/>
    <n v="4"/>
    <x v="1"/>
    <n v="0.21200316706254949"/>
    <s v="not applicabel"/>
  </r>
  <r>
    <x v="950"/>
    <x v="3"/>
    <x v="4"/>
    <x v="5"/>
    <d v="2023-03-04T00:00:00"/>
    <d v="2023-03-07T00:00:00"/>
    <n v="14.9"/>
    <n v="148"/>
    <s v="Delivered"/>
    <n v="1154"/>
    <n v="3"/>
    <x v="0"/>
    <n v="0.12824956672443674"/>
    <s v="fast"/>
  </r>
  <r>
    <x v="951"/>
    <x v="4"/>
    <x v="0"/>
    <x v="2"/>
    <d v="2023-07-20T00:00:00"/>
    <d v="2023-07-24T00:00:00"/>
    <n v="62.4"/>
    <n v="118.11"/>
    <s v="Delivered"/>
    <n v="407"/>
    <n v="4"/>
    <x v="0"/>
    <n v="0.2901965601965602"/>
    <s v="fast"/>
  </r>
  <r>
    <x v="952"/>
    <x v="8"/>
    <x v="13"/>
    <x v="3"/>
    <d v="2023-08-21T00:00:00"/>
    <d v="2023-08-27T00:00:00"/>
    <n v="28.3"/>
    <n v="318.33999999999997"/>
    <s v="Delivered"/>
    <n v="2076"/>
    <n v="6"/>
    <x v="0"/>
    <n v="0.15334296724470134"/>
    <s v="slow"/>
  </r>
  <r>
    <x v="953"/>
    <x v="8"/>
    <x v="14"/>
    <x v="6"/>
    <d v="2023-09-27T00:00:00"/>
    <d v="2023-10-03T00:00:00"/>
    <n v="26.6"/>
    <n v="295.92"/>
    <s v="Delivered"/>
    <n v="2346"/>
    <n v="6"/>
    <x v="0"/>
    <n v="0.12613810741687981"/>
    <s v="slow"/>
  </r>
  <r>
    <x v="954"/>
    <x v="2"/>
    <x v="6"/>
    <x v="4"/>
    <d v="2023-02-07T00:00:00"/>
    <d v="2023-02-09T00:00:00"/>
    <n v="29.9"/>
    <n v="108.93"/>
    <s v="Delivered"/>
    <n v="576"/>
    <n v="2"/>
    <x v="0"/>
    <n v="0.18911458333333334"/>
    <s v="fast"/>
  </r>
  <r>
    <x v="955"/>
    <x v="0"/>
    <x v="1"/>
    <x v="1"/>
    <d v="2023-01-28T00:00:00"/>
    <d v="2023-02-02T00:00:00"/>
    <n v="5.0999999999999996"/>
    <n v="236.05"/>
    <s v="Delivered"/>
    <n v="1773"/>
    <n v="5"/>
    <x v="0"/>
    <n v="0.13313592780597858"/>
    <s v="slow"/>
  </r>
  <r>
    <x v="956"/>
    <x v="9"/>
    <x v="1"/>
    <x v="5"/>
    <d v="2023-06-21T00:00:00"/>
    <d v="2023-06-24T00:00:00"/>
    <n v="24.3"/>
    <n v="160.77000000000001"/>
    <s v="In Transit"/>
    <n v="1144"/>
    <n v="3"/>
    <x v="0"/>
    <n v="0.14053321678321679"/>
    <s v="fast"/>
  </r>
  <r>
    <x v="957"/>
    <x v="7"/>
    <x v="9"/>
    <x v="3"/>
    <d v="2023-09-06T00:00:00"/>
    <d v="2023-09-11T00:00:00"/>
    <n v="75"/>
    <n v="402.46"/>
    <s v="Delivered"/>
    <n v="2200"/>
    <n v="5"/>
    <x v="0"/>
    <n v="0.18293636363636362"/>
    <s v="slow"/>
  </r>
  <r>
    <x v="958"/>
    <x v="7"/>
    <x v="14"/>
    <x v="2"/>
    <d v="2023-07-16T00:00:00"/>
    <d v="2023-07-21T00:00:00"/>
    <n v="29.6"/>
    <n v="276.98"/>
    <s v="Delivered"/>
    <n v="2049"/>
    <n v="5"/>
    <x v="0"/>
    <n v="0.1351781356759395"/>
    <s v="slow"/>
  </r>
  <r>
    <x v="959"/>
    <x v="6"/>
    <x v="14"/>
    <x v="2"/>
    <d v="2023-12-04T00:00:00"/>
    <d v="2023-12-11T00:00:00"/>
    <n v="3.2"/>
    <n v="140.80000000000001"/>
    <s v="Delivered"/>
    <n v="1030"/>
    <n v="7"/>
    <x v="0"/>
    <n v="0.13669902912621359"/>
    <s v="slow"/>
  </r>
  <r>
    <x v="960"/>
    <x v="8"/>
    <x v="4"/>
    <x v="1"/>
    <d v="2023-04-05T00:00:00"/>
    <d v="2023-04-15T00:00:00"/>
    <n v="18.899999999999999"/>
    <n v="196.91"/>
    <s v="Delivered"/>
    <n v="1319"/>
    <n v="10"/>
    <x v="0"/>
    <n v="0.14928733889310083"/>
    <s v="slow"/>
  </r>
  <r>
    <x v="961"/>
    <x v="4"/>
    <x v="11"/>
    <x v="0"/>
    <d v="2023-10-20T00:00:00"/>
    <d v="2023-10-22T00:00:00"/>
    <n v="16.100000000000001"/>
    <n v="102.41"/>
    <s v="Delivered"/>
    <n v="625"/>
    <n v="2"/>
    <x v="0"/>
    <n v="0.163856"/>
    <s v="fast"/>
  </r>
  <r>
    <x v="962"/>
    <x v="5"/>
    <x v="7"/>
    <x v="2"/>
    <d v="2023-02-19T00:00:00"/>
    <d v="2023-02-22T00:00:00"/>
    <n v="36.700000000000003"/>
    <n v="80.239999999999995"/>
    <s v="Delivered"/>
    <n v="283"/>
    <n v="3"/>
    <x v="0"/>
    <n v="0.28353356890459364"/>
    <s v="fast"/>
  </r>
  <r>
    <x v="963"/>
    <x v="9"/>
    <x v="9"/>
    <x v="5"/>
    <d v="2023-08-25T00:00:00"/>
    <d v="2023-08-30T00:00:00"/>
    <n v="49.6"/>
    <n v="169.64"/>
    <s v="Delivered"/>
    <n v="820"/>
    <n v="5"/>
    <x v="0"/>
    <n v="0.20687804878048779"/>
    <s v="slow"/>
  </r>
  <r>
    <x v="964"/>
    <x v="5"/>
    <x v="8"/>
    <x v="6"/>
    <d v="2023-05-27T00:00:00"/>
    <d v="2023-05-29T00:00:00"/>
    <n v="7.2"/>
    <m/>
    <s v="Delivered"/>
    <n v="858"/>
    <n v="2"/>
    <x v="0"/>
    <n v="0"/>
    <s v="fast"/>
  </r>
  <r>
    <x v="965"/>
    <x v="4"/>
    <x v="0"/>
    <x v="1"/>
    <d v="2023-06-13T00:00:00"/>
    <d v="2023-06-20T00:00:00"/>
    <n v="24.2"/>
    <n v="318.02999999999997"/>
    <s v="In Transit"/>
    <n v="2036"/>
    <n v="7"/>
    <x v="0"/>
    <n v="0.15620333988212179"/>
    <s v="slow"/>
  </r>
  <r>
    <x v="966"/>
    <x v="5"/>
    <x v="1"/>
    <x v="0"/>
    <d v="2023-03-11T00:00:00"/>
    <d v="2023-03-15T00:00:00"/>
    <n v="18.600000000000001"/>
    <n v="264.57"/>
    <s v="Delivered"/>
    <n v="1771"/>
    <n v="4"/>
    <x v="0"/>
    <n v="0.14939017504234894"/>
    <s v="fast"/>
  </r>
  <r>
    <x v="967"/>
    <x v="2"/>
    <x v="3"/>
    <x v="3"/>
    <d v="2023-05-19T00:00:00"/>
    <d v="2023-05-24T00:00:00"/>
    <n v="26.6"/>
    <n v="302.89"/>
    <s v="Delivered"/>
    <n v="1841"/>
    <n v="5"/>
    <x v="0"/>
    <n v="0.16452471482889733"/>
    <s v="slow"/>
  </r>
  <r>
    <x v="968"/>
    <x v="7"/>
    <x v="14"/>
    <x v="0"/>
    <d v="2023-01-13T00:00:00"/>
    <d v="2023-01-17T00:00:00"/>
    <n v="27.5"/>
    <n v="272.07"/>
    <s v="Delivered"/>
    <n v="1875"/>
    <n v="4"/>
    <x v="0"/>
    <n v="0.14510399999999998"/>
    <s v="fast"/>
  </r>
  <r>
    <x v="969"/>
    <x v="6"/>
    <x v="11"/>
    <x v="3"/>
    <d v="2023-06-30T00:00:00"/>
    <d v="2023-07-02T00:00:00"/>
    <n v="30.9"/>
    <n v="81.650000000000006"/>
    <s v="Delivered"/>
    <n v="297"/>
    <n v="2"/>
    <x v="0"/>
    <n v="0.27491582491582495"/>
    <s v="fast"/>
  </r>
  <r>
    <x v="970"/>
    <x v="4"/>
    <x v="10"/>
    <x v="0"/>
    <d v="2023-09-05T00:00:00"/>
    <d v="2023-09-09T00:00:00"/>
    <n v="11.9"/>
    <n v="193.89"/>
    <s v="Delivered"/>
    <n v="1290"/>
    <n v="4"/>
    <x v="0"/>
    <n v="0.15030232558139534"/>
    <s v="fast"/>
  </r>
  <r>
    <x v="971"/>
    <x v="2"/>
    <x v="14"/>
    <x v="2"/>
    <d v="2023-08-13T00:00:00"/>
    <d v="2023-08-18T00:00:00"/>
    <n v="16.3"/>
    <n v="25.2"/>
    <s v="Delivered"/>
    <n v="2033"/>
    <n v="5"/>
    <x v="0"/>
    <n v="1.2395474667978357E-2"/>
    <s v="slow"/>
  </r>
  <r>
    <x v="972"/>
    <x v="6"/>
    <x v="2"/>
    <x v="0"/>
    <d v="2023-12-16T00:00:00"/>
    <d v="2023-12-23T00:00:00"/>
    <n v="24.7"/>
    <n v="179.53"/>
    <s v="Delivered"/>
    <n v="974"/>
    <n v="7"/>
    <x v="0"/>
    <n v="0.1843223819301848"/>
    <s v="slow"/>
  </r>
  <r>
    <x v="973"/>
    <x v="0"/>
    <x v="6"/>
    <x v="3"/>
    <d v="2023-10-21T00:00:00"/>
    <d v="2023-10-25T00:00:00"/>
    <n v="32.299999999999997"/>
    <n v="233.32"/>
    <s v="Delivered"/>
    <n v="1492"/>
    <n v="4"/>
    <x v="0"/>
    <n v="0.15638069705093832"/>
    <s v="fast"/>
  </r>
  <r>
    <x v="974"/>
    <x v="0"/>
    <x v="11"/>
    <x v="0"/>
    <d v="2023-11-22T00:00:00"/>
    <d v="2023-12-11T00:00:00"/>
    <n v="32"/>
    <n v="348"/>
    <s v="Delayed"/>
    <n v="2060"/>
    <n v="8"/>
    <x v="1"/>
    <n v="0.16893203883495145"/>
    <s v="not applicabel"/>
  </r>
  <r>
    <x v="975"/>
    <x v="9"/>
    <x v="5"/>
    <x v="4"/>
    <d v="2023-07-08T00:00:00"/>
    <d v="2023-07-21T00:00:00"/>
    <n v="20.2"/>
    <n v="248.02"/>
    <s v="Delayed"/>
    <n v="2051"/>
    <n v="5"/>
    <x v="1"/>
    <n v="0.12092637737688933"/>
    <s v="not applicabel"/>
  </r>
  <r>
    <x v="976"/>
    <x v="6"/>
    <x v="5"/>
    <x v="0"/>
    <d v="2023-06-03T00:00:00"/>
    <d v="2023-06-09T00:00:00"/>
    <n v="17.7"/>
    <n v="309.3"/>
    <s v="Delivered"/>
    <n v="2198"/>
    <n v="6"/>
    <x v="0"/>
    <n v="0.14071883530482257"/>
    <s v="slow"/>
  </r>
  <r>
    <x v="977"/>
    <x v="1"/>
    <x v="4"/>
    <x v="5"/>
    <d v="2023-03-28T00:00:00"/>
    <d v="2023-03-31T00:00:00"/>
    <n v="19.7"/>
    <n v="199"/>
    <s v="Delivered"/>
    <n v="1435"/>
    <n v="3"/>
    <x v="0"/>
    <n v="0.13867595818815331"/>
    <s v="fast"/>
  </r>
  <r>
    <x v="978"/>
    <x v="9"/>
    <x v="7"/>
    <x v="4"/>
    <d v="2023-12-13T00:00:00"/>
    <d v="2023-12-17T00:00:00"/>
    <n v="23.1"/>
    <n v="221.08"/>
    <s v="Delivered"/>
    <n v="1280"/>
    <n v="4"/>
    <x v="0"/>
    <n v="0.17271875"/>
    <s v="fast"/>
  </r>
  <r>
    <x v="979"/>
    <x v="1"/>
    <x v="5"/>
    <x v="1"/>
    <d v="2023-03-23T00:00:00"/>
    <d v="2023-04-07T00:00:00"/>
    <n v="9.6"/>
    <n v="82.64"/>
    <s v="Delayed"/>
    <n v="490"/>
    <n v="4"/>
    <x v="1"/>
    <n v="0.16865306122448981"/>
    <s v="not applicabel"/>
  </r>
  <r>
    <x v="980"/>
    <x v="7"/>
    <x v="13"/>
    <x v="6"/>
    <d v="2023-09-15T00:00:00"/>
    <d v="2023-09-19T00:00:00"/>
    <n v="7.9"/>
    <n v="161.43"/>
    <s v="Delivered"/>
    <n v="1355"/>
    <n v="4"/>
    <x v="0"/>
    <n v="0.11913653136531366"/>
    <s v="fast"/>
  </r>
  <r>
    <x v="981"/>
    <x v="0"/>
    <x v="6"/>
    <x v="3"/>
    <d v="2023-03-22T00:00:00"/>
    <d v="2023-03-25T00:00:00"/>
    <n v="16"/>
    <n v="178.47"/>
    <s v="Delivered"/>
    <n v="1288"/>
    <n v="3"/>
    <x v="0"/>
    <n v="0.13856366459627328"/>
    <s v="fast"/>
  </r>
  <r>
    <x v="982"/>
    <x v="0"/>
    <x v="3"/>
    <x v="1"/>
    <d v="2023-04-04T00:00:00"/>
    <d v="2023-04-07T00:00:00"/>
    <n v="66.099999999999994"/>
    <n v="217.51"/>
    <s v="Delivered"/>
    <n v="779"/>
    <n v="3"/>
    <x v="0"/>
    <n v="0.27921694480102693"/>
    <s v="fast"/>
  </r>
  <r>
    <x v="983"/>
    <x v="0"/>
    <x v="8"/>
    <x v="6"/>
    <d v="2023-08-11T00:00:00"/>
    <d v="2023-08-17T00:00:00"/>
    <n v="27"/>
    <n v="210.66"/>
    <s v="Lost"/>
    <n v="1555"/>
    <n v="6"/>
    <x v="2"/>
    <n v="0.13547266881028938"/>
    <s v="not applicabel"/>
  </r>
  <r>
    <x v="984"/>
    <x v="6"/>
    <x v="11"/>
    <x v="1"/>
    <d v="2023-10-04T00:00:00"/>
    <d v="2023-10-08T00:00:00"/>
    <n v="20"/>
    <n v="276.56"/>
    <s v="Delivered"/>
    <n v="1631"/>
    <n v="4"/>
    <x v="0"/>
    <n v="0.16956468424279583"/>
    <s v="fast"/>
  </r>
  <r>
    <x v="985"/>
    <x v="5"/>
    <x v="8"/>
    <x v="0"/>
    <d v="2023-07-12T00:00:00"/>
    <d v="2023-07-16T00:00:00"/>
    <n v="45"/>
    <n v="108.75"/>
    <s v="Delivered"/>
    <n v="400"/>
    <n v="4"/>
    <x v="0"/>
    <n v="0.27187499999999998"/>
    <s v="fast"/>
  </r>
  <r>
    <x v="986"/>
    <x v="1"/>
    <x v="13"/>
    <x v="2"/>
    <d v="2023-12-18T00:00:00"/>
    <d v="2023-12-24T00:00:00"/>
    <n v="42.1"/>
    <n v="285.70999999999998"/>
    <s v="Delivered"/>
    <n v="1460"/>
    <n v="6"/>
    <x v="0"/>
    <n v="0.19569178082191779"/>
    <s v="slow"/>
  </r>
  <r>
    <x v="987"/>
    <x v="7"/>
    <x v="14"/>
    <x v="5"/>
    <d v="2023-05-02T00:00:00"/>
    <d v="2023-05-06T00:00:00"/>
    <n v="27.6"/>
    <n v="151.22"/>
    <s v="Delayed"/>
    <n v="1095"/>
    <n v="3"/>
    <x v="1"/>
    <n v="0.13810045662100456"/>
    <s v="not applicabel"/>
  </r>
  <r>
    <x v="988"/>
    <x v="9"/>
    <x v="1"/>
    <x v="3"/>
    <d v="2023-05-16T00:00:00"/>
    <d v="2023-05-18T00:00:00"/>
    <n v="16"/>
    <n v="70.650000000000006"/>
    <s v="Delivered"/>
    <n v="336"/>
    <n v="2"/>
    <x v="0"/>
    <n v="0.21026785714285717"/>
    <s v="fast"/>
  </r>
  <r>
    <x v="989"/>
    <x v="1"/>
    <x v="0"/>
    <x v="4"/>
    <d v="2023-12-18T00:00:00"/>
    <d v="2023-12-23T00:00:00"/>
    <n v="19"/>
    <n v="224"/>
    <s v="Delivered"/>
    <n v="1524"/>
    <n v="5"/>
    <x v="0"/>
    <n v="0.14698162729658792"/>
    <s v="slow"/>
  </r>
  <r>
    <x v="990"/>
    <x v="4"/>
    <x v="0"/>
    <x v="2"/>
    <d v="2023-01-23T00:00:00"/>
    <d v="2023-01-26T00:00:00"/>
    <n v="10.4"/>
    <n v="96.85"/>
    <s v="Delivered"/>
    <n v="762"/>
    <n v="3"/>
    <x v="0"/>
    <n v="0.1270997375328084"/>
    <s v="fast"/>
  </r>
  <r>
    <x v="991"/>
    <x v="9"/>
    <x v="3"/>
    <x v="3"/>
    <d v="2023-05-20T00:00:00"/>
    <d v="2023-05-26T00:00:00"/>
    <n v="24.2"/>
    <n v="223.55"/>
    <s v="In Transit"/>
    <n v="1524"/>
    <n v="6"/>
    <x v="0"/>
    <n v="0.14668635170603675"/>
    <s v="slow"/>
  </r>
  <r>
    <x v="992"/>
    <x v="6"/>
    <x v="12"/>
    <x v="6"/>
    <d v="2023-09-11T00:00:00"/>
    <d v="2023-09-13T00:00:00"/>
    <n v="25.5"/>
    <n v="109.88"/>
    <s v="Delivered"/>
    <n v="688"/>
    <n v="2"/>
    <x v="0"/>
    <n v="0.15970930232558139"/>
    <s v="fast"/>
  </r>
  <r>
    <x v="993"/>
    <x v="4"/>
    <x v="7"/>
    <x v="1"/>
    <d v="2023-06-25T00:00:00"/>
    <d v="2023-06-30T00:00:00"/>
    <n v="20"/>
    <n v="357.86"/>
    <s v="Delivered"/>
    <n v="2339"/>
    <n v="5"/>
    <x v="0"/>
    <n v="0.15299700726806328"/>
    <s v="slow"/>
  </r>
  <r>
    <x v="994"/>
    <x v="0"/>
    <x v="6"/>
    <x v="1"/>
    <d v="2023-04-23T00:00:00"/>
    <d v="2023-04-29T00:00:00"/>
    <n v="19.100000000000001"/>
    <n v="302.52"/>
    <s v="Delivered"/>
    <n v="2132"/>
    <n v="6"/>
    <x v="0"/>
    <n v="0.14189493433395872"/>
    <s v="slow"/>
  </r>
  <r>
    <x v="995"/>
    <x v="2"/>
    <x v="9"/>
    <x v="2"/>
    <d v="2023-12-27T00:00:00"/>
    <d v="2023-12-31T00:00:00"/>
    <n v="8"/>
    <n v="211.44"/>
    <s v="Delivered"/>
    <n v="1257"/>
    <n v="4"/>
    <x v="0"/>
    <n v="0.16821002386634845"/>
    <s v="fast"/>
  </r>
  <r>
    <x v="996"/>
    <x v="7"/>
    <x v="0"/>
    <x v="2"/>
    <d v="2023-11-29T00:00:00"/>
    <d v="2023-12-03T00:00:00"/>
    <n v="25.4"/>
    <n v="145.24"/>
    <s v="Delivered"/>
    <n v="749"/>
    <n v="4"/>
    <x v="0"/>
    <n v="0.19391188251001337"/>
    <s v="fast"/>
  </r>
  <r>
    <x v="997"/>
    <x v="6"/>
    <x v="5"/>
    <x v="4"/>
    <d v="2023-02-13T00:00:00"/>
    <d v="2023-02-16T00:00:00"/>
    <n v="11.6"/>
    <n v="99.14"/>
    <s v="Delivered"/>
    <n v="773"/>
    <n v="3"/>
    <x v="0"/>
    <n v="0.1282535575679172"/>
    <s v="fast"/>
  </r>
  <r>
    <x v="998"/>
    <x v="4"/>
    <x v="14"/>
    <x v="1"/>
    <d v="2023-05-13T00:00:00"/>
    <d v="2023-05-16T00:00:00"/>
    <n v="14.9"/>
    <n v="55.89"/>
    <s v="Delayed"/>
    <n v="228"/>
    <n v="2"/>
    <x v="1"/>
    <n v="0.24513157894736842"/>
    <s v="not applicabel"/>
  </r>
  <r>
    <x v="999"/>
    <x v="6"/>
    <x v="5"/>
    <x v="5"/>
    <d v="2023-11-14T00:00:00"/>
    <d v="2023-11-21T00:00:00"/>
    <n v="19.399999999999999"/>
    <n v="348.76"/>
    <s v="Delivered"/>
    <n v="2417"/>
    <n v="7"/>
    <x v="0"/>
    <n v="0.14429458005792303"/>
    <s v="slow"/>
  </r>
  <r>
    <x v="1000"/>
    <x v="9"/>
    <x v="8"/>
    <x v="3"/>
    <d v="2023-10-26T00:00:00"/>
    <d v="2023-10-29T00:00:00"/>
    <n v="3.4"/>
    <n v="77.16"/>
    <s v="Delivered"/>
    <n v="500"/>
    <n v="3"/>
    <x v="0"/>
    <n v="0.15431999999999998"/>
    <s v="fast"/>
  </r>
  <r>
    <x v="1001"/>
    <x v="2"/>
    <x v="7"/>
    <x v="6"/>
    <d v="2023-01-16T00:00:00"/>
    <d v="2023-01-19T00:00:00"/>
    <n v="50.5"/>
    <n v="116.2"/>
    <s v="Delivered"/>
    <n v="493"/>
    <n v="3"/>
    <x v="0"/>
    <n v="0.23569979716024342"/>
    <s v="fast"/>
  </r>
  <r>
    <x v="1002"/>
    <x v="4"/>
    <x v="12"/>
    <x v="1"/>
    <d v="2023-08-05T00:00:00"/>
    <d v="2023-08-19T00:00:00"/>
    <n v="29.7"/>
    <n v="98.25"/>
    <s v="Delayed"/>
    <n v="456"/>
    <n v="1"/>
    <x v="1"/>
    <n v="0.21546052631578946"/>
    <s v="not applicabel"/>
  </r>
  <r>
    <x v="1003"/>
    <x v="0"/>
    <x v="13"/>
    <x v="4"/>
    <d v="2023-12-31T00:00:00"/>
    <d v="2024-01-05T00:00:00"/>
    <n v="11.7"/>
    <n v="108.46"/>
    <s v="Delivered"/>
    <n v="612"/>
    <n v="5"/>
    <x v="0"/>
    <n v="0.17722222222222223"/>
    <s v="slow"/>
  </r>
  <r>
    <x v="1004"/>
    <x v="4"/>
    <x v="1"/>
    <x v="2"/>
    <d v="2023-10-10T00:00:00"/>
    <d v="2023-10-15T00:00:00"/>
    <n v="0.3"/>
    <n v="281.60000000000002"/>
    <s v="Delivered"/>
    <n v="2137"/>
    <n v="5"/>
    <x v="0"/>
    <n v="0.13177351427234441"/>
    <s v="slow"/>
  </r>
  <r>
    <x v="1005"/>
    <x v="7"/>
    <x v="1"/>
    <x v="1"/>
    <d v="2023-10-27T00:00:00"/>
    <d v="2023-10-30T00:00:00"/>
    <n v="27.6"/>
    <n v="157"/>
    <s v="Delivered"/>
    <n v="850"/>
    <n v="3"/>
    <x v="0"/>
    <n v="0.18470588235294116"/>
    <s v="fast"/>
  </r>
  <r>
    <x v="1006"/>
    <x v="5"/>
    <x v="7"/>
    <x v="4"/>
    <d v="2023-08-20T00:00:00"/>
    <d v="2023-08-25T00:00:00"/>
    <n v="6.9"/>
    <n v="39.81"/>
    <s v="Delayed"/>
    <n v="283"/>
    <n v="3"/>
    <x v="1"/>
    <n v="0.1406713780918728"/>
    <s v="not applicabel"/>
  </r>
  <r>
    <x v="1007"/>
    <x v="9"/>
    <x v="12"/>
    <x v="3"/>
    <d v="2023-03-07T00:00:00"/>
    <d v="2023-03-19T00:00:00"/>
    <n v="5.4"/>
    <n v="184.97"/>
    <s v="Delayed"/>
    <n v="1364"/>
    <n v="6"/>
    <x v="1"/>
    <n v="0.13560850439882699"/>
    <s v="not applicabel"/>
  </r>
  <r>
    <x v="1008"/>
    <x v="2"/>
    <x v="10"/>
    <x v="1"/>
    <d v="2023-08-09T00:00:00"/>
    <d v="2023-08-15T00:00:00"/>
    <n v="20.6"/>
    <n v="317.60000000000002"/>
    <s v="Delivered"/>
    <n v="1975"/>
    <n v="6"/>
    <x v="0"/>
    <n v="0.1608101265822785"/>
    <s v="slow"/>
  </r>
  <r>
    <x v="1009"/>
    <x v="8"/>
    <x v="8"/>
    <x v="5"/>
    <d v="2023-04-19T00:00:00"/>
    <d v="2023-04-22T00:00:00"/>
    <n v="10.1"/>
    <n v="104.49"/>
    <s v="Delivered"/>
    <n v="790"/>
    <n v="3"/>
    <x v="0"/>
    <n v="0.13226582278481011"/>
    <s v="fast"/>
  </r>
  <r>
    <x v="1010"/>
    <x v="0"/>
    <x v="5"/>
    <x v="1"/>
    <d v="2023-10-30T00:00:00"/>
    <d v="2023-11-04T00:00:00"/>
    <n v="17"/>
    <n v="252.92"/>
    <s v="Delivered"/>
    <n v="1685"/>
    <n v="5"/>
    <x v="0"/>
    <n v="0.15010089020771514"/>
    <s v="slow"/>
  </r>
  <r>
    <x v="1011"/>
    <x v="5"/>
    <x v="14"/>
    <x v="3"/>
    <d v="2023-09-15T00:00:00"/>
    <d v="2023-09-18T00:00:00"/>
    <n v="30.9"/>
    <n v="179.89"/>
    <s v="Delivered"/>
    <n v="1000"/>
    <n v="3"/>
    <x v="0"/>
    <n v="0.17988999999999999"/>
    <s v="fast"/>
  </r>
  <r>
    <x v="1012"/>
    <x v="7"/>
    <x v="2"/>
    <x v="2"/>
    <d v="2023-04-26T00:00:00"/>
    <d v="2023-05-02T00:00:00"/>
    <n v="8.1999999999999993"/>
    <n v="306.04000000000002"/>
    <s v="Delivered"/>
    <n v="2254"/>
    <n v="6"/>
    <x v="0"/>
    <n v="0.13577639751552795"/>
    <s v="slow"/>
  </r>
  <r>
    <x v="1013"/>
    <x v="1"/>
    <x v="1"/>
    <x v="3"/>
    <d v="2023-06-11T00:00:00"/>
    <d v="2023-06-16T00:00:00"/>
    <n v="37.6"/>
    <n v="305.62"/>
    <s v="Delivered"/>
    <n v="1761"/>
    <n v="5"/>
    <x v="0"/>
    <n v="0.17354911981828508"/>
    <s v="slow"/>
  </r>
  <r>
    <x v="1014"/>
    <x v="4"/>
    <x v="14"/>
    <x v="3"/>
    <d v="2023-05-28T00:00:00"/>
    <d v="2023-06-03T00:00:00"/>
    <n v="78.7"/>
    <n v="309.33"/>
    <s v="Delivered"/>
    <n v="1394"/>
    <n v="6"/>
    <x v="0"/>
    <n v="0.22190100430416068"/>
    <s v="slow"/>
  </r>
  <r>
    <x v="1015"/>
    <x v="5"/>
    <x v="13"/>
    <x v="6"/>
    <d v="2023-11-26T00:00:00"/>
    <d v="2023-11-30T00:00:00"/>
    <n v="59.8"/>
    <n v="203.1"/>
    <s v="Delivered"/>
    <n v="789"/>
    <n v="4"/>
    <x v="0"/>
    <n v="0.25741444866920149"/>
    <s v="fast"/>
  </r>
  <r>
    <x v="1016"/>
    <x v="0"/>
    <x v="2"/>
    <x v="5"/>
    <d v="2023-08-14T00:00:00"/>
    <d v="2023-08-19T00:00:00"/>
    <n v="21.4"/>
    <n v="113.32"/>
    <s v="Lost"/>
    <n v="790"/>
    <n v="5"/>
    <x v="2"/>
    <n v="0.14344303797468352"/>
    <s v="not applicabel"/>
  </r>
  <r>
    <x v="1017"/>
    <x v="4"/>
    <x v="4"/>
    <x v="2"/>
    <d v="2023-05-12T00:00:00"/>
    <d v="2023-05-18T00:00:00"/>
    <n v="50.3"/>
    <n v="257.68"/>
    <s v="Delivered"/>
    <n v="1485"/>
    <n v="6"/>
    <x v="0"/>
    <n v="0.17352188552188552"/>
    <s v="slow"/>
  </r>
  <r>
    <x v="1018"/>
    <x v="7"/>
    <x v="0"/>
    <x v="4"/>
    <d v="2023-08-06T00:00:00"/>
    <d v="2023-08-10T00:00:00"/>
    <n v="23.7"/>
    <n v="280.45"/>
    <s v="Returned"/>
    <n v="2017"/>
    <n v="4"/>
    <x v="3"/>
    <n v="0.13904313336638571"/>
    <s v="not applicabel"/>
  </r>
  <r>
    <x v="1019"/>
    <x v="0"/>
    <x v="7"/>
    <x v="0"/>
    <d v="2023-02-22T00:00:00"/>
    <d v="2023-02-27T00:00:00"/>
    <n v="43.5"/>
    <n v="324.49"/>
    <s v="Delivered"/>
    <n v="2021"/>
    <n v="5"/>
    <x v="0"/>
    <n v="0.16055912914398812"/>
    <s v="slow"/>
  </r>
  <r>
    <x v="1020"/>
    <x v="8"/>
    <x v="9"/>
    <x v="0"/>
    <d v="2023-09-23T00:00:00"/>
    <d v="2023-09-28T00:00:00"/>
    <n v="14.9"/>
    <m/>
    <s v="Delayed"/>
    <n v="215"/>
    <n v="1"/>
    <x v="1"/>
    <n v="0"/>
    <s v="not applicabel"/>
  </r>
  <r>
    <x v="1021"/>
    <x v="8"/>
    <x v="14"/>
    <x v="2"/>
    <d v="2023-03-28T00:00:00"/>
    <d v="2023-04-04T00:00:00"/>
    <n v="16.7"/>
    <n v="200.43"/>
    <s v="Delivered"/>
    <n v="1466"/>
    <n v="7"/>
    <x v="0"/>
    <n v="0.13671896316507504"/>
    <s v="slow"/>
  </r>
  <r>
    <x v="1022"/>
    <x v="2"/>
    <x v="9"/>
    <x v="3"/>
    <d v="2023-03-15T00:00:00"/>
    <d v="2023-03-17T00:00:00"/>
    <n v="12.8"/>
    <n v="94.48"/>
    <s v="Delivered"/>
    <n v="626"/>
    <n v="2"/>
    <x v="0"/>
    <n v="0.15092651757188499"/>
    <s v="fast"/>
  </r>
  <r>
    <x v="1023"/>
    <x v="9"/>
    <x v="1"/>
    <x v="2"/>
    <d v="2023-02-20T00:00:00"/>
    <d v="2023-02-23T00:00:00"/>
    <n v="3.5"/>
    <n v="138.85"/>
    <s v="Delivered"/>
    <n v="1063"/>
    <n v="3"/>
    <x v="0"/>
    <n v="0.130620884289746"/>
    <s v="fast"/>
  </r>
  <r>
    <x v="1024"/>
    <x v="8"/>
    <x v="1"/>
    <x v="0"/>
    <d v="2023-04-16T00:00:00"/>
    <d v="2023-04-18T00:00:00"/>
    <n v="166.1"/>
    <n v="337.18"/>
    <s v="Delivered"/>
    <n v="870"/>
    <n v="2"/>
    <x v="0"/>
    <n v="0.3875632183908046"/>
    <s v="fast"/>
  </r>
  <r>
    <x v="1025"/>
    <x v="2"/>
    <x v="8"/>
    <x v="3"/>
    <d v="2023-08-23T00:00:00"/>
    <d v="2023-08-28T00:00:00"/>
    <n v="21.8"/>
    <n v="325.08999999999997"/>
    <s v="Delivered"/>
    <n v="2387"/>
    <n v="5"/>
    <x v="0"/>
    <n v="0.13619187264348553"/>
    <s v="slow"/>
  </r>
  <r>
    <x v="1026"/>
    <x v="1"/>
    <x v="0"/>
    <x v="4"/>
    <d v="2023-04-29T00:00:00"/>
    <d v="2023-05-03T00:00:00"/>
    <n v="25.3"/>
    <n v="172.77"/>
    <s v="Delivered"/>
    <n v="1260"/>
    <n v="4"/>
    <x v="0"/>
    <n v="0.13711904761904764"/>
    <s v="fast"/>
  </r>
  <r>
    <x v="1027"/>
    <x v="9"/>
    <x v="4"/>
    <x v="2"/>
    <d v="2023-02-16T00:00:00"/>
    <d v="2023-03-02T00:00:00"/>
    <n v="8.5"/>
    <n v="228.43"/>
    <s v="Delayed"/>
    <n v="1754"/>
    <n v="4"/>
    <x v="1"/>
    <n v="0.13023375142531357"/>
    <s v="not applicabel"/>
  </r>
  <r>
    <x v="1028"/>
    <x v="3"/>
    <x v="7"/>
    <x v="0"/>
    <d v="2023-08-29T00:00:00"/>
    <d v="2023-09-01T00:00:00"/>
    <n v="12.4"/>
    <n v="129.81"/>
    <s v="In Transit"/>
    <n v="842"/>
    <n v="3"/>
    <x v="0"/>
    <n v="0.15416864608076009"/>
    <s v="fast"/>
  </r>
  <r>
    <x v="1029"/>
    <x v="3"/>
    <x v="5"/>
    <x v="3"/>
    <d v="2023-06-21T00:00:00"/>
    <d v="2023-06-25T00:00:00"/>
    <n v="40.700000000000003"/>
    <n v="240.08"/>
    <s v="Delivered"/>
    <n v="1457"/>
    <n v="4"/>
    <x v="0"/>
    <n v="0.16477693891557996"/>
    <s v="fast"/>
  </r>
  <r>
    <x v="1030"/>
    <x v="3"/>
    <x v="7"/>
    <x v="2"/>
    <d v="2023-06-10T00:00:00"/>
    <d v="2023-06-17T00:00:00"/>
    <n v="17.3"/>
    <n v="300.85000000000002"/>
    <s v="Delivered"/>
    <n v="2372"/>
    <n v="7"/>
    <x v="0"/>
    <n v="0.12683389544688028"/>
    <s v="slow"/>
  </r>
  <r>
    <x v="1031"/>
    <x v="2"/>
    <x v="14"/>
    <x v="2"/>
    <d v="2023-07-26T00:00:00"/>
    <d v="2023-07-31T00:00:00"/>
    <n v="12.9"/>
    <n v="276.52"/>
    <s v="Delivered"/>
    <n v="1986"/>
    <n v="5"/>
    <x v="0"/>
    <n v="0.13923464249748238"/>
    <s v="slow"/>
  </r>
  <r>
    <x v="1032"/>
    <x v="3"/>
    <x v="3"/>
    <x v="0"/>
    <d v="2023-06-10T00:00:00"/>
    <d v="2023-06-12T00:00:00"/>
    <n v="27.3"/>
    <n v="54.83"/>
    <s v="Delivered"/>
    <n v="128"/>
    <n v="2"/>
    <x v="0"/>
    <n v="0.42835937499999999"/>
    <s v="fast"/>
  </r>
  <r>
    <x v="1033"/>
    <x v="8"/>
    <x v="10"/>
    <x v="2"/>
    <d v="2023-12-23T00:00:00"/>
    <d v="2023-12-25T00:00:00"/>
    <n v="20.2"/>
    <n v="82.02"/>
    <s v="Delivered"/>
    <n v="426"/>
    <n v="2"/>
    <x v="0"/>
    <n v="0.19253521126760562"/>
    <s v="fast"/>
  </r>
  <r>
    <x v="1034"/>
    <x v="9"/>
    <x v="0"/>
    <x v="3"/>
    <d v="2023-05-22T00:00:00"/>
    <d v="2023-05-27T00:00:00"/>
    <n v="22.6"/>
    <n v="256.62"/>
    <s v="In Transit"/>
    <n v="1708"/>
    <n v="5"/>
    <x v="0"/>
    <n v="0.15024590163934426"/>
    <s v="slow"/>
  </r>
  <r>
    <x v="1035"/>
    <x v="2"/>
    <x v="5"/>
    <x v="2"/>
    <d v="2023-12-23T00:00:00"/>
    <d v="2024-01-01T00:00:00"/>
    <n v="15.2"/>
    <n v="261.44"/>
    <s v="Delayed"/>
    <n v="1561"/>
    <n v="3"/>
    <x v="1"/>
    <n v="0.16748238308776425"/>
    <s v="not applicabel"/>
  </r>
  <r>
    <x v="1036"/>
    <x v="5"/>
    <x v="10"/>
    <x v="2"/>
    <d v="2023-06-09T00:00:00"/>
    <d v="2023-06-23T00:00:00"/>
    <n v="18.399999999999999"/>
    <n v="156.75"/>
    <s v="Delayed"/>
    <n v="1064"/>
    <n v="5"/>
    <x v="1"/>
    <n v="0.14732142857142858"/>
    <s v="not applicabel"/>
  </r>
  <r>
    <x v="1037"/>
    <x v="1"/>
    <x v="8"/>
    <x v="1"/>
    <d v="2023-03-15T00:00:00"/>
    <d v="2023-03-20T00:00:00"/>
    <n v="14.7"/>
    <n v="292.83"/>
    <s v="Delivered"/>
    <n v="1842"/>
    <n v="5"/>
    <x v="0"/>
    <n v="0.15897394136807816"/>
    <s v="slow"/>
  </r>
  <r>
    <x v="1038"/>
    <x v="4"/>
    <x v="3"/>
    <x v="5"/>
    <d v="2023-10-05T00:00:00"/>
    <d v="2023-10-11T00:00:00"/>
    <n v="41.9"/>
    <n v="129.63999999999999"/>
    <s v="Delivered"/>
    <n v="670"/>
    <n v="6"/>
    <x v="0"/>
    <n v="0.19349253731343283"/>
    <s v="slow"/>
  </r>
  <r>
    <x v="1039"/>
    <x v="3"/>
    <x v="1"/>
    <x v="0"/>
    <d v="2023-10-04T00:00:00"/>
    <d v="2023-10-08T00:00:00"/>
    <n v="9.4"/>
    <n v="208.22"/>
    <s v="Delivered"/>
    <n v="1675"/>
    <n v="4"/>
    <x v="0"/>
    <n v="0.12431044776119403"/>
    <s v="fast"/>
  </r>
  <r>
    <x v="1040"/>
    <x v="5"/>
    <x v="9"/>
    <x v="3"/>
    <d v="2023-09-05T00:00:00"/>
    <d v="2023-09-15T00:00:00"/>
    <n v="8.4"/>
    <n v="237.7"/>
    <s v="Delayed"/>
    <n v="1854"/>
    <n v="5"/>
    <x v="1"/>
    <n v="0.12820927723840345"/>
    <s v="not applicabel"/>
  </r>
  <r>
    <x v="1041"/>
    <x v="0"/>
    <x v="0"/>
    <x v="1"/>
    <d v="2023-04-08T00:00:00"/>
    <d v="2023-04-15T00:00:00"/>
    <n v="20.5"/>
    <n v="369.7"/>
    <s v="Delivered"/>
    <n v="2249"/>
    <n v="7"/>
    <x v="0"/>
    <n v="0.16438417074255224"/>
    <s v="slow"/>
  </r>
  <r>
    <x v="1042"/>
    <x v="3"/>
    <x v="11"/>
    <x v="2"/>
    <d v="2023-06-15T00:00:00"/>
    <d v="2023-06-23T00:00:00"/>
    <n v="16.399999999999999"/>
    <n v="264.86"/>
    <s v="Delayed"/>
    <n v="1947"/>
    <n v="4"/>
    <x v="1"/>
    <n v="0.13603492552645097"/>
    <s v="not applicabel"/>
  </r>
  <r>
    <x v="1043"/>
    <x v="4"/>
    <x v="6"/>
    <x v="0"/>
    <d v="2023-12-30T00:00:00"/>
    <d v="2023-12-31T00:00:00"/>
    <n v="19.899999999999999"/>
    <n v="66.41"/>
    <s v="Delivered"/>
    <n v="229"/>
    <n v="1"/>
    <x v="0"/>
    <n v="0.28999999999999998"/>
    <s v="fast"/>
  </r>
  <r>
    <x v="1044"/>
    <x v="3"/>
    <x v="12"/>
    <x v="6"/>
    <d v="2023-03-26T00:00:00"/>
    <d v="2023-03-28T00:00:00"/>
    <n v="45.5"/>
    <n v="87.93"/>
    <s v="Delivered"/>
    <n v="399"/>
    <n v="2"/>
    <x v="0"/>
    <n v="0.22037593984962409"/>
    <s v="fast"/>
  </r>
  <r>
    <x v="1045"/>
    <x v="7"/>
    <x v="13"/>
    <x v="5"/>
    <d v="2023-08-23T00:00:00"/>
    <d v="2023-08-26T00:00:00"/>
    <n v="31.8"/>
    <n v="101.3"/>
    <s v="In Transit"/>
    <n v="519"/>
    <n v="3"/>
    <x v="0"/>
    <n v="0.19518304431599229"/>
    <s v="fast"/>
  </r>
  <r>
    <x v="1046"/>
    <x v="1"/>
    <x v="2"/>
    <x v="3"/>
    <d v="2023-02-20T00:00:00"/>
    <d v="2023-02-24T00:00:00"/>
    <n v="20.3"/>
    <n v="232.45"/>
    <s v="Delivered"/>
    <n v="1505"/>
    <n v="4"/>
    <x v="0"/>
    <n v="0.1544518272425249"/>
    <s v="fast"/>
  </r>
  <r>
    <x v="1047"/>
    <x v="7"/>
    <x v="14"/>
    <x v="0"/>
    <d v="2023-06-07T00:00:00"/>
    <d v="2023-06-12T00:00:00"/>
    <n v="34.299999999999997"/>
    <n v="295.73"/>
    <s v="Delivered"/>
    <n v="2017"/>
    <n v="5"/>
    <x v="0"/>
    <n v="0.14661874070401587"/>
    <s v="slow"/>
  </r>
  <r>
    <x v="1048"/>
    <x v="8"/>
    <x v="10"/>
    <x v="4"/>
    <d v="2023-04-11T00:00:00"/>
    <d v="2023-04-18T00:00:00"/>
    <n v="12.7"/>
    <n v="285.48"/>
    <s v="Lost"/>
    <n v="2264"/>
    <n v="7"/>
    <x v="2"/>
    <n v="0.12609540636042404"/>
    <s v="not applicabel"/>
  </r>
  <r>
    <x v="1049"/>
    <x v="3"/>
    <x v="0"/>
    <x v="6"/>
    <d v="2023-11-06T00:00:00"/>
    <d v="2023-11-11T00:00:00"/>
    <n v="53.3"/>
    <n v="343.47"/>
    <s v="Delivered"/>
    <n v="2222"/>
    <n v="5"/>
    <x v="0"/>
    <n v="0.1545769576957696"/>
    <s v="slow"/>
  </r>
  <r>
    <x v="1050"/>
    <x v="9"/>
    <x v="4"/>
    <x v="2"/>
    <d v="2023-10-04T00:00:00"/>
    <d v="2023-10-10T00:00:00"/>
    <n v="85.3"/>
    <n v="406.22"/>
    <s v="Delivered"/>
    <n v="2470"/>
    <n v="6"/>
    <x v="0"/>
    <n v="0.16446153846153846"/>
    <s v="slow"/>
  </r>
  <r>
    <x v="1051"/>
    <x v="3"/>
    <x v="14"/>
    <x v="1"/>
    <d v="2023-08-16T00:00:00"/>
    <d v="2023-08-20T00:00:00"/>
    <n v="18.100000000000001"/>
    <n v="205.49"/>
    <s v="Delivered"/>
    <n v="1418"/>
    <n v="4"/>
    <x v="0"/>
    <n v="0.14491537376586744"/>
    <s v="fast"/>
  </r>
  <r>
    <x v="1052"/>
    <x v="8"/>
    <x v="4"/>
    <x v="1"/>
    <d v="2023-08-16T00:00:00"/>
    <d v="2023-08-23T00:00:00"/>
    <n v="8.1999999999999993"/>
    <n v="257.45"/>
    <s v="Delivered"/>
    <n v="1838"/>
    <n v="7"/>
    <x v="0"/>
    <n v="0.14007072905331883"/>
    <s v="slow"/>
  </r>
  <r>
    <x v="1053"/>
    <x v="9"/>
    <x v="1"/>
    <x v="5"/>
    <d v="2023-01-14T00:00:00"/>
    <d v="2023-01-15T00:00:00"/>
    <n v="14.4"/>
    <n v="50.76"/>
    <s v="Delivered"/>
    <n v="253"/>
    <n v="1"/>
    <x v="0"/>
    <n v="0.20063241106719368"/>
    <s v="fast"/>
  </r>
  <r>
    <x v="1054"/>
    <x v="9"/>
    <x v="2"/>
    <x v="5"/>
    <d v="2023-12-23T00:00:00"/>
    <d v="2023-12-27T00:00:00"/>
    <n v="4.3"/>
    <n v="218.11"/>
    <s v="Delivered"/>
    <n v="1565"/>
    <n v="4"/>
    <x v="0"/>
    <n v="0.13936741214057508"/>
    <s v="fast"/>
  </r>
  <r>
    <x v="1055"/>
    <x v="4"/>
    <x v="1"/>
    <x v="2"/>
    <d v="2023-09-10T00:00:00"/>
    <d v="2023-09-14T00:00:00"/>
    <n v="57.1"/>
    <n v="259.94"/>
    <s v="Delivered"/>
    <n v="1447"/>
    <n v="4"/>
    <x v="0"/>
    <n v="0.17964063579820319"/>
    <s v="fast"/>
  </r>
  <r>
    <x v="1056"/>
    <x v="2"/>
    <x v="5"/>
    <x v="0"/>
    <d v="2023-08-05T00:00:00"/>
    <d v="2023-08-08T00:00:00"/>
    <n v="18"/>
    <n v="63.23"/>
    <s v="Delivered"/>
    <n v="312"/>
    <n v="3"/>
    <x v="0"/>
    <n v="0.2026602564102564"/>
    <s v="fast"/>
  </r>
  <r>
    <x v="1057"/>
    <x v="2"/>
    <x v="10"/>
    <x v="5"/>
    <d v="2023-07-18T00:00:00"/>
    <d v="2023-07-19T00:00:00"/>
    <n v="27.5"/>
    <n v="41.66"/>
    <s v="Delivered"/>
    <n v="101"/>
    <n v="1"/>
    <x v="0"/>
    <n v="0.41247524752475245"/>
    <s v="fast"/>
  </r>
  <r>
    <x v="1058"/>
    <x v="9"/>
    <x v="14"/>
    <x v="2"/>
    <d v="2023-01-17T00:00:00"/>
    <d v="2023-01-21T00:00:00"/>
    <n v="20.7"/>
    <n v="179.54"/>
    <s v="Delivered"/>
    <n v="1413"/>
    <n v="4"/>
    <x v="0"/>
    <n v="0.1270629865534324"/>
    <s v="fast"/>
  </r>
  <r>
    <x v="1059"/>
    <x v="6"/>
    <x v="3"/>
    <x v="3"/>
    <d v="2023-05-02T00:00:00"/>
    <d v="2023-05-06T00:00:00"/>
    <n v="14.5"/>
    <n v="88.92"/>
    <s v="Delivered"/>
    <n v="581"/>
    <n v="4"/>
    <x v="0"/>
    <n v="0.15304647160068846"/>
    <s v="fast"/>
  </r>
  <r>
    <x v="1060"/>
    <x v="8"/>
    <x v="2"/>
    <x v="1"/>
    <d v="2023-12-25T00:00:00"/>
    <d v="2024-01-03T00:00:00"/>
    <n v="9.3000000000000007"/>
    <n v="223.05"/>
    <s v="Delayed"/>
    <n v="1331"/>
    <n v="3"/>
    <x v="1"/>
    <n v="0.16758076634109692"/>
    <s v="not applicabel"/>
  </r>
  <r>
    <x v="1061"/>
    <x v="3"/>
    <x v="4"/>
    <x v="0"/>
    <d v="2023-01-22T00:00:00"/>
    <d v="2023-01-27T00:00:00"/>
    <n v="10.3"/>
    <n v="237.92"/>
    <s v="Delivered"/>
    <n v="1737"/>
    <n v="5"/>
    <x v="0"/>
    <n v="0.13697179044329302"/>
    <s v="slow"/>
  </r>
  <r>
    <x v="1062"/>
    <x v="6"/>
    <x v="7"/>
    <x v="1"/>
    <d v="2023-05-10T00:00:00"/>
    <d v="2023-05-22T00:00:00"/>
    <n v="31.3"/>
    <n v="323.10000000000002"/>
    <s v="Delayed"/>
    <n v="1873"/>
    <n v="5"/>
    <x v="1"/>
    <n v="0.17250400427122264"/>
    <s v="not applicabel"/>
  </r>
  <r>
    <x v="1063"/>
    <x v="0"/>
    <x v="14"/>
    <x v="5"/>
    <d v="2023-12-12T00:00:00"/>
    <d v="2023-12-15T00:00:00"/>
    <n v="14.3"/>
    <n v="88.88"/>
    <s v="Delivered"/>
    <n v="489"/>
    <n v="3"/>
    <x v="0"/>
    <n v="0.18175869120654395"/>
    <s v="fast"/>
  </r>
  <r>
    <x v="1064"/>
    <x v="4"/>
    <x v="11"/>
    <x v="5"/>
    <d v="2023-07-06T00:00:00"/>
    <d v="2023-07-12T00:00:00"/>
    <n v="42.3"/>
    <n v="297.39999999999998"/>
    <s v="Delivered"/>
    <n v="2310"/>
    <n v="6"/>
    <x v="0"/>
    <n v="0.12874458874458874"/>
    <s v="slow"/>
  </r>
  <r>
    <x v="1065"/>
    <x v="1"/>
    <x v="1"/>
    <x v="1"/>
    <d v="2023-01-04T00:00:00"/>
    <d v="2023-01-09T00:00:00"/>
    <n v="55.9"/>
    <n v="321.41000000000003"/>
    <s v="Delivered"/>
    <n v="1931"/>
    <n v="5"/>
    <x v="0"/>
    <n v="0.16644743656136718"/>
    <s v="slow"/>
  </r>
  <r>
    <x v="1066"/>
    <x v="5"/>
    <x v="6"/>
    <x v="4"/>
    <d v="2023-10-14T00:00:00"/>
    <d v="2023-10-17T00:00:00"/>
    <n v="8"/>
    <n v="33.03"/>
    <s v="Delivered"/>
    <n v="207"/>
    <n v="3"/>
    <x v="0"/>
    <n v="0.15956521739130436"/>
    <s v="fast"/>
  </r>
  <r>
    <x v="1067"/>
    <x v="2"/>
    <x v="14"/>
    <x v="0"/>
    <d v="2023-07-19T00:00:00"/>
    <d v="2023-08-01T00:00:00"/>
    <n v="25.9"/>
    <n v="323.47000000000003"/>
    <s v="Delayed"/>
    <n v="2279"/>
    <n v="7"/>
    <x v="1"/>
    <n v="0.14193505923650726"/>
    <s v="not applicabel"/>
  </r>
  <r>
    <x v="1068"/>
    <x v="7"/>
    <x v="4"/>
    <x v="0"/>
    <d v="2023-05-04T00:00:00"/>
    <d v="2023-05-09T00:00:00"/>
    <n v="11.6"/>
    <n v="196.42"/>
    <s v="Delivered"/>
    <n v="1463"/>
    <n v="5"/>
    <x v="0"/>
    <n v="0.1342583732057416"/>
    <s v="slow"/>
  </r>
  <r>
    <x v="1069"/>
    <x v="5"/>
    <x v="6"/>
    <x v="4"/>
    <d v="2023-07-02T00:00:00"/>
    <d v="2023-07-04T00:00:00"/>
    <n v="20.2"/>
    <n v="129.06"/>
    <s v="Delivered"/>
    <n v="780"/>
    <n v="2"/>
    <x v="0"/>
    <n v="0.16546153846153847"/>
    <s v="fast"/>
  </r>
  <r>
    <x v="1070"/>
    <x v="4"/>
    <x v="12"/>
    <x v="3"/>
    <d v="2023-05-09T00:00:00"/>
    <d v="2023-05-11T00:00:00"/>
    <n v="21.9"/>
    <n v="101.98"/>
    <s v="Delivered"/>
    <n v="506"/>
    <n v="2"/>
    <x v="0"/>
    <n v="0.20154150197628459"/>
    <s v="fast"/>
  </r>
  <r>
    <x v="1071"/>
    <x v="9"/>
    <x v="4"/>
    <x v="4"/>
    <d v="2023-01-20T00:00:00"/>
    <d v="2023-01-29T00:00:00"/>
    <n v="10.3"/>
    <n v="310.92"/>
    <s v="Delivered"/>
    <n v="2349"/>
    <n v="9"/>
    <x v="0"/>
    <n v="0.13236270753512133"/>
    <s v="slow"/>
  </r>
  <r>
    <x v="1072"/>
    <x v="4"/>
    <x v="5"/>
    <x v="5"/>
    <d v="2023-12-05T00:00:00"/>
    <d v="2023-12-07T00:00:00"/>
    <n v="7"/>
    <n v="114.15"/>
    <s v="Delivered"/>
    <n v="704"/>
    <n v="2"/>
    <x v="0"/>
    <n v="0.16214488636363636"/>
    <s v="fast"/>
  </r>
  <r>
    <x v="1073"/>
    <x v="8"/>
    <x v="6"/>
    <x v="6"/>
    <d v="2023-10-01T00:00:00"/>
    <d v="2023-10-07T00:00:00"/>
    <n v="37.4"/>
    <n v="165.48"/>
    <s v="Delivered"/>
    <n v="1209"/>
    <n v="6"/>
    <x v="0"/>
    <n v="0.13687344913151364"/>
    <s v="slow"/>
  </r>
  <r>
    <x v="1074"/>
    <x v="5"/>
    <x v="11"/>
    <x v="4"/>
    <d v="2023-08-23T00:00:00"/>
    <d v="2023-08-27T00:00:00"/>
    <n v="13.9"/>
    <n v="163.87"/>
    <s v="Delivered"/>
    <n v="1350"/>
    <n v="4"/>
    <x v="0"/>
    <n v="0.12138518518518519"/>
    <s v="fast"/>
  </r>
  <r>
    <x v="1075"/>
    <x v="1"/>
    <x v="9"/>
    <x v="4"/>
    <d v="2023-10-15T00:00:00"/>
    <d v="2023-10-21T00:00:00"/>
    <n v="6"/>
    <n v="162.4"/>
    <s v="Delivered"/>
    <n v="1231"/>
    <n v="6"/>
    <x v="0"/>
    <n v="0.13192526401299756"/>
    <s v="slow"/>
  </r>
  <r>
    <x v="1076"/>
    <x v="8"/>
    <x v="4"/>
    <x v="2"/>
    <d v="2023-04-17T00:00:00"/>
    <d v="2023-04-19T00:00:00"/>
    <n v="32.4"/>
    <n v="81.150000000000006"/>
    <s v="Delivered"/>
    <n v="415"/>
    <n v="2"/>
    <x v="0"/>
    <n v="0.19554216867469881"/>
    <s v="fast"/>
  </r>
  <r>
    <x v="1077"/>
    <x v="4"/>
    <x v="10"/>
    <x v="6"/>
    <d v="2023-05-31T00:00:00"/>
    <d v="2023-06-02T00:00:00"/>
    <n v="21.1"/>
    <n v="49.8"/>
    <s v="Delivered"/>
    <n v="270"/>
    <n v="2"/>
    <x v="0"/>
    <n v="0.18444444444444444"/>
    <s v="fast"/>
  </r>
  <r>
    <x v="1078"/>
    <x v="4"/>
    <x v="2"/>
    <x v="4"/>
    <d v="2023-07-05T00:00:00"/>
    <d v="2023-07-10T00:00:00"/>
    <n v="66.5"/>
    <n v="94.15"/>
    <s v="Delivered"/>
    <n v="155"/>
    <n v="5"/>
    <x v="0"/>
    <n v="0.60741935483870968"/>
    <s v="slow"/>
  </r>
  <r>
    <x v="1079"/>
    <x v="8"/>
    <x v="7"/>
    <x v="0"/>
    <d v="2023-12-15T00:00:00"/>
    <d v="2023-12-21T00:00:00"/>
    <n v="19.5"/>
    <n v="354.28"/>
    <s v="Delivered"/>
    <n v="2393"/>
    <n v="6"/>
    <x v="0"/>
    <n v="0.14804847471792729"/>
    <s v="slow"/>
  </r>
  <r>
    <x v="1080"/>
    <x v="6"/>
    <x v="4"/>
    <x v="0"/>
    <d v="2023-10-09T00:00:00"/>
    <d v="2023-10-14T00:00:00"/>
    <n v="7.6"/>
    <n v="108.9"/>
    <s v="Delivered"/>
    <n v="772"/>
    <n v="5"/>
    <x v="0"/>
    <n v="0.1410621761658031"/>
    <s v="slow"/>
  </r>
  <r>
    <x v="1081"/>
    <x v="5"/>
    <x v="11"/>
    <x v="4"/>
    <d v="2023-07-23T00:00:00"/>
    <d v="2023-07-26T00:00:00"/>
    <n v="84.6"/>
    <n v="260.77999999999997"/>
    <s v="In Transit"/>
    <n v="1350"/>
    <n v="3"/>
    <x v="0"/>
    <n v="0.19317037037037035"/>
    <s v="fast"/>
  </r>
  <r>
    <x v="1082"/>
    <x v="9"/>
    <x v="0"/>
    <x v="1"/>
    <d v="2023-09-05T00:00:00"/>
    <d v="2023-09-16T00:00:00"/>
    <n v="26.7"/>
    <n v="243.13"/>
    <s v="Delayed"/>
    <n v="1505"/>
    <n v="5"/>
    <x v="1"/>
    <n v="0.16154817275747507"/>
    <s v="not applicabel"/>
  </r>
  <r>
    <x v="1083"/>
    <x v="3"/>
    <x v="6"/>
    <x v="4"/>
    <d v="2023-06-29T00:00:00"/>
    <d v="2023-07-01T00:00:00"/>
    <n v="22.6"/>
    <n v="115.12"/>
    <s v="Delivered"/>
    <n v="719"/>
    <n v="2"/>
    <x v="0"/>
    <n v="0.16011126564673159"/>
    <s v="fast"/>
  </r>
  <r>
    <x v="1084"/>
    <x v="9"/>
    <x v="10"/>
    <x v="3"/>
    <d v="2023-12-18T00:00:00"/>
    <d v="2023-12-21T00:00:00"/>
    <n v="31"/>
    <n v="227.94"/>
    <s v="Delivered"/>
    <n v="1045"/>
    <n v="3"/>
    <x v="0"/>
    <n v="0.21812440191387561"/>
    <s v="fast"/>
  </r>
  <r>
    <x v="1085"/>
    <x v="3"/>
    <x v="1"/>
    <x v="3"/>
    <d v="2023-10-17T00:00:00"/>
    <d v="2023-10-21T00:00:00"/>
    <n v="22.9"/>
    <n v="178.45"/>
    <s v="Delivered"/>
    <n v="1185"/>
    <n v="4"/>
    <x v="0"/>
    <n v="0.15059071729957804"/>
    <s v="fast"/>
  </r>
  <r>
    <x v="1086"/>
    <x v="4"/>
    <x v="9"/>
    <x v="0"/>
    <d v="2023-09-11T00:00:00"/>
    <d v="2023-09-17T00:00:00"/>
    <n v="41.5"/>
    <n v="338.34"/>
    <s v="Delivered"/>
    <n v="2120"/>
    <n v="6"/>
    <x v="0"/>
    <n v="0.1595943396226415"/>
    <s v="slow"/>
  </r>
  <r>
    <x v="1087"/>
    <x v="2"/>
    <x v="6"/>
    <x v="2"/>
    <d v="2023-11-07T00:00:00"/>
    <d v="2023-11-12T00:00:00"/>
    <n v="40"/>
    <n v="437.26"/>
    <s v="Delivered"/>
    <n v="2431"/>
    <n v="5"/>
    <x v="0"/>
    <n v="0.17986836692719047"/>
    <s v="slow"/>
  </r>
  <r>
    <x v="1088"/>
    <x v="2"/>
    <x v="5"/>
    <x v="1"/>
    <d v="2023-10-24T00:00:00"/>
    <d v="2023-10-26T00:00:00"/>
    <n v="3.5"/>
    <n v="105.56"/>
    <s v="Delivered"/>
    <n v="799"/>
    <n v="2"/>
    <x v="0"/>
    <n v="0.13211514392991239"/>
    <s v="fast"/>
  </r>
  <r>
    <x v="1089"/>
    <x v="1"/>
    <x v="7"/>
    <x v="5"/>
    <d v="2023-10-28T00:00:00"/>
    <d v="2023-10-31T00:00:00"/>
    <n v="70.400000000000006"/>
    <n v="166.43"/>
    <s v="Delivered"/>
    <n v="795"/>
    <n v="3"/>
    <x v="0"/>
    <n v="0.20934591194968555"/>
    <s v="fast"/>
  </r>
  <r>
    <x v="1090"/>
    <x v="1"/>
    <x v="7"/>
    <x v="1"/>
    <d v="2023-12-22T00:00:00"/>
    <d v="2023-12-25T00:00:00"/>
    <n v="17.5"/>
    <n v="100.77"/>
    <s v="Delivered"/>
    <n v="427"/>
    <n v="3"/>
    <x v="0"/>
    <n v="0.23599531615925057"/>
    <s v="fast"/>
  </r>
  <r>
    <x v="1091"/>
    <x v="3"/>
    <x v="1"/>
    <x v="5"/>
    <d v="2023-07-26T00:00:00"/>
    <d v="2023-08-07T00:00:00"/>
    <n v="15.5"/>
    <n v="130.66999999999999"/>
    <s v="Delayed"/>
    <n v="1035"/>
    <n v="3"/>
    <x v="1"/>
    <n v="0.1262512077294686"/>
    <s v="not applicabel"/>
  </r>
  <r>
    <x v="1092"/>
    <x v="8"/>
    <x v="6"/>
    <x v="1"/>
    <d v="2023-07-29T00:00:00"/>
    <d v="2023-08-02T00:00:00"/>
    <n v="26.5"/>
    <n v="292.13"/>
    <s v="Delivered"/>
    <n v="1670"/>
    <n v="4"/>
    <x v="0"/>
    <n v="0.17492814371257484"/>
    <s v="fast"/>
  </r>
  <r>
    <x v="1093"/>
    <x v="2"/>
    <x v="6"/>
    <x v="4"/>
    <d v="2023-05-03T00:00:00"/>
    <d v="2023-05-15T00:00:00"/>
    <n v="7.7"/>
    <n v="226.92"/>
    <s v="Delivered"/>
    <n v="1895"/>
    <n v="12"/>
    <x v="0"/>
    <n v="0.11974670184696569"/>
    <s v="slow"/>
  </r>
  <r>
    <x v="1094"/>
    <x v="4"/>
    <x v="11"/>
    <x v="4"/>
    <d v="2023-05-24T00:00:00"/>
    <d v="2023-05-28T00:00:00"/>
    <n v="31.7"/>
    <n v="134.57"/>
    <s v="Delivered"/>
    <n v="862"/>
    <n v="4"/>
    <x v="0"/>
    <n v="0.1561136890951276"/>
    <s v="fast"/>
  </r>
  <r>
    <x v="1095"/>
    <x v="3"/>
    <x v="5"/>
    <x v="1"/>
    <d v="2023-05-24T00:00:00"/>
    <d v="2023-05-28T00:00:00"/>
    <n v="15.3"/>
    <n v="271.25"/>
    <s v="Delivered"/>
    <n v="1709"/>
    <n v="4"/>
    <x v="0"/>
    <n v="0.15871854885898187"/>
    <s v="fast"/>
  </r>
  <r>
    <x v="1096"/>
    <x v="8"/>
    <x v="10"/>
    <x v="3"/>
    <d v="2023-05-15T00:00:00"/>
    <d v="2023-05-21T00:00:00"/>
    <n v="7.1"/>
    <n v="304.95999999999998"/>
    <s v="Delivered"/>
    <n v="2397"/>
    <n v="6"/>
    <x v="0"/>
    <n v="0.12722569879015436"/>
    <s v="slow"/>
  </r>
  <r>
    <x v="1097"/>
    <x v="6"/>
    <x v="6"/>
    <x v="3"/>
    <d v="2023-01-11T00:00:00"/>
    <d v="2023-01-17T00:00:00"/>
    <n v="90.3"/>
    <n v="248.01"/>
    <s v="Delivered"/>
    <n v="1076"/>
    <n v="6"/>
    <x v="0"/>
    <n v="0.23049256505576207"/>
    <s v="slow"/>
  </r>
  <r>
    <x v="1098"/>
    <x v="1"/>
    <x v="0"/>
    <x v="5"/>
    <d v="2023-03-31T00:00:00"/>
    <d v="2023-04-04T00:00:00"/>
    <n v="30.3"/>
    <n v="127.04"/>
    <s v="Delivered"/>
    <n v="862"/>
    <n v="4"/>
    <x v="0"/>
    <n v="0.14737819025522042"/>
    <s v="fast"/>
  </r>
  <r>
    <x v="1099"/>
    <x v="9"/>
    <x v="1"/>
    <x v="2"/>
    <d v="2023-10-25T00:00:00"/>
    <d v="2023-10-31T00:00:00"/>
    <n v="12.6"/>
    <n v="158.56"/>
    <s v="Delivered"/>
    <n v="1256"/>
    <n v="6"/>
    <x v="0"/>
    <n v="0.12624203821656052"/>
    <s v="slow"/>
  </r>
  <r>
    <x v="1100"/>
    <x v="8"/>
    <x v="11"/>
    <x v="3"/>
    <d v="2023-09-09T00:00:00"/>
    <d v="2023-09-13T00:00:00"/>
    <n v="15"/>
    <n v="185.82"/>
    <s v="Delivered"/>
    <n v="1368"/>
    <n v="4"/>
    <x v="0"/>
    <n v="0.13583333333333333"/>
    <s v="fast"/>
  </r>
  <r>
    <x v="1101"/>
    <x v="5"/>
    <x v="11"/>
    <x v="2"/>
    <d v="2023-01-02T00:00:00"/>
    <d v="2023-01-20T00:00:00"/>
    <n v="57.4"/>
    <n v="222.36"/>
    <s v="Delayed"/>
    <n v="1350"/>
    <n v="5"/>
    <x v="1"/>
    <n v="0.16471111111111111"/>
    <s v="not applicabel"/>
  </r>
  <r>
    <x v="1102"/>
    <x v="4"/>
    <x v="2"/>
    <x v="0"/>
    <d v="2023-11-22T00:00:00"/>
    <d v="2023-11-27T00:00:00"/>
    <n v="61.5"/>
    <n v="383.67"/>
    <s v="Delivered"/>
    <n v="1976"/>
    <n v="5"/>
    <x v="0"/>
    <n v="0.19416497975708502"/>
    <s v="slow"/>
  </r>
  <r>
    <x v="1103"/>
    <x v="1"/>
    <x v="0"/>
    <x v="3"/>
    <d v="2023-08-18T00:00:00"/>
    <d v="2023-08-24T00:00:00"/>
    <n v="7.7"/>
    <n v="49.02"/>
    <s v="In Transit"/>
    <n v="313"/>
    <n v="6"/>
    <x v="0"/>
    <n v="0.15661341853035146"/>
    <s v="slow"/>
  </r>
  <r>
    <x v="1104"/>
    <x v="6"/>
    <x v="14"/>
    <x v="3"/>
    <d v="2023-12-02T00:00:00"/>
    <d v="2023-12-05T00:00:00"/>
    <n v="53.7"/>
    <n v="255.13"/>
    <s v="Delivered"/>
    <n v="1030"/>
    <n v="3"/>
    <x v="0"/>
    <n v="0.24769902912621358"/>
    <s v="fast"/>
  </r>
  <r>
    <x v="1105"/>
    <x v="1"/>
    <x v="0"/>
    <x v="5"/>
    <d v="2023-08-03T00:00:00"/>
    <d v="2023-08-10T00:00:00"/>
    <n v="54.6"/>
    <n v="6562.21"/>
    <s v="Delivered"/>
    <n v="1942"/>
    <n v="7"/>
    <x v="0"/>
    <n v="3.3790988671472708"/>
    <s v="slow"/>
  </r>
  <r>
    <x v="1106"/>
    <x v="9"/>
    <x v="0"/>
    <x v="0"/>
    <d v="2023-03-12T00:00:00"/>
    <d v="2023-03-15T00:00:00"/>
    <n v="19"/>
    <n v="180.68"/>
    <s v="Delivered"/>
    <n v="1291"/>
    <n v="3"/>
    <x v="0"/>
    <n v="0.13995352439969017"/>
    <s v="fast"/>
  </r>
  <r>
    <x v="1107"/>
    <x v="7"/>
    <x v="6"/>
    <x v="3"/>
    <d v="2023-11-25T00:00:00"/>
    <d v="2023-12-04T00:00:00"/>
    <n v="12.6"/>
    <n v="291.61"/>
    <s v="Delayed"/>
    <n v="1899"/>
    <n v="5"/>
    <x v="1"/>
    <n v="0.15355976829910481"/>
    <s v="not applicabel"/>
  </r>
  <r>
    <x v="1108"/>
    <x v="2"/>
    <x v="11"/>
    <x v="0"/>
    <d v="2023-06-26T00:00:00"/>
    <d v="2023-07-01T00:00:00"/>
    <n v="54.3"/>
    <n v="314.48"/>
    <s v="Delivered"/>
    <n v="1853"/>
    <n v="5"/>
    <x v="0"/>
    <n v="0.16971397733405288"/>
    <s v="slow"/>
  </r>
  <r>
    <x v="1109"/>
    <x v="1"/>
    <x v="4"/>
    <x v="1"/>
    <d v="2023-01-08T00:00:00"/>
    <d v="2023-01-11T00:00:00"/>
    <n v="11.8"/>
    <n v="193.89"/>
    <s v="Delivered"/>
    <n v="1435"/>
    <n v="3"/>
    <x v="0"/>
    <n v="0.13511498257839721"/>
    <s v="fast"/>
  </r>
  <r>
    <x v="1110"/>
    <x v="8"/>
    <x v="6"/>
    <x v="3"/>
    <d v="2023-08-01T00:00:00"/>
    <d v="2023-08-07T00:00:00"/>
    <n v="22.9"/>
    <n v="358.05"/>
    <s v="Delivered"/>
    <n v="2443"/>
    <n v="6"/>
    <x v="0"/>
    <n v="0.14656160458452722"/>
    <s v="slow"/>
  </r>
  <r>
    <x v="1111"/>
    <x v="7"/>
    <x v="0"/>
    <x v="6"/>
    <d v="2023-02-08T00:00:00"/>
    <d v="2023-02-10T00:00:00"/>
    <n v="24.1"/>
    <n v="80.77"/>
    <s v="Delivered"/>
    <n v="531"/>
    <n v="2"/>
    <x v="0"/>
    <n v="0.15210922787193973"/>
    <s v="fast"/>
  </r>
  <r>
    <x v="1112"/>
    <x v="6"/>
    <x v="2"/>
    <x v="6"/>
    <d v="2023-05-30T00:00:00"/>
    <d v="2023-05-31T00:00:00"/>
    <n v="24.2"/>
    <n v="44.49"/>
    <s v="Delivered"/>
    <n v="134"/>
    <n v="1"/>
    <x v="0"/>
    <n v="0.33201492537313432"/>
    <s v="fast"/>
  </r>
  <r>
    <x v="1113"/>
    <x v="3"/>
    <x v="3"/>
    <x v="3"/>
    <d v="2023-06-28T00:00:00"/>
    <d v="2023-07-03T00:00:00"/>
    <n v="54.5"/>
    <n v="373.97"/>
    <s v="Delivered"/>
    <n v="2490"/>
    <n v="5"/>
    <x v="0"/>
    <n v="0.15018875502008033"/>
    <s v="slow"/>
  </r>
  <r>
    <x v="1114"/>
    <x v="5"/>
    <x v="13"/>
    <x v="4"/>
    <d v="2023-02-26T00:00:00"/>
    <d v="2023-03-07T00:00:00"/>
    <n v="26.2"/>
    <n v="282.94"/>
    <s v="Delivered"/>
    <n v="2291"/>
    <n v="9"/>
    <x v="0"/>
    <n v="0.12350065473592317"/>
    <s v="slow"/>
  </r>
  <r>
    <x v="1115"/>
    <x v="6"/>
    <x v="1"/>
    <x v="1"/>
    <d v="2023-03-02T00:00:00"/>
    <d v="2023-03-07T00:00:00"/>
    <n v="17.8"/>
    <n v="123.19"/>
    <s v="Delivered"/>
    <n v="800"/>
    <n v="5"/>
    <x v="0"/>
    <n v="0.1539875"/>
    <s v="slow"/>
  </r>
  <r>
    <x v="1116"/>
    <x v="1"/>
    <x v="11"/>
    <x v="5"/>
    <d v="2023-12-17T00:00:00"/>
    <d v="2023-12-21T00:00:00"/>
    <n v="16.399999999999999"/>
    <n v="316.52"/>
    <s v="Returned"/>
    <n v="1914"/>
    <n v="4"/>
    <x v="3"/>
    <n v="0.16537095088819226"/>
    <s v="not applicabel"/>
  </r>
  <r>
    <x v="1117"/>
    <x v="9"/>
    <x v="7"/>
    <x v="6"/>
    <d v="2023-04-01T00:00:00"/>
    <m/>
    <n v="10.8"/>
    <n v="218.34"/>
    <s v="Delivered"/>
    <n v="1937"/>
    <n v="5"/>
    <x v="4"/>
    <n v="0.11272070211667527"/>
    <s v="not applicabel"/>
  </r>
  <r>
    <x v="1118"/>
    <x v="4"/>
    <x v="4"/>
    <x v="4"/>
    <d v="2023-01-25T00:00:00"/>
    <d v="2023-01-30T00:00:00"/>
    <n v="44.6"/>
    <n v="209.38"/>
    <s v="Delivered"/>
    <n v="1333"/>
    <n v="5"/>
    <x v="0"/>
    <n v="0.15707426856714179"/>
    <s v="slow"/>
  </r>
  <r>
    <x v="1119"/>
    <x v="2"/>
    <x v="3"/>
    <x v="6"/>
    <d v="2023-12-29T00:00:00"/>
    <d v="2024-01-04T00:00:00"/>
    <n v="6.7"/>
    <n v="88.73"/>
    <s v="Delivered"/>
    <n v="627"/>
    <n v="6"/>
    <x v="0"/>
    <n v="0.14151515151515151"/>
    <s v="slow"/>
  </r>
  <r>
    <x v="1120"/>
    <x v="8"/>
    <x v="2"/>
    <x v="3"/>
    <d v="2023-11-28T00:00:00"/>
    <d v="2023-12-02T00:00:00"/>
    <n v="54.5"/>
    <n v="232.49"/>
    <s v="Delivered"/>
    <n v="866"/>
    <n v="4"/>
    <x v="0"/>
    <n v="0.26846420323325637"/>
    <s v="fast"/>
  </r>
  <r>
    <x v="1121"/>
    <x v="7"/>
    <x v="9"/>
    <x v="3"/>
    <d v="2023-08-27T00:00:00"/>
    <d v="2023-09-01T00:00:00"/>
    <n v="17.2"/>
    <n v="248.83"/>
    <s v="Delivered"/>
    <n v="1896"/>
    <n v="5"/>
    <x v="0"/>
    <n v="0.13123945147679325"/>
    <s v="slow"/>
  </r>
  <r>
    <x v="1122"/>
    <x v="1"/>
    <x v="0"/>
    <x v="3"/>
    <d v="2023-09-12T00:00:00"/>
    <d v="2023-09-18T00:00:00"/>
    <n v="30.8"/>
    <n v="314.99"/>
    <s v="Delivered"/>
    <n v="1981"/>
    <n v="6"/>
    <x v="0"/>
    <n v="0.15900555275113579"/>
    <s v="slow"/>
  </r>
  <r>
    <x v="1123"/>
    <x v="0"/>
    <x v="2"/>
    <x v="0"/>
    <d v="2023-03-02T00:00:00"/>
    <d v="2023-03-03T00:00:00"/>
    <n v="14"/>
    <n v="50.83"/>
    <s v="In Transit"/>
    <n v="266"/>
    <n v="1"/>
    <x v="0"/>
    <n v="0.19109022556390975"/>
    <s v="fast"/>
  </r>
  <r>
    <x v="1124"/>
    <x v="8"/>
    <x v="2"/>
    <x v="0"/>
    <d v="2023-03-31T00:00:00"/>
    <d v="2023-04-04T00:00:00"/>
    <n v="7.9"/>
    <n v="219.09"/>
    <s v="Delivered"/>
    <n v="1665"/>
    <n v="4"/>
    <x v="0"/>
    <n v="0.13158558558558558"/>
    <s v="fast"/>
  </r>
  <r>
    <x v="1125"/>
    <x v="9"/>
    <x v="5"/>
    <x v="1"/>
    <d v="2023-12-25T00:00:00"/>
    <d v="2023-12-29T00:00:00"/>
    <n v="14.3"/>
    <n v="256.95999999999998"/>
    <s v="Delivered"/>
    <n v="1446"/>
    <n v="4"/>
    <x v="0"/>
    <n v="0.17770401106500691"/>
    <s v="fast"/>
  </r>
  <r>
    <x v="1126"/>
    <x v="6"/>
    <x v="11"/>
    <x v="0"/>
    <d v="2023-08-31T00:00:00"/>
    <d v="2023-09-02T00:00:00"/>
    <n v="40.700000000000003"/>
    <n v="140.21"/>
    <s v="Delivered"/>
    <n v="807"/>
    <n v="2"/>
    <x v="0"/>
    <n v="0.17374225526641884"/>
    <s v="fast"/>
  </r>
  <r>
    <x v="1127"/>
    <x v="8"/>
    <x v="10"/>
    <x v="3"/>
    <d v="2023-09-17T00:00:00"/>
    <d v="2023-09-23T00:00:00"/>
    <n v="24.5"/>
    <n v="300.24"/>
    <s v="Delivered"/>
    <n v="1863"/>
    <n v="6"/>
    <x v="0"/>
    <n v="0.16115942028985508"/>
    <s v="slow"/>
  </r>
  <r>
    <x v="1128"/>
    <x v="9"/>
    <x v="10"/>
    <x v="5"/>
    <d v="2023-08-12T00:00:00"/>
    <d v="2023-08-19T00:00:00"/>
    <n v="28.4"/>
    <n v="95.99"/>
    <s v="Delayed"/>
    <n v="496"/>
    <n v="1"/>
    <x v="1"/>
    <n v="0.1935282258064516"/>
    <s v="not applicabel"/>
  </r>
  <r>
    <x v="1129"/>
    <x v="7"/>
    <x v="10"/>
    <x v="6"/>
    <d v="2023-10-24T00:00:00"/>
    <d v="2023-10-28T00:00:00"/>
    <n v="21.5"/>
    <n v="200.39"/>
    <s v="Delivered"/>
    <n v="1391"/>
    <n v="4"/>
    <x v="0"/>
    <n v="0.14406182602444284"/>
    <s v="fast"/>
  </r>
  <r>
    <x v="1130"/>
    <x v="8"/>
    <x v="4"/>
    <x v="1"/>
    <d v="2023-06-10T00:00:00"/>
    <d v="2023-06-11T00:00:00"/>
    <n v="18.2"/>
    <n v="77.400000000000006"/>
    <s v="Delivered"/>
    <n v="361"/>
    <n v="1"/>
    <x v="0"/>
    <n v="0.21440443213296401"/>
    <s v="fast"/>
  </r>
  <r>
    <x v="1131"/>
    <x v="6"/>
    <x v="12"/>
    <x v="0"/>
    <d v="2023-11-29T00:00:00"/>
    <d v="2023-12-05T00:00:00"/>
    <n v="1.1000000000000001"/>
    <n v="394.62"/>
    <s v="Delivered"/>
    <n v="2484"/>
    <n v="6"/>
    <x v="0"/>
    <n v="0.15886473429951692"/>
    <s v="slow"/>
  </r>
  <r>
    <x v="1132"/>
    <x v="2"/>
    <x v="12"/>
    <x v="5"/>
    <d v="2023-12-17T00:00:00"/>
    <d v="2023-12-31T00:00:00"/>
    <n v="35.4"/>
    <n v="212.98"/>
    <s v="Delayed"/>
    <n v="1171"/>
    <n v="5"/>
    <x v="1"/>
    <n v="0.18187873612297181"/>
    <s v="not applicabel"/>
  </r>
  <r>
    <x v="1133"/>
    <x v="2"/>
    <x v="8"/>
    <x v="0"/>
    <d v="2023-07-12T00:00:00"/>
    <d v="2023-07-17T00:00:00"/>
    <n v="10.4"/>
    <n v="107.97"/>
    <s v="Delivered"/>
    <n v="810"/>
    <n v="5"/>
    <x v="0"/>
    <n v="0.1332962962962963"/>
    <s v="slow"/>
  </r>
  <r>
    <x v="1134"/>
    <x v="2"/>
    <x v="1"/>
    <x v="6"/>
    <d v="2023-02-07T00:00:00"/>
    <d v="2023-02-11T00:00:00"/>
    <n v="15.6"/>
    <n v="159.13"/>
    <s v="Delivered"/>
    <n v="1230"/>
    <n v="4"/>
    <x v="0"/>
    <n v="0.12937398373983738"/>
    <s v="fast"/>
  </r>
  <r>
    <x v="1135"/>
    <x v="8"/>
    <x v="13"/>
    <x v="6"/>
    <d v="2023-11-30T00:00:00"/>
    <d v="2023-12-07T00:00:00"/>
    <n v="9.6"/>
    <m/>
    <s v="Delivered"/>
    <n v="1000"/>
    <n v="7"/>
    <x v="0"/>
    <n v="0"/>
    <s v="slow"/>
  </r>
  <r>
    <x v="1136"/>
    <x v="4"/>
    <x v="7"/>
    <x v="1"/>
    <d v="2023-11-28T00:00:00"/>
    <d v="2023-11-29T00:00:00"/>
    <n v="15"/>
    <n v="48.67"/>
    <s v="Delivered"/>
    <n v="173"/>
    <n v="1"/>
    <x v="0"/>
    <n v="0.28132947976878614"/>
    <s v="fast"/>
  </r>
  <r>
    <x v="1137"/>
    <x v="7"/>
    <x v="9"/>
    <x v="5"/>
    <d v="2023-02-21T00:00:00"/>
    <d v="2023-02-26T00:00:00"/>
    <n v="15.1"/>
    <n v="223.5"/>
    <s v="Delivered"/>
    <n v="1689"/>
    <n v="5"/>
    <x v="0"/>
    <n v="0.13232682060390763"/>
    <s v="slow"/>
  </r>
  <r>
    <x v="1138"/>
    <x v="5"/>
    <x v="14"/>
    <x v="6"/>
    <d v="2023-02-27T00:00:00"/>
    <d v="2023-03-03T00:00:00"/>
    <n v="26.1"/>
    <n v="147.22"/>
    <s v="In Transit"/>
    <n v="1000"/>
    <n v="4"/>
    <x v="0"/>
    <n v="0.14721999999999999"/>
    <s v="fast"/>
  </r>
  <r>
    <x v="1139"/>
    <x v="9"/>
    <x v="5"/>
    <x v="3"/>
    <d v="2023-07-23T00:00:00"/>
    <d v="2023-07-26T00:00:00"/>
    <n v="49.8"/>
    <n v="191.95"/>
    <s v="Delivered"/>
    <n v="910"/>
    <n v="3"/>
    <x v="0"/>
    <n v="0.21093406593406591"/>
    <s v="fast"/>
  </r>
  <r>
    <x v="1140"/>
    <x v="7"/>
    <x v="10"/>
    <x v="4"/>
    <d v="2023-06-29T00:00:00"/>
    <d v="2023-07-01T00:00:00"/>
    <n v="21.1"/>
    <n v="42.11"/>
    <s v="Delivered"/>
    <n v="111"/>
    <n v="2"/>
    <x v="0"/>
    <n v="0.37936936936936938"/>
    <s v="fast"/>
  </r>
  <r>
    <x v="1141"/>
    <x v="1"/>
    <x v="0"/>
    <x v="0"/>
    <d v="2023-11-06T00:00:00"/>
    <d v="2023-11-18T00:00:00"/>
    <n v="49.6"/>
    <n v="245.62"/>
    <s v="Delayed"/>
    <n v="1043"/>
    <n v="5"/>
    <x v="1"/>
    <n v="0.23549376797698945"/>
    <s v="not applicabel"/>
  </r>
  <r>
    <x v="1142"/>
    <x v="7"/>
    <x v="0"/>
    <x v="3"/>
    <d v="2023-03-06T00:00:00"/>
    <d v="2023-03-09T00:00:00"/>
    <n v="51.1"/>
    <n v="221.01"/>
    <s v="Delivered"/>
    <n v="1170"/>
    <n v="3"/>
    <x v="0"/>
    <n v="0.18889743589743588"/>
    <s v="fast"/>
  </r>
  <r>
    <x v="1143"/>
    <x v="6"/>
    <x v="10"/>
    <x v="4"/>
    <d v="2023-12-16T00:00:00"/>
    <d v="2023-12-18T00:00:00"/>
    <n v="1.9"/>
    <n v="119.85"/>
    <s v="Delivered"/>
    <n v="796"/>
    <n v="2"/>
    <x v="0"/>
    <n v="0.15056532663316582"/>
    <s v="fast"/>
  </r>
  <r>
    <x v="1144"/>
    <x v="2"/>
    <x v="13"/>
    <x v="2"/>
    <d v="2023-06-30T00:00:00"/>
    <d v="2023-07-04T00:00:00"/>
    <n v="21.2"/>
    <n v="271.48"/>
    <s v="Delivered"/>
    <n v="1849"/>
    <n v="4"/>
    <x v="0"/>
    <n v="0.14682531097890753"/>
    <s v="fast"/>
  </r>
  <r>
    <x v="1145"/>
    <x v="0"/>
    <x v="13"/>
    <x v="2"/>
    <d v="2023-12-31T00:00:00"/>
    <d v="2024-01-08T00:00:00"/>
    <n v="44.8"/>
    <n v="183.23"/>
    <s v="In Transit"/>
    <n v="716"/>
    <n v="8"/>
    <x v="0"/>
    <n v="0.25590782122905026"/>
    <s v="slow"/>
  </r>
  <r>
    <x v="1146"/>
    <x v="9"/>
    <x v="13"/>
    <x v="5"/>
    <d v="2023-01-11T00:00:00"/>
    <d v="2023-01-12T00:00:00"/>
    <n v="6.6"/>
    <n v="39.880000000000003"/>
    <s v="Delivered"/>
    <n v="265"/>
    <n v="1"/>
    <x v="0"/>
    <n v="0.15049056603773586"/>
    <s v="fast"/>
  </r>
  <r>
    <x v="1147"/>
    <x v="5"/>
    <x v="3"/>
    <x v="6"/>
    <d v="2023-12-20T00:00:00"/>
    <d v="2023-12-25T00:00:00"/>
    <n v="29.9"/>
    <n v="233.47"/>
    <s v="Delivered"/>
    <n v="1576"/>
    <n v="5"/>
    <x v="0"/>
    <n v="0.14814086294416243"/>
    <s v="slow"/>
  </r>
  <r>
    <x v="1148"/>
    <x v="1"/>
    <x v="4"/>
    <x v="3"/>
    <d v="2023-01-21T00:00:00"/>
    <d v="2023-01-25T00:00:00"/>
    <n v="48.1"/>
    <n v="261.72000000000003"/>
    <s v="Delivered"/>
    <n v="1435"/>
    <n v="4"/>
    <x v="0"/>
    <n v="0.18238327526132406"/>
    <s v="fast"/>
  </r>
  <r>
    <x v="1149"/>
    <x v="7"/>
    <x v="8"/>
    <x v="6"/>
    <d v="2023-11-16T00:00:00"/>
    <d v="2023-11-19T00:00:00"/>
    <n v="19"/>
    <n v="782.71"/>
    <s v="Delivered"/>
    <n v="870"/>
    <n v="3"/>
    <x v="0"/>
    <n v="0.89966666666666673"/>
    <s v="fast"/>
  </r>
  <r>
    <x v="1150"/>
    <x v="9"/>
    <x v="2"/>
    <x v="0"/>
    <d v="2023-08-25T00:00:00"/>
    <d v="2023-09-01T00:00:00"/>
    <n v="25.3"/>
    <n v="334.33"/>
    <s v="Delivered"/>
    <n v="2305"/>
    <n v="7"/>
    <x v="0"/>
    <n v="0.14504555314533621"/>
    <s v="slow"/>
  </r>
  <r>
    <x v="1151"/>
    <x v="8"/>
    <x v="9"/>
    <x v="2"/>
    <d v="2023-11-23T00:00:00"/>
    <d v="2023-11-24T00:00:00"/>
    <n v="10.7"/>
    <n v="42.56"/>
    <s v="Delivered"/>
    <n v="215"/>
    <n v="1"/>
    <x v="0"/>
    <n v="0.19795348837209303"/>
    <s v="fast"/>
  </r>
  <r>
    <x v="1152"/>
    <x v="9"/>
    <x v="14"/>
    <x v="1"/>
    <d v="2023-09-11T00:00:00"/>
    <d v="2023-09-17T00:00:00"/>
    <n v="9.1999999999999993"/>
    <n v="225.24"/>
    <s v="In Transit"/>
    <n v="1505"/>
    <n v="6"/>
    <x v="0"/>
    <n v="0.14966112956810632"/>
    <s v="slow"/>
  </r>
  <r>
    <x v="1153"/>
    <x v="0"/>
    <x v="0"/>
    <x v="5"/>
    <d v="2023-08-24T00:00:00"/>
    <d v="2023-08-31T00:00:00"/>
    <n v="0.3"/>
    <n v="273.62"/>
    <s v="Delivered"/>
    <n v="2149"/>
    <n v="7"/>
    <x v="0"/>
    <n v="0.12732433690088413"/>
    <s v="slow"/>
  </r>
  <r>
    <x v="1154"/>
    <x v="7"/>
    <x v="8"/>
    <x v="4"/>
    <d v="2023-10-11T00:00:00"/>
    <d v="2023-10-17T00:00:00"/>
    <n v="18.5"/>
    <n v="225.53"/>
    <s v="Delivered"/>
    <n v="1585"/>
    <n v="6"/>
    <x v="0"/>
    <n v="0.14229022082018927"/>
    <s v="slow"/>
  </r>
  <r>
    <x v="1155"/>
    <x v="1"/>
    <x v="8"/>
    <x v="1"/>
    <d v="2023-09-19T00:00:00"/>
    <d v="2023-09-22T00:00:00"/>
    <n v="10.199999999999999"/>
    <n v="31.86"/>
    <s v="Delivered"/>
    <n v="112"/>
    <n v="3"/>
    <x v="0"/>
    <n v="0.28446428571428573"/>
    <s v="fast"/>
  </r>
  <r>
    <x v="1156"/>
    <x v="3"/>
    <x v="12"/>
    <x v="5"/>
    <d v="2023-08-21T00:00:00"/>
    <d v="2023-08-28T00:00:00"/>
    <n v="72.2"/>
    <n v="354.2"/>
    <s v="Delivered"/>
    <n v="2135"/>
    <n v="7"/>
    <x v="0"/>
    <n v="0.1659016393442623"/>
    <s v="slow"/>
  </r>
  <r>
    <x v="1157"/>
    <x v="9"/>
    <x v="9"/>
    <x v="3"/>
    <d v="2023-09-04T00:00:00"/>
    <d v="2023-09-10T00:00:00"/>
    <n v="25"/>
    <n v="316.11"/>
    <s v="Delivered"/>
    <n v="2154"/>
    <n v="6"/>
    <x v="0"/>
    <n v="0.14675487465181059"/>
    <s v="slow"/>
  </r>
  <r>
    <x v="1158"/>
    <x v="0"/>
    <x v="9"/>
    <x v="2"/>
    <d v="2023-09-14T00:00:00"/>
    <d v="2023-09-19T00:00:00"/>
    <n v="9.6"/>
    <n v="202.87"/>
    <s v="In Transit"/>
    <n v="1608"/>
    <n v="5"/>
    <x v="0"/>
    <n v="0.12616293532338307"/>
    <s v="slow"/>
  </r>
  <r>
    <x v="1159"/>
    <x v="2"/>
    <x v="1"/>
    <x v="1"/>
    <d v="2023-08-20T00:00:00"/>
    <d v="2023-08-23T00:00:00"/>
    <n v="6.9"/>
    <n v="149.93"/>
    <s v="Delivered"/>
    <n v="1077"/>
    <n v="3"/>
    <x v="0"/>
    <n v="0.13921077065923862"/>
    <s v="fast"/>
  </r>
  <r>
    <x v="1160"/>
    <x v="7"/>
    <x v="14"/>
    <x v="6"/>
    <d v="2023-11-29T00:00:00"/>
    <d v="2023-12-01T00:00:00"/>
    <n v="15.1"/>
    <n v="99.27"/>
    <s v="Delivered"/>
    <n v="565"/>
    <n v="2"/>
    <x v="0"/>
    <n v="0.17569911504424779"/>
    <s v="fast"/>
  </r>
  <r>
    <x v="1161"/>
    <x v="5"/>
    <x v="14"/>
    <x v="5"/>
    <d v="2023-05-09T00:00:00"/>
    <d v="2023-05-12T00:00:00"/>
    <n v="67.400000000000006"/>
    <n v="220.93"/>
    <s v="Delivered"/>
    <n v="1000"/>
    <n v="3"/>
    <x v="0"/>
    <n v="0.22093000000000002"/>
    <s v="fast"/>
  </r>
  <r>
    <x v="1162"/>
    <x v="0"/>
    <x v="8"/>
    <x v="1"/>
    <d v="2023-10-14T00:00:00"/>
    <d v="2023-10-15T00:00:00"/>
    <n v="18.3"/>
    <n v="87.07"/>
    <s v="Delivered"/>
    <n v="453"/>
    <n v="1"/>
    <x v="0"/>
    <n v="0.19220750551876378"/>
    <s v="fast"/>
  </r>
  <r>
    <x v="1163"/>
    <x v="9"/>
    <x v="12"/>
    <x v="4"/>
    <d v="2023-02-06T00:00:00"/>
    <d v="2023-02-09T00:00:00"/>
    <n v="94.1"/>
    <n v="117.26"/>
    <s v="Delivered"/>
    <n v="132"/>
    <n v="3"/>
    <x v="0"/>
    <n v="0.88833333333333342"/>
    <s v="fast"/>
  </r>
  <r>
    <x v="1164"/>
    <x v="1"/>
    <x v="4"/>
    <x v="1"/>
    <d v="2023-01-18T00:00:00"/>
    <d v="2023-01-21T00:00:00"/>
    <n v="8.1999999999999993"/>
    <n v="207.39"/>
    <s v="Delivered"/>
    <n v="1435"/>
    <n v="3"/>
    <x v="0"/>
    <n v="0.14452264808362369"/>
    <s v="fast"/>
  </r>
  <r>
    <x v="1165"/>
    <x v="6"/>
    <x v="5"/>
    <x v="0"/>
    <d v="2023-04-16T00:00:00"/>
    <d v="2023-04-21T00:00:00"/>
    <n v="7"/>
    <n v="291.75"/>
    <s v="Delivered"/>
    <n v="2078"/>
    <n v="5"/>
    <x v="0"/>
    <n v="0.14039942252165544"/>
    <s v="slow"/>
  </r>
  <r>
    <x v="1166"/>
    <x v="1"/>
    <x v="2"/>
    <x v="6"/>
    <d v="2023-01-25T00:00:00"/>
    <d v="2023-01-29T00:00:00"/>
    <n v="53.6"/>
    <n v="196.98"/>
    <s v="Delivered"/>
    <n v="1047"/>
    <n v="4"/>
    <x v="0"/>
    <n v="0.18813753581661891"/>
    <s v="fast"/>
  </r>
  <r>
    <x v="1167"/>
    <x v="3"/>
    <x v="9"/>
    <x v="1"/>
    <d v="2023-08-14T00:00:00"/>
    <d v="2023-08-19T00:00:00"/>
    <n v="5.7"/>
    <n v="241.01"/>
    <s v="Delivered"/>
    <n v="1582"/>
    <n v="5"/>
    <x v="0"/>
    <n v="0.15234513274336284"/>
    <s v="slow"/>
  </r>
  <r>
    <x v="1168"/>
    <x v="1"/>
    <x v="10"/>
    <x v="0"/>
    <d v="2023-08-06T00:00:00"/>
    <d v="2023-08-11T00:00:00"/>
    <n v="27.1"/>
    <n v="75.569999999999993"/>
    <s v="Delivered"/>
    <n v="373"/>
    <n v="5"/>
    <x v="0"/>
    <n v="0.20260053619302948"/>
    <s v="slow"/>
  </r>
  <r>
    <x v="1169"/>
    <x v="4"/>
    <x v="9"/>
    <x v="4"/>
    <d v="2023-10-04T00:00:00"/>
    <d v="2023-10-17T00:00:00"/>
    <n v="15.9"/>
    <n v="216.07"/>
    <s v="Delayed"/>
    <n v="1814"/>
    <n v="6"/>
    <x v="1"/>
    <n v="0.11911245865490629"/>
    <s v="not applicabel"/>
  </r>
  <r>
    <x v="1170"/>
    <x v="6"/>
    <x v="11"/>
    <x v="4"/>
    <d v="2023-07-08T00:00:00"/>
    <d v="2023-07-12T00:00:00"/>
    <n v="6.5"/>
    <n v="156"/>
    <s v="Delivered"/>
    <n v="1302"/>
    <n v="4"/>
    <x v="0"/>
    <n v="0.11981566820276497"/>
    <s v="fast"/>
  </r>
  <r>
    <x v="1171"/>
    <x v="6"/>
    <x v="1"/>
    <x v="0"/>
    <d v="2023-12-26T00:00:00"/>
    <d v="2023-12-29T00:00:00"/>
    <n v="4.7"/>
    <n v="116.83"/>
    <s v="Delivered"/>
    <n v="800"/>
    <n v="3"/>
    <x v="0"/>
    <n v="0.14603749999999999"/>
    <s v="fast"/>
  </r>
  <r>
    <x v="1172"/>
    <x v="1"/>
    <x v="3"/>
    <x v="2"/>
    <d v="2023-10-19T00:00:00"/>
    <d v="2023-11-02T00:00:00"/>
    <n v="17.3"/>
    <n v="156.69999999999999"/>
    <s v="Delayed"/>
    <n v="1135"/>
    <n v="5"/>
    <x v="1"/>
    <n v="0.13806167400881056"/>
    <s v="not applicabel"/>
  </r>
  <r>
    <x v="1173"/>
    <x v="3"/>
    <x v="12"/>
    <x v="5"/>
    <d v="2023-08-11T00:00:00"/>
    <d v="2023-08-14T00:00:00"/>
    <n v="60.8"/>
    <n v="217.77"/>
    <s v="Delivered"/>
    <n v="1157"/>
    <n v="3"/>
    <x v="0"/>
    <n v="0.18821953327571306"/>
    <s v="fast"/>
  </r>
  <r>
    <x v="1174"/>
    <x v="9"/>
    <x v="6"/>
    <x v="3"/>
    <d v="2023-07-10T00:00:00"/>
    <d v="2023-07-15T00:00:00"/>
    <n v="17.100000000000001"/>
    <n v="278.83"/>
    <s v="Delivered"/>
    <n v="1989"/>
    <n v="5"/>
    <x v="0"/>
    <n v="0.14018602312719958"/>
    <s v="slow"/>
  </r>
  <r>
    <x v="1175"/>
    <x v="7"/>
    <x v="6"/>
    <x v="6"/>
    <d v="2023-02-22T00:00:00"/>
    <d v="2023-02-23T00:00:00"/>
    <n v="21.6"/>
    <n v="64.62"/>
    <s v="Delivered"/>
    <n v="374"/>
    <n v="1"/>
    <x v="0"/>
    <n v="0.17278074866310161"/>
    <s v="fast"/>
  </r>
  <r>
    <x v="1176"/>
    <x v="4"/>
    <x v="6"/>
    <x v="3"/>
    <d v="2023-06-09T00:00:00"/>
    <d v="2023-06-10T00:00:00"/>
    <n v="13.1"/>
    <n v="32.11"/>
    <s v="In Transit"/>
    <n v="131"/>
    <n v="1"/>
    <x v="0"/>
    <n v="0.24511450381679389"/>
    <s v="fast"/>
  </r>
  <r>
    <x v="1177"/>
    <x v="9"/>
    <x v="12"/>
    <x v="5"/>
    <d v="2023-08-11T00:00:00"/>
    <d v="2023-08-13T00:00:00"/>
    <n v="31.4"/>
    <n v="92.42"/>
    <s v="Delivered"/>
    <n v="422"/>
    <n v="2"/>
    <x v="0"/>
    <n v="0.21900473933649289"/>
    <s v="fast"/>
  </r>
  <r>
    <x v="1178"/>
    <x v="4"/>
    <x v="1"/>
    <x v="3"/>
    <d v="2023-07-05T00:00:00"/>
    <d v="2023-07-10T00:00:00"/>
    <n v="38"/>
    <n v="329.04"/>
    <s v="Delivered"/>
    <n v="1940"/>
    <n v="5"/>
    <x v="0"/>
    <n v="0.16960824742268044"/>
    <s v="slow"/>
  </r>
  <r>
    <x v="1179"/>
    <x v="8"/>
    <x v="8"/>
    <x v="1"/>
    <d v="2023-12-26T00:00:00"/>
    <d v="2024-01-12T00:00:00"/>
    <n v="13.4"/>
    <n v="137.91"/>
    <s v="Delayed"/>
    <n v="790"/>
    <n v="4"/>
    <x v="1"/>
    <n v="0.17456962025316455"/>
    <s v="not applicabel"/>
  </r>
  <r>
    <x v="1180"/>
    <x v="8"/>
    <x v="3"/>
    <x v="1"/>
    <d v="2023-04-07T00:00:00"/>
    <d v="2023-04-10T00:00:00"/>
    <n v="13"/>
    <n v="123.25"/>
    <s v="Delivered"/>
    <n v="860"/>
    <n v="3"/>
    <x v="0"/>
    <n v="0.14331395348837209"/>
    <s v="fast"/>
  </r>
  <r>
    <x v="1181"/>
    <x v="3"/>
    <x v="11"/>
    <x v="2"/>
    <d v="2023-07-18T00:00:00"/>
    <d v="2023-07-21T00:00:00"/>
    <n v="7.2"/>
    <n v="139.61000000000001"/>
    <s v="Delivered"/>
    <n v="1122"/>
    <n v="3"/>
    <x v="0"/>
    <n v="0.12442959001782532"/>
    <s v="fast"/>
  </r>
  <r>
    <x v="1182"/>
    <x v="3"/>
    <x v="12"/>
    <x v="3"/>
    <d v="2023-04-15T00:00:00"/>
    <d v="2023-04-19T00:00:00"/>
    <n v="8.4"/>
    <n v="214.35"/>
    <s v="In Transit"/>
    <n v="1640"/>
    <n v="4"/>
    <x v="0"/>
    <n v="0.13070121951219513"/>
    <s v="fast"/>
  </r>
  <r>
    <x v="1183"/>
    <x v="8"/>
    <x v="0"/>
    <x v="1"/>
    <d v="2023-11-10T00:00:00"/>
    <d v="2023-11-18T00:00:00"/>
    <n v="9.5"/>
    <n v="353.39"/>
    <s v="Delivered"/>
    <n v="2274"/>
    <n v="8"/>
    <x v="0"/>
    <n v="0.15540457343887423"/>
    <s v="slow"/>
  </r>
  <r>
    <x v="1184"/>
    <x v="8"/>
    <x v="14"/>
    <x v="6"/>
    <d v="2023-01-28T00:00:00"/>
    <d v="2023-01-29T00:00:00"/>
    <n v="21.7"/>
    <n v="78.83"/>
    <s v="Delivered"/>
    <n v="461"/>
    <n v="1"/>
    <x v="0"/>
    <n v="0.17099783080260303"/>
    <s v="fast"/>
  </r>
  <r>
    <x v="1185"/>
    <x v="5"/>
    <x v="9"/>
    <x v="0"/>
    <d v="2023-06-27T00:00:00"/>
    <d v="2023-07-02T00:00:00"/>
    <n v="10.199999999999999"/>
    <m/>
    <s v="Delivered"/>
    <n v="1924"/>
    <n v="5"/>
    <x v="0"/>
    <n v="0"/>
    <s v="slow"/>
  </r>
  <r>
    <x v="1186"/>
    <x v="1"/>
    <x v="2"/>
    <x v="3"/>
    <d v="2023-02-12T00:00:00"/>
    <d v="2023-01-13T00:00:00"/>
    <n v="22.1"/>
    <n v="301.23"/>
    <s v="Delayed"/>
    <n v="1879"/>
    <n v="5"/>
    <x v="1"/>
    <n v="0.16031399680681213"/>
    <s v="not applicabel"/>
  </r>
  <r>
    <x v="1187"/>
    <x v="0"/>
    <x v="7"/>
    <x v="1"/>
    <d v="2023-01-08T00:00:00"/>
    <d v="2023-01-11T00:00:00"/>
    <n v="13.5"/>
    <n v="116.78"/>
    <s v="In Transit"/>
    <n v="702"/>
    <n v="3"/>
    <x v="0"/>
    <n v="0.16635327635327635"/>
    <s v="fast"/>
  </r>
  <r>
    <x v="1188"/>
    <x v="6"/>
    <x v="14"/>
    <x v="5"/>
    <d v="2023-02-26T00:00:00"/>
    <d v="2023-01-27T00:00:00"/>
    <n v="45"/>
    <n v="182.33"/>
    <s v="Returned"/>
    <n v="1030"/>
    <n v="3"/>
    <x v="3"/>
    <n v="0.17701941747572816"/>
    <s v="not applicabel"/>
  </r>
  <r>
    <x v="1189"/>
    <x v="3"/>
    <x v="0"/>
    <x v="3"/>
    <d v="2023-11-21T00:00:00"/>
    <d v="2023-11-24T00:00:00"/>
    <n v="43.7"/>
    <n v="135.18"/>
    <s v="Delivered"/>
    <n v="462"/>
    <n v="3"/>
    <x v="0"/>
    <n v="0.29259740259740263"/>
    <s v="fast"/>
  </r>
  <r>
    <x v="1190"/>
    <x v="5"/>
    <x v="12"/>
    <x v="3"/>
    <d v="2023-03-22T00:00:00"/>
    <d v="2023-03-24T00:00:00"/>
    <n v="152.69999999999999"/>
    <n v="290.77"/>
    <s v="Delivered"/>
    <n v="841"/>
    <n v="2"/>
    <x v="0"/>
    <n v="0.34574316290130797"/>
    <s v="fast"/>
  </r>
  <r>
    <x v="1191"/>
    <x v="3"/>
    <x v="0"/>
    <x v="2"/>
    <d v="2023-05-11T00:00:00"/>
    <d v="2023-05-16T00:00:00"/>
    <n v="39.299999999999997"/>
    <n v="186.59"/>
    <s v="Delivered"/>
    <n v="1317"/>
    <n v="5"/>
    <x v="0"/>
    <n v="0.14167805618830676"/>
    <s v="slow"/>
  </r>
  <r>
    <x v="1192"/>
    <x v="1"/>
    <x v="0"/>
    <x v="2"/>
    <d v="2023-12-04T00:00:00"/>
    <d v="2023-12-09T00:00:00"/>
    <n v="19"/>
    <n v="416.08"/>
    <s v="Delivered"/>
    <n v="2473"/>
    <n v="5"/>
    <x v="0"/>
    <n v="0.16824909017387787"/>
    <s v="slow"/>
  </r>
  <r>
    <x v="1193"/>
    <x v="8"/>
    <x v="8"/>
    <x v="3"/>
    <d v="2023-07-18T00:00:00"/>
    <d v="2023-07-21T00:00:00"/>
    <n v="9.6999999999999993"/>
    <m/>
    <s v="Delivered"/>
    <n v="790"/>
    <n v="3"/>
    <x v="0"/>
    <n v="0"/>
    <s v="fast"/>
  </r>
  <r>
    <x v="1194"/>
    <x v="9"/>
    <x v="10"/>
    <x v="4"/>
    <d v="2023-02-21T00:00:00"/>
    <d v="2023-02-26T00:00:00"/>
    <n v="8.3000000000000007"/>
    <n v="181.52"/>
    <s v="Delivered"/>
    <n v="1457"/>
    <n v="5"/>
    <x v="0"/>
    <n v="0.12458476321207962"/>
    <s v="slow"/>
  </r>
  <r>
    <x v="1195"/>
    <x v="0"/>
    <x v="10"/>
    <x v="5"/>
    <d v="2023-06-17T00:00:00"/>
    <d v="2023-06-21T00:00:00"/>
    <n v="9.9"/>
    <n v="202.54"/>
    <s v="Delivered"/>
    <n v="1493"/>
    <n v="4"/>
    <x v="0"/>
    <n v="0.13565974547890153"/>
    <s v="fast"/>
  </r>
  <r>
    <x v="1196"/>
    <x v="7"/>
    <x v="0"/>
    <x v="0"/>
    <d v="2023-11-21T00:00:00"/>
    <d v="2023-11-27T00:00:00"/>
    <n v="27.3"/>
    <n v="317.02"/>
    <s v="Returned"/>
    <n v="1876"/>
    <n v="6"/>
    <x v="3"/>
    <n v="0.1689872068230277"/>
    <s v="not applicabel"/>
  </r>
  <r>
    <x v="1197"/>
    <x v="0"/>
    <x v="7"/>
    <x v="6"/>
    <d v="2023-07-24T00:00:00"/>
    <d v="2023-07-26T00:00:00"/>
    <n v="27.9"/>
    <n v="146.44"/>
    <s v="Delivered"/>
    <n v="1067"/>
    <n v="2"/>
    <x v="0"/>
    <n v="0.13724461105904404"/>
    <s v="fast"/>
  </r>
  <r>
    <x v="1198"/>
    <x v="9"/>
    <x v="8"/>
    <x v="6"/>
    <d v="2023-01-24T00:00:00"/>
    <d v="2023-02-01T00:00:00"/>
    <n v="58.9"/>
    <n v="257.07"/>
    <s v="Delivered"/>
    <n v="1762"/>
    <n v="8"/>
    <x v="0"/>
    <n v="0.1458967082860386"/>
    <s v="slow"/>
  </r>
  <r>
    <x v="1199"/>
    <x v="3"/>
    <x v="8"/>
    <x v="1"/>
    <d v="2023-06-19T00:00:00"/>
    <d v="2023-06-24T00:00:00"/>
    <n v="83.7"/>
    <n v="296.97000000000003"/>
    <s v="Delivered"/>
    <n v="1417"/>
    <n v="5"/>
    <x v="0"/>
    <n v="0.20957657021877207"/>
    <s v="slow"/>
  </r>
  <r>
    <x v="1200"/>
    <x v="6"/>
    <x v="13"/>
    <x v="5"/>
    <d v="2023-05-13T00:00:00"/>
    <d v="2023-05-19T00:00:00"/>
    <n v="19.8"/>
    <n v="271.24"/>
    <s v="Delivered"/>
    <n v="1945"/>
    <n v="6"/>
    <x v="0"/>
    <n v="0.13945501285347045"/>
    <s v="slow"/>
  </r>
  <r>
    <x v="1201"/>
    <x v="0"/>
    <x v="14"/>
    <x v="0"/>
    <d v="2023-10-13T00:00:00"/>
    <d v="2023-10-16T00:00:00"/>
    <n v="17.5"/>
    <n v="90.05"/>
    <s v="Delivered"/>
    <n v="591"/>
    <n v="3"/>
    <x v="0"/>
    <n v="0.15236886632825719"/>
    <s v="fast"/>
  </r>
  <r>
    <x v="1202"/>
    <x v="9"/>
    <x v="1"/>
    <x v="3"/>
    <d v="2023-12-30T00:00:00"/>
    <d v="2024-01-02T00:00:00"/>
    <n v="19"/>
    <n v="153.22999999999999"/>
    <s v="Delivered"/>
    <n v="850"/>
    <n v="3"/>
    <x v="0"/>
    <n v="0.1802705882352941"/>
    <s v="fast"/>
  </r>
  <r>
    <x v="1203"/>
    <x v="2"/>
    <x v="13"/>
    <x v="2"/>
    <d v="2023-12-09T00:00:00"/>
    <d v="2023-12-12T00:00:00"/>
    <n v="10.9"/>
    <n v="201.11"/>
    <s v="Delivered"/>
    <n v="1413"/>
    <n v="3"/>
    <x v="0"/>
    <n v="0.14232837933474876"/>
    <s v="fast"/>
  </r>
  <r>
    <x v="1204"/>
    <x v="1"/>
    <x v="3"/>
    <x v="2"/>
    <d v="2023-02-09T00:00:00"/>
    <d v="2023-02-20T00:00:00"/>
    <n v="28.6"/>
    <n v="180.9"/>
    <s v="Delayed"/>
    <n v="1135"/>
    <n v="3"/>
    <x v="1"/>
    <n v="0.15938325991189428"/>
    <s v="not applicabel"/>
  </r>
  <r>
    <x v="1205"/>
    <x v="7"/>
    <x v="2"/>
    <x v="1"/>
    <d v="2023-06-27T00:00:00"/>
    <d v="2023-07-12T00:00:00"/>
    <n v="17"/>
    <n v="217.08"/>
    <s v="Delayed"/>
    <n v="1396"/>
    <n v="7"/>
    <x v="1"/>
    <n v="0.15550143266475647"/>
    <s v="not applicabel"/>
  </r>
  <r>
    <x v="1206"/>
    <x v="7"/>
    <x v="9"/>
    <x v="3"/>
    <d v="2023-08-24T00:00:00"/>
    <d v="2023-08-29T00:00:00"/>
    <n v="34.1"/>
    <n v="328.13"/>
    <s v="Delivered"/>
    <n v="2324"/>
    <n v="5"/>
    <x v="0"/>
    <n v="0.1411919104991394"/>
    <s v="slow"/>
  </r>
  <r>
    <x v="1207"/>
    <x v="2"/>
    <x v="6"/>
    <x v="1"/>
    <d v="2023-03-26T00:00:00"/>
    <d v="2023-03-31T00:00:00"/>
    <n v="10.5"/>
    <n v="366.13"/>
    <s v="Delivered"/>
    <n v="2421"/>
    <n v="5"/>
    <x v="0"/>
    <n v="0.15123089632383313"/>
    <s v="slow"/>
  </r>
  <r>
    <x v="1208"/>
    <x v="9"/>
    <x v="14"/>
    <x v="0"/>
    <d v="2023-02-18T00:00:00"/>
    <d v="2023-02-23T00:00:00"/>
    <n v="6.5"/>
    <n v="158.31"/>
    <s v="Delivered"/>
    <n v="1109"/>
    <n v="5"/>
    <x v="0"/>
    <n v="0.14275022542831381"/>
    <s v="slow"/>
  </r>
  <r>
    <x v="1209"/>
    <x v="7"/>
    <x v="12"/>
    <x v="2"/>
    <d v="2023-07-30T00:00:00"/>
    <d v="2023-08-05T00:00:00"/>
    <n v="27.1"/>
    <n v="259.17"/>
    <s v="Delivered"/>
    <n v="2087"/>
    <n v="6"/>
    <x v="0"/>
    <n v="0.12418303785337806"/>
    <s v="slow"/>
  </r>
  <r>
    <x v="1210"/>
    <x v="5"/>
    <x v="4"/>
    <x v="3"/>
    <d v="2023-01-18T00:00:00"/>
    <d v="2023-01-24T00:00:00"/>
    <n v="30"/>
    <n v="343.66"/>
    <s v="Delivered"/>
    <n v="2379"/>
    <n v="6"/>
    <x v="0"/>
    <n v="0.14445565363598151"/>
    <s v="slow"/>
  </r>
  <r>
    <x v="1211"/>
    <x v="1"/>
    <x v="0"/>
    <x v="3"/>
    <d v="2023-06-16T00:00:00"/>
    <d v="2023-06-28T00:00:00"/>
    <n v="250.9"/>
    <n v="395"/>
    <s v="Delayed"/>
    <n v="239"/>
    <n v="1"/>
    <x v="1"/>
    <n v="1.6527196652719665"/>
    <s v="not applicabel"/>
  </r>
  <r>
    <x v="1212"/>
    <x v="8"/>
    <x v="1"/>
    <x v="2"/>
    <d v="2023-06-26T00:00:00"/>
    <d v="2023-06-29T00:00:00"/>
    <n v="23.5"/>
    <n v="119.58"/>
    <s v="Delivered"/>
    <n v="870"/>
    <n v="3"/>
    <x v="0"/>
    <n v="0.13744827586206895"/>
    <s v="fast"/>
  </r>
  <r>
    <x v="1213"/>
    <x v="5"/>
    <x v="12"/>
    <x v="1"/>
    <d v="2023-02-18T00:00:00"/>
    <m/>
    <n v="18.5"/>
    <n v="171.77"/>
    <s v="Delayed"/>
    <n v="1073"/>
    <n v="3"/>
    <x v="4"/>
    <n v="0.16008387698042872"/>
    <s v="not applicabel"/>
  </r>
  <r>
    <x v="1214"/>
    <x v="5"/>
    <x v="11"/>
    <x v="3"/>
    <d v="2023-03-26T00:00:00"/>
    <d v="2023-03-31T00:00:00"/>
    <n v="81.7"/>
    <n v="289.48"/>
    <s v="Delivered"/>
    <n v="1350"/>
    <n v="5"/>
    <x v="0"/>
    <n v="0.21442962962962964"/>
    <s v="slow"/>
  </r>
  <r>
    <x v="1215"/>
    <x v="9"/>
    <x v="4"/>
    <x v="5"/>
    <d v="2023-02-01T00:00:00"/>
    <d v="2023-02-03T00:00:00"/>
    <n v="17.5"/>
    <n v="66.25"/>
    <s v="Delivered"/>
    <n v="438"/>
    <n v="2"/>
    <x v="0"/>
    <n v="0.15125570776255709"/>
    <s v="fast"/>
  </r>
  <r>
    <x v="1216"/>
    <x v="0"/>
    <x v="4"/>
    <x v="4"/>
    <d v="2023-11-02T00:00:00"/>
    <d v="2023-11-11T00:00:00"/>
    <n v="26.1"/>
    <n v="286.32"/>
    <s v="Delayed"/>
    <n v="1611"/>
    <n v="4"/>
    <x v="1"/>
    <n v="0.17772811918063314"/>
    <s v="not applicabel"/>
  </r>
  <r>
    <x v="1217"/>
    <x v="7"/>
    <x v="3"/>
    <x v="5"/>
    <d v="2023-06-11T00:00:00"/>
    <d v="2023-06-16T00:00:00"/>
    <n v="80.8"/>
    <n v="209.48"/>
    <s v="Delivered"/>
    <n v="805"/>
    <n v="5"/>
    <x v="0"/>
    <n v="0.26022360248447202"/>
    <s v="slow"/>
  </r>
  <r>
    <x v="1218"/>
    <x v="2"/>
    <x v="10"/>
    <x v="3"/>
    <d v="2023-02-25T00:00:00"/>
    <d v="2023-02-27T00:00:00"/>
    <n v="36.799999999999997"/>
    <n v="78.75"/>
    <s v="Delivered"/>
    <n v="196"/>
    <n v="2"/>
    <x v="0"/>
    <n v="0.4017857142857143"/>
    <s v="fast"/>
  </r>
  <r>
    <x v="1219"/>
    <x v="6"/>
    <x v="12"/>
    <x v="1"/>
    <d v="2023-04-29T00:00:00"/>
    <d v="2023-05-03T00:00:00"/>
    <n v="48.2"/>
    <n v="262.05"/>
    <s v="Delivered"/>
    <n v="1272"/>
    <n v="4"/>
    <x v="0"/>
    <n v="0.20601415094339623"/>
    <s v="fast"/>
  </r>
  <r>
    <x v="1220"/>
    <x v="4"/>
    <x v="10"/>
    <x v="0"/>
    <d v="2023-08-05T00:00:00"/>
    <d v="2023-08-12T00:00:00"/>
    <n v="42"/>
    <n v="359.87"/>
    <s v="Delivered"/>
    <n v="2255"/>
    <n v="7"/>
    <x v="0"/>
    <n v="0.15958758314855875"/>
    <s v="slow"/>
  </r>
  <r>
    <x v="1221"/>
    <x v="0"/>
    <x v="13"/>
    <x v="5"/>
    <d v="2023-11-05T00:00:00"/>
    <d v="2023-11-07T00:00:00"/>
    <n v="29.5"/>
    <n v="109.58"/>
    <s v="In Transit"/>
    <n v="409"/>
    <n v="2"/>
    <x v="0"/>
    <n v="0.26792176039119803"/>
    <s v="fast"/>
  </r>
  <r>
    <x v="1222"/>
    <x v="9"/>
    <x v="1"/>
    <x v="0"/>
    <d v="2023-10-12T00:00:00"/>
    <m/>
    <n v="5.5"/>
    <n v="49.39"/>
    <s v="Delivered"/>
    <n v="338"/>
    <n v="3"/>
    <x v="4"/>
    <n v="0.14612426035502959"/>
    <s v="not applicabel"/>
  </r>
  <r>
    <x v="1223"/>
    <x v="7"/>
    <x v="0"/>
    <x v="3"/>
    <d v="2023-09-05T00:00:00"/>
    <d v="2023-09-11T00:00:00"/>
    <n v="24.9"/>
    <n v="351.21"/>
    <s v="Delivered"/>
    <n v="2438"/>
    <n v="6"/>
    <x v="0"/>
    <n v="0.1440566037735849"/>
    <s v="slow"/>
  </r>
  <r>
    <x v="1224"/>
    <x v="0"/>
    <x v="4"/>
    <x v="0"/>
    <d v="2023-11-25T00:00:00"/>
    <d v="2023-11-29T00:00:00"/>
    <n v="17.899999999999999"/>
    <n v="336.25"/>
    <s v="Delivered"/>
    <n v="2051"/>
    <n v="4"/>
    <x v="0"/>
    <n v="0.16394441735738663"/>
    <s v="fast"/>
  </r>
  <r>
    <x v="1225"/>
    <x v="6"/>
    <x v="8"/>
    <x v="6"/>
    <d v="2023-09-02T00:00:00"/>
    <d v="2023-09-08T00:00:00"/>
    <n v="15.1"/>
    <n v="253.23"/>
    <s v="Delivered"/>
    <n v="2145"/>
    <n v="6"/>
    <x v="0"/>
    <n v="0.11805594405594405"/>
    <s v="slow"/>
  </r>
  <r>
    <x v="1226"/>
    <x v="4"/>
    <x v="11"/>
    <x v="1"/>
    <d v="2023-08-18T00:00:00"/>
    <d v="2023-09-02T00:00:00"/>
    <n v="36.299999999999997"/>
    <n v="266.23"/>
    <s v="Delayed"/>
    <n v="1635"/>
    <n v="4"/>
    <x v="1"/>
    <n v="0.16283180428134558"/>
    <s v="not applicabel"/>
  </r>
  <r>
    <x v="1227"/>
    <x v="0"/>
    <x v="5"/>
    <x v="0"/>
    <d v="2023-06-09T00:00:00"/>
    <d v="2023-06-16T00:00:00"/>
    <n v="17.399999999999999"/>
    <n v="250.19"/>
    <s v="Delivered"/>
    <n v="1839"/>
    <n v="7"/>
    <x v="0"/>
    <n v="0.13604676454594888"/>
    <s v="slow"/>
  </r>
  <r>
    <x v="1228"/>
    <x v="9"/>
    <x v="13"/>
    <x v="4"/>
    <d v="2023-10-26T00:00:00"/>
    <d v="2023-10-30T00:00:00"/>
    <n v="18.399999999999999"/>
    <n v="115.48"/>
    <s v="Delivered"/>
    <n v="723"/>
    <n v="4"/>
    <x v="0"/>
    <n v="0.15972337482710927"/>
    <s v="fast"/>
  </r>
  <r>
    <x v="1229"/>
    <x v="4"/>
    <x v="9"/>
    <x v="5"/>
    <d v="2023-08-13T00:00:00"/>
    <d v="2023-08-15T00:00:00"/>
    <n v="10.4"/>
    <n v="80.42"/>
    <s v="Delivered"/>
    <n v="615"/>
    <n v="2"/>
    <x v="0"/>
    <n v="0.13076422764227644"/>
    <s v="fast"/>
  </r>
  <r>
    <x v="1230"/>
    <x v="6"/>
    <x v="8"/>
    <x v="4"/>
    <d v="2023-05-13T00:00:00"/>
    <d v="2023-05-16T00:00:00"/>
    <n v="17.8"/>
    <n v="122.76"/>
    <s v="Delivered"/>
    <n v="809"/>
    <n v="3"/>
    <x v="0"/>
    <n v="0.15174289245982694"/>
    <s v="fast"/>
  </r>
  <r>
    <x v="1231"/>
    <x v="4"/>
    <x v="10"/>
    <x v="6"/>
    <d v="2023-12-05T00:00:00"/>
    <d v="2023-12-14T00:00:00"/>
    <n v="65.599999999999994"/>
    <n v="368.43"/>
    <s v="Delivered"/>
    <n v="2255"/>
    <n v="9"/>
    <x v="0"/>
    <n v="0.16338359201773836"/>
    <s v="slow"/>
  </r>
  <r>
    <x v="1232"/>
    <x v="5"/>
    <x v="4"/>
    <x v="4"/>
    <d v="2023-05-01T00:00:00"/>
    <d v="2023-05-05T00:00:00"/>
    <n v="9.6999999999999993"/>
    <n v="120.4"/>
    <s v="Delivered"/>
    <n v="997"/>
    <n v="4"/>
    <x v="0"/>
    <n v="0.12076228686058176"/>
    <s v="fast"/>
  </r>
  <r>
    <x v="1233"/>
    <x v="4"/>
    <x v="3"/>
    <x v="6"/>
    <d v="2023-01-11T00:00:00"/>
    <d v="2023-01-12T00:00:00"/>
    <n v="36.200000000000003"/>
    <m/>
    <s v="Delivered"/>
    <n v="101"/>
    <n v="1"/>
    <x v="0"/>
    <n v="0"/>
    <s v="fast"/>
  </r>
  <r>
    <x v="1234"/>
    <x v="1"/>
    <x v="4"/>
    <x v="1"/>
    <d v="2023-05-17T00:00:00"/>
    <d v="2023-05-23T00:00:00"/>
    <n v="6.2"/>
    <n v="210.74"/>
    <s v="Delayed"/>
    <n v="1435"/>
    <n v="5"/>
    <x v="1"/>
    <n v="0.14685714285714285"/>
    <s v="not applicabel"/>
  </r>
  <r>
    <x v="1235"/>
    <x v="3"/>
    <x v="12"/>
    <x v="5"/>
    <d v="2023-07-07T00:00:00"/>
    <d v="2023-07-14T00:00:00"/>
    <n v="42.8"/>
    <n v="322.49"/>
    <s v="Delivered"/>
    <n v="2389"/>
    <n v="7"/>
    <x v="0"/>
    <n v="0.13498953537044789"/>
    <s v="slow"/>
  </r>
  <r>
    <x v="1236"/>
    <x v="7"/>
    <x v="4"/>
    <x v="2"/>
    <d v="2023-03-22T00:00:00"/>
    <d v="2023-03-28T00:00:00"/>
    <n v="10.6"/>
    <n v="256.26"/>
    <s v="Returned"/>
    <n v="2001"/>
    <n v="6"/>
    <x v="3"/>
    <n v="0.12806596701649176"/>
    <s v="not applicabel"/>
  </r>
  <r>
    <x v="1237"/>
    <x v="0"/>
    <x v="7"/>
    <x v="6"/>
    <d v="2023-01-27T00:00:00"/>
    <d v="2023-01-31T00:00:00"/>
    <n v="10.6"/>
    <n v="107.5"/>
    <s v="Delivered"/>
    <n v="788"/>
    <n v="4"/>
    <x v="0"/>
    <n v="0.13642131979695432"/>
    <s v="fast"/>
  </r>
  <r>
    <x v="1238"/>
    <x v="9"/>
    <x v="13"/>
    <x v="6"/>
    <d v="2023-04-29T00:00:00"/>
    <d v="2023-05-04T00:00:00"/>
    <n v="81.2"/>
    <n v="243.39"/>
    <s v="Delivered"/>
    <n v="1220"/>
    <n v="5"/>
    <x v="0"/>
    <n v="0.19949999999999998"/>
    <s v="slow"/>
  </r>
  <r>
    <x v="1239"/>
    <x v="9"/>
    <x v="4"/>
    <x v="5"/>
    <d v="2023-01-24T00:00:00"/>
    <d v="2023-01-26T00:00:00"/>
    <n v="25.9"/>
    <n v="66.72"/>
    <s v="Delivered"/>
    <n v="300"/>
    <n v="2"/>
    <x v="0"/>
    <n v="0.22239999999999999"/>
    <s v="fast"/>
  </r>
  <r>
    <x v="1240"/>
    <x v="4"/>
    <x v="14"/>
    <x v="1"/>
    <d v="2023-01-15T00:00:00"/>
    <d v="2023-01-21T00:00:00"/>
    <n v="10.3"/>
    <n v="310.05"/>
    <s v="Delivered"/>
    <n v="2006"/>
    <n v="6"/>
    <x v="0"/>
    <n v="0.15456131605184448"/>
    <s v="slow"/>
  </r>
  <r>
    <x v="1241"/>
    <x v="4"/>
    <x v="14"/>
    <x v="5"/>
    <d v="2023-08-08T00:00:00"/>
    <d v="2023-08-10T00:00:00"/>
    <n v="22.8"/>
    <n v="46.91"/>
    <s v="Delivered"/>
    <n v="203"/>
    <n v="2"/>
    <x v="0"/>
    <n v="0.23108374384236452"/>
    <s v="fast"/>
  </r>
  <r>
    <x v="1242"/>
    <x v="9"/>
    <x v="2"/>
    <x v="1"/>
    <d v="2023-01-20T00:00:00"/>
    <d v="2023-01-22T00:00:00"/>
    <n v="10.199999999999999"/>
    <n v="112.82"/>
    <s v="Delivered"/>
    <n v="751"/>
    <n v="2"/>
    <x v="0"/>
    <n v="0.15022636484687082"/>
    <s v="fast"/>
  </r>
  <r>
    <x v="1243"/>
    <x v="6"/>
    <x v="3"/>
    <x v="1"/>
    <d v="2023-05-22T00:00:00"/>
    <d v="2023-05-27T00:00:00"/>
    <n v="37.4"/>
    <n v="350.17"/>
    <s v="In Transit"/>
    <n v="2290"/>
    <n v="5"/>
    <x v="0"/>
    <n v="0.15291266375545853"/>
    <s v="slow"/>
  </r>
  <r>
    <x v="1244"/>
    <x v="3"/>
    <x v="12"/>
    <x v="1"/>
    <d v="2023-10-01T00:00:00"/>
    <d v="2023-10-03T00:00:00"/>
    <n v="13.8"/>
    <n v="60.56"/>
    <s v="Delivered"/>
    <n v="261"/>
    <n v="2"/>
    <x v="0"/>
    <n v="0.23203065134099618"/>
    <s v="fast"/>
  </r>
  <r>
    <x v="1245"/>
    <x v="0"/>
    <x v="3"/>
    <x v="0"/>
    <d v="2023-09-11T00:00:00"/>
    <d v="2023-09-16T00:00:00"/>
    <n v="45.4"/>
    <n v="270.54000000000002"/>
    <s v="Delivered"/>
    <n v="1794"/>
    <n v="5"/>
    <x v="0"/>
    <n v="0.15080267558528429"/>
    <s v="slow"/>
  </r>
  <r>
    <x v="1246"/>
    <x v="8"/>
    <x v="8"/>
    <x v="2"/>
    <d v="2023-02-16T00:00:00"/>
    <d v="2023-02-18T00:00:00"/>
    <n v="10.8"/>
    <n v="105.44"/>
    <s v="Delivered"/>
    <n v="790"/>
    <n v="2"/>
    <x v="0"/>
    <n v="0.13346835443037974"/>
    <s v="fast"/>
  </r>
  <r>
    <x v="1247"/>
    <x v="5"/>
    <x v="2"/>
    <x v="1"/>
    <d v="2023-06-29T00:00:00"/>
    <d v="2023-07-04T00:00:00"/>
    <n v="47.3"/>
    <n v="347.27"/>
    <s v="Delivered"/>
    <n v="2055"/>
    <n v="5"/>
    <x v="0"/>
    <n v="0.16898783454987834"/>
    <s v="slow"/>
  </r>
  <r>
    <x v="1248"/>
    <x v="7"/>
    <x v="14"/>
    <x v="1"/>
    <d v="2023-09-10T00:00:00"/>
    <d v="2023-09-17T00:00:00"/>
    <n v="58"/>
    <n v="389.41"/>
    <s v="Delayed"/>
    <n v="2199"/>
    <n v="6"/>
    <x v="1"/>
    <n v="0.17708503865393363"/>
    <s v="not applicabel"/>
  </r>
  <r>
    <x v="1249"/>
    <x v="3"/>
    <x v="12"/>
    <x v="3"/>
    <d v="2023-02-26T00:00:00"/>
    <d v="2023-03-01T00:00:00"/>
    <n v="21.4"/>
    <n v="136.38999999999999"/>
    <s v="In Transit"/>
    <n v="799"/>
    <n v="3"/>
    <x v="0"/>
    <n v="0.17070087609511889"/>
    <s v="fast"/>
  </r>
  <r>
    <x v="1250"/>
    <x v="1"/>
    <x v="6"/>
    <x v="5"/>
    <d v="2023-01-27T00:00:00"/>
    <d v="2023-01-28T00:00:00"/>
    <n v="15.8"/>
    <n v="48.13"/>
    <s v="Delivered"/>
    <n v="250"/>
    <n v="1"/>
    <x v="0"/>
    <n v="0.19252"/>
    <s v="fast"/>
  </r>
  <r>
    <x v="1251"/>
    <x v="2"/>
    <x v="2"/>
    <x v="1"/>
    <d v="2023-07-11T00:00:00"/>
    <d v="2023-07-16T00:00:00"/>
    <n v="10.8"/>
    <n v="224.13"/>
    <s v="Delivered"/>
    <n v="1409"/>
    <n v="5"/>
    <x v="0"/>
    <n v="0.15907026259758694"/>
    <s v="slow"/>
  </r>
  <r>
    <x v="1252"/>
    <x v="3"/>
    <x v="1"/>
    <x v="4"/>
    <d v="2023-05-04T00:00:00"/>
    <d v="2023-05-12T00:00:00"/>
    <n v="40.5"/>
    <n v="236.11"/>
    <s v="Delayed"/>
    <n v="1756"/>
    <n v="4"/>
    <x v="1"/>
    <n v="0.13445899772209569"/>
    <s v="not applicabel"/>
  </r>
  <r>
    <x v="1253"/>
    <x v="5"/>
    <x v="6"/>
    <x v="6"/>
    <d v="2023-05-28T00:00:00"/>
    <d v="2023-06-01T00:00:00"/>
    <n v="9.9"/>
    <n v="150.46"/>
    <s v="Delivered"/>
    <n v="1129"/>
    <n v="4"/>
    <x v="0"/>
    <n v="0.13326837909654562"/>
    <s v="fast"/>
  </r>
  <r>
    <x v="1254"/>
    <x v="6"/>
    <x v="1"/>
    <x v="5"/>
    <d v="2023-09-29T00:00:00"/>
    <d v="2023-10-04T00:00:00"/>
    <n v="44.4"/>
    <n v="152.04"/>
    <s v="Delivered"/>
    <n v="800"/>
    <n v="5"/>
    <x v="0"/>
    <n v="0.19005"/>
    <s v="slow"/>
  </r>
  <r>
    <x v="1255"/>
    <x v="8"/>
    <x v="5"/>
    <x v="0"/>
    <d v="2023-10-29T00:00:00"/>
    <d v="2023-11-01T00:00:00"/>
    <n v="15.5"/>
    <n v="159.84"/>
    <s v="Delivered"/>
    <n v="1090"/>
    <n v="3"/>
    <x v="0"/>
    <n v="0.1466422018348624"/>
    <s v="fast"/>
  </r>
  <r>
    <x v="1256"/>
    <x v="8"/>
    <x v="8"/>
    <x v="2"/>
    <d v="2023-12-19T00:00:00"/>
    <d v="2023-12-23T00:00:00"/>
    <n v="13.5"/>
    <n v="123.13"/>
    <s v="Delivered"/>
    <n v="790"/>
    <n v="4"/>
    <x v="0"/>
    <n v="0.15586075949367087"/>
    <s v="fast"/>
  </r>
  <r>
    <x v="1257"/>
    <x v="6"/>
    <x v="12"/>
    <x v="6"/>
    <d v="2023-10-13T00:00:00"/>
    <m/>
    <n v="6.4"/>
    <n v="191.61"/>
    <s v="Delivered"/>
    <n v="1770"/>
    <n v="6"/>
    <x v="4"/>
    <n v="0.1082542372881356"/>
    <s v="not applicabel"/>
  </r>
  <r>
    <x v="1258"/>
    <x v="5"/>
    <x v="4"/>
    <x v="4"/>
    <d v="2023-10-21T00:00:00"/>
    <d v="2023-10-26T00:00:00"/>
    <n v="14.5"/>
    <n v="202.38"/>
    <s v="Delivered"/>
    <n v="1704"/>
    <n v="5"/>
    <x v="0"/>
    <n v="0.11876760563380281"/>
    <s v="slow"/>
  </r>
  <r>
    <x v="1259"/>
    <x v="2"/>
    <x v="13"/>
    <x v="5"/>
    <d v="2023-04-21T00:00:00"/>
    <d v="2023-04-27T00:00:00"/>
    <n v="45.4"/>
    <n v="102.09"/>
    <s v="Delayed"/>
    <n v="473"/>
    <n v="2"/>
    <x v="1"/>
    <n v="0.21583509513742072"/>
    <s v="not applicabel"/>
  </r>
  <r>
    <x v="1260"/>
    <x v="0"/>
    <x v="8"/>
    <x v="0"/>
    <d v="2023-02-04T00:00:00"/>
    <d v="2023-02-07T00:00:00"/>
    <n v="13.1"/>
    <n v="195.45"/>
    <s v="Delivered"/>
    <n v="1331"/>
    <n v="3"/>
    <x v="0"/>
    <n v="0.14684447783621338"/>
    <s v="fast"/>
  </r>
  <r>
    <x v="1261"/>
    <x v="8"/>
    <x v="3"/>
    <x v="5"/>
    <d v="2023-02-22T00:00:00"/>
    <d v="2023-02-25T00:00:00"/>
    <n v="25.7"/>
    <n v="159.21"/>
    <s v="Delivered"/>
    <n v="1023"/>
    <n v="3"/>
    <x v="0"/>
    <n v="0.15563049853372435"/>
    <s v="fast"/>
  </r>
  <r>
    <x v="1262"/>
    <x v="1"/>
    <x v="6"/>
    <x v="6"/>
    <d v="2023-05-31T00:00:00"/>
    <d v="2023-06-03T00:00:00"/>
    <n v="70.5"/>
    <n v="159.12"/>
    <s v="Delivered"/>
    <n v="800"/>
    <n v="3"/>
    <x v="0"/>
    <n v="0.19889999999999999"/>
    <s v="fast"/>
  </r>
  <r>
    <x v="1263"/>
    <x v="6"/>
    <x v="7"/>
    <x v="5"/>
    <d v="2023-09-03T00:00:00"/>
    <d v="2023-09-07T00:00:00"/>
    <n v="17"/>
    <n v="257.86"/>
    <s v="Delivered"/>
    <n v="1985"/>
    <n v="4"/>
    <x v="0"/>
    <n v="0.12990428211586902"/>
    <s v="fast"/>
  </r>
  <r>
    <x v="1264"/>
    <x v="7"/>
    <x v="6"/>
    <x v="5"/>
    <d v="2023-08-09T00:00:00"/>
    <d v="2023-08-12T00:00:00"/>
    <n v="36.4"/>
    <n v="77.58"/>
    <s v="Delivered"/>
    <n v="243"/>
    <n v="3"/>
    <x v="0"/>
    <n v="0.31925925925925924"/>
    <s v="fast"/>
  </r>
  <r>
    <x v="1265"/>
    <x v="2"/>
    <x v="6"/>
    <x v="0"/>
    <d v="2023-07-10T00:00:00"/>
    <d v="2023-07-17T00:00:00"/>
    <n v="16.399999999999999"/>
    <n v="265.38"/>
    <s v="Delivered"/>
    <n v="1834"/>
    <n v="7"/>
    <x v="0"/>
    <n v="0.14470010905125408"/>
    <s v="slow"/>
  </r>
  <r>
    <x v="1266"/>
    <x v="7"/>
    <x v="6"/>
    <x v="3"/>
    <d v="2023-08-26T00:00:00"/>
    <d v="2023-08-30T00:00:00"/>
    <n v="16.399999999999999"/>
    <n v="240.73"/>
    <s v="Delivered"/>
    <n v="1726"/>
    <n v="4"/>
    <x v="0"/>
    <n v="0.13947276940903824"/>
    <s v="fast"/>
  </r>
  <r>
    <x v="1267"/>
    <x v="1"/>
    <x v="6"/>
    <x v="4"/>
    <d v="2023-01-31T00:00:00"/>
    <d v="2023-02-03T00:00:00"/>
    <n v="9.6"/>
    <n v="153.94999999999999"/>
    <s v="Delivered"/>
    <n v="1168"/>
    <n v="3"/>
    <x v="0"/>
    <n v="0.13180650684931505"/>
    <s v="fast"/>
  </r>
  <r>
    <x v="1268"/>
    <x v="6"/>
    <x v="2"/>
    <x v="4"/>
    <d v="2023-06-25T00:00:00"/>
    <d v="2023-06-27T00:00:00"/>
    <n v="26.1"/>
    <n v="142.55000000000001"/>
    <s v="Delivered"/>
    <n v="880"/>
    <n v="2"/>
    <x v="0"/>
    <n v="0.16198863636363639"/>
    <s v="fast"/>
  </r>
  <r>
    <x v="1269"/>
    <x v="5"/>
    <x v="12"/>
    <x v="2"/>
    <d v="2023-02-10T00:00:00"/>
    <d v="2023-02-12T00:00:00"/>
    <n v="21.6"/>
    <n v="60.18"/>
    <s v="Delivered"/>
    <n v="267"/>
    <n v="2"/>
    <x v="0"/>
    <n v="0.22539325842696628"/>
    <s v="fast"/>
  </r>
  <r>
    <x v="1270"/>
    <x v="5"/>
    <x v="9"/>
    <x v="5"/>
    <d v="2023-07-04T00:00:00"/>
    <d v="2023-07-07T00:00:00"/>
    <n v="19.3"/>
    <n v="163.72999999999999"/>
    <s v="Delivered"/>
    <n v="1097"/>
    <n v="3"/>
    <x v="0"/>
    <n v="0.1492525068368277"/>
    <s v="fast"/>
  </r>
  <r>
    <x v="1271"/>
    <x v="2"/>
    <x v="7"/>
    <x v="0"/>
    <d v="2023-06-08T00:00:00"/>
    <d v="2023-06-10T00:00:00"/>
    <n v="10.5"/>
    <n v="56.72"/>
    <s v="Delivered"/>
    <n v="329"/>
    <n v="2"/>
    <x v="0"/>
    <n v="0.17240121580547113"/>
    <s v="fast"/>
  </r>
  <r>
    <x v="1272"/>
    <x v="4"/>
    <x v="3"/>
    <x v="3"/>
    <d v="2023-12-02T00:00:00"/>
    <d v="2023-12-06T00:00:00"/>
    <n v="30.9"/>
    <n v="196.94"/>
    <s v="Delivered"/>
    <n v="880"/>
    <n v="4"/>
    <x v="0"/>
    <n v="0.22379545454545455"/>
    <s v="fast"/>
  </r>
  <r>
    <x v="1273"/>
    <x v="6"/>
    <x v="13"/>
    <x v="5"/>
    <d v="2023-01-17T00:00:00"/>
    <d v="2023-01-20T00:00:00"/>
    <n v="12"/>
    <n v="59.08"/>
    <s v="In Transit"/>
    <n v="376"/>
    <n v="3"/>
    <x v="0"/>
    <n v="0.15712765957446809"/>
    <s v="fast"/>
  </r>
  <r>
    <x v="1274"/>
    <x v="6"/>
    <x v="7"/>
    <x v="3"/>
    <d v="2023-12-11T00:00:00"/>
    <d v="2023-12-19T00:00:00"/>
    <n v="13.7"/>
    <n v="383.07"/>
    <s v="Delivered"/>
    <n v="2205"/>
    <n v="8"/>
    <x v="0"/>
    <n v="0.17372789115646259"/>
    <s v="slow"/>
  </r>
  <r>
    <x v="1275"/>
    <x v="1"/>
    <x v="8"/>
    <x v="3"/>
    <d v="2023-01-08T00:00:00"/>
    <d v="2023-01-10T00:00:00"/>
    <n v="48.3"/>
    <n v="146.26"/>
    <s v="In Transit"/>
    <n v="545"/>
    <n v="2"/>
    <x v="0"/>
    <n v="0.2683669724770642"/>
    <s v="fast"/>
  </r>
  <r>
    <x v="1276"/>
    <x v="5"/>
    <x v="9"/>
    <x v="4"/>
    <d v="2023-09-11T00:00:00"/>
    <d v="2023-09-22T00:00:00"/>
    <n v="63.6"/>
    <n v="171.47"/>
    <s v="Delayed"/>
    <n v="737"/>
    <n v="2"/>
    <x v="1"/>
    <n v="0.23265943012211668"/>
    <s v="not applicabel"/>
  </r>
  <r>
    <x v="1277"/>
    <x v="1"/>
    <x v="12"/>
    <x v="6"/>
    <d v="2023-05-16T00:00:00"/>
    <d v="2023-05-23T00:00:00"/>
    <n v="24"/>
    <n v="307.61"/>
    <s v="Delivered"/>
    <n v="2479"/>
    <n v="7"/>
    <x v="0"/>
    <n v="0.12408632513110125"/>
    <s v="slow"/>
  </r>
  <r>
    <x v="1278"/>
    <x v="1"/>
    <x v="4"/>
    <x v="5"/>
    <d v="2023-11-03T00:00:00"/>
    <d v="2023-11-08T00:00:00"/>
    <n v="35.700000000000003"/>
    <n v="268.47000000000003"/>
    <s v="Delivered"/>
    <n v="1435"/>
    <n v="5"/>
    <x v="0"/>
    <n v="0.1870871080139373"/>
    <s v="slow"/>
  </r>
  <r>
    <x v="1279"/>
    <x v="6"/>
    <x v="7"/>
    <x v="0"/>
    <d v="2023-07-23T00:00:00"/>
    <d v="2023-07-27T00:00:00"/>
    <n v="33.4"/>
    <n v="131.33000000000001"/>
    <s v="Delivered"/>
    <n v="662"/>
    <n v="4"/>
    <x v="0"/>
    <n v="0.19838368580060425"/>
    <s v="fast"/>
  </r>
  <r>
    <x v="1280"/>
    <x v="6"/>
    <x v="6"/>
    <x v="6"/>
    <d v="2023-11-25T00:00:00"/>
    <d v="2023-12-03T00:00:00"/>
    <n v="110.7"/>
    <n v="429.91"/>
    <s v="Returned"/>
    <n v="1985"/>
    <n v="8"/>
    <x v="3"/>
    <n v="0.21657934508816123"/>
    <s v="not applicabel"/>
  </r>
  <r>
    <x v="1281"/>
    <x v="8"/>
    <x v="7"/>
    <x v="2"/>
    <d v="2023-09-22T00:00:00"/>
    <d v="2023-10-12T00:00:00"/>
    <n v="22.5"/>
    <n v="304.33999999999997"/>
    <s v="Delayed"/>
    <n v="2161"/>
    <n v="7"/>
    <x v="1"/>
    <n v="0.14083294770939378"/>
    <s v="not applicabel"/>
  </r>
  <r>
    <x v="1282"/>
    <x v="4"/>
    <x v="11"/>
    <x v="6"/>
    <d v="2023-10-11T00:00:00"/>
    <d v="2023-09-11T00:00:00"/>
    <n v="3.3"/>
    <n v="80"/>
    <s v="Delivered"/>
    <n v="677"/>
    <n v="4"/>
    <x v="0"/>
    <n v="0.11816838995568685"/>
    <s v="fast"/>
  </r>
  <r>
    <x v="1283"/>
    <x v="4"/>
    <x v="12"/>
    <x v="3"/>
    <d v="2023-01-30T00:00:00"/>
    <d v="2023-02-03T00:00:00"/>
    <n v="40.1"/>
    <n v="122.44"/>
    <s v="Delivered"/>
    <n v="454"/>
    <n v="4"/>
    <x v="0"/>
    <n v="0.26969162995594714"/>
    <s v="fast"/>
  </r>
  <r>
    <x v="1284"/>
    <x v="6"/>
    <x v="10"/>
    <x v="2"/>
    <d v="2023-11-06T00:00:00"/>
    <d v="2023-11-10T00:00:00"/>
    <n v="13.6"/>
    <n v="233.78"/>
    <s v="Delivered"/>
    <n v="1402"/>
    <n v="4"/>
    <x v="0"/>
    <n v="0.1667475035663338"/>
    <s v="fast"/>
  </r>
  <r>
    <x v="1285"/>
    <x v="3"/>
    <x v="11"/>
    <x v="1"/>
    <d v="2023-07-26T00:00:00"/>
    <d v="2023-07-29T00:00:00"/>
    <n v="24.5"/>
    <n v="70.28"/>
    <s v="Delivered"/>
    <n v="244"/>
    <n v="3"/>
    <x v="0"/>
    <n v="0.28803278688524592"/>
    <s v="fast"/>
  </r>
  <r>
    <x v="1286"/>
    <x v="1"/>
    <x v="8"/>
    <x v="2"/>
    <d v="2023-08-31T00:00:00"/>
    <d v="2023-09-03T00:00:00"/>
    <n v="23.1"/>
    <n v="157.08000000000001"/>
    <s v="Delivered"/>
    <n v="1139"/>
    <n v="3"/>
    <x v="0"/>
    <n v="0.13791044776119404"/>
    <s v="fast"/>
  </r>
  <r>
    <x v="1287"/>
    <x v="6"/>
    <x v="0"/>
    <x v="5"/>
    <d v="2023-07-05T00:00:00"/>
    <d v="2023-07-06T00:00:00"/>
    <n v="56.4"/>
    <n v="141.61000000000001"/>
    <s v="Delivered"/>
    <n v="531"/>
    <n v="1"/>
    <x v="0"/>
    <n v="0.26668549905838046"/>
    <s v="fast"/>
  </r>
  <r>
    <x v="1288"/>
    <x v="4"/>
    <x v="1"/>
    <x v="0"/>
    <d v="2023-03-05T00:00:00"/>
    <d v="2023-03-08T00:00:00"/>
    <n v="29.4"/>
    <n v="124.1"/>
    <s v="Delivered"/>
    <n v="796"/>
    <n v="3"/>
    <x v="0"/>
    <n v="0.15590452261306531"/>
    <s v="fast"/>
  </r>
  <r>
    <x v="1289"/>
    <x v="3"/>
    <x v="8"/>
    <x v="5"/>
    <d v="2023-11-03T00:00:00"/>
    <d v="2023-11-04T00:00:00"/>
    <n v="10.3"/>
    <n v="40.65"/>
    <s v="Lost"/>
    <n v="188"/>
    <n v="1"/>
    <x v="2"/>
    <n v="0.21622340425531913"/>
    <s v="not applicabel"/>
  </r>
  <r>
    <x v="1290"/>
    <x v="5"/>
    <x v="14"/>
    <x v="3"/>
    <d v="2023-03-06T00:00:00"/>
    <d v="2023-03-09T00:00:00"/>
    <n v="10.9"/>
    <n v="138.79"/>
    <s v="Delivered"/>
    <n v="1000"/>
    <n v="3"/>
    <x v="0"/>
    <n v="0.13879"/>
    <s v="fast"/>
  </r>
  <r>
    <x v="1291"/>
    <x v="0"/>
    <x v="12"/>
    <x v="4"/>
    <d v="2023-05-04T00:00:00"/>
    <d v="2023-05-09T00:00:00"/>
    <n v="42.1"/>
    <n v="344.29"/>
    <s v="Returned"/>
    <n v="2219"/>
    <n v="5"/>
    <x v="3"/>
    <n v="0.15515547543938712"/>
    <s v="not applicabel"/>
  </r>
  <r>
    <x v="1292"/>
    <x v="5"/>
    <x v="12"/>
    <x v="3"/>
    <d v="2023-11-07T00:00:00"/>
    <d v="2023-10-08T00:00:00"/>
    <n v="53"/>
    <n v="355.09"/>
    <s v="Delayed"/>
    <n v="1709"/>
    <n v="4"/>
    <x v="1"/>
    <n v="0.20777647747220596"/>
    <s v="not applicabel"/>
  </r>
  <r>
    <x v="1293"/>
    <x v="4"/>
    <x v="4"/>
    <x v="6"/>
    <d v="2023-01-13T00:00:00"/>
    <d v="2023-01-18T00:00:00"/>
    <n v="25.4"/>
    <n v="245.02"/>
    <s v="Delivered"/>
    <n v="2110"/>
    <n v="5"/>
    <x v="0"/>
    <n v="0.11612322274881517"/>
    <s v="slow"/>
  </r>
  <r>
    <x v="1294"/>
    <x v="5"/>
    <x v="12"/>
    <x v="5"/>
    <d v="2023-01-01T00:00:00"/>
    <d v="2023-01-03T00:00:00"/>
    <n v="19.7"/>
    <n v="106.66"/>
    <s v="Delivered"/>
    <n v="784"/>
    <n v="2"/>
    <x v="0"/>
    <n v="0.13604591836734695"/>
    <s v="fast"/>
  </r>
  <r>
    <x v="1295"/>
    <x v="4"/>
    <x v="2"/>
    <x v="6"/>
    <d v="2023-01-02T00:00:00"/>
    <d v="2023-01-05T00:00:00"/>
    <n v="31.8"/>
    <n v="134.96"/>
    <s v="Delivered"/>
    <n v="786"/>
    <n v="3"/>
    <x v="0"/>
    <n v="0.17170483460559796"/>
    <s v="fast"/>
  </r>
  <r>
    <x v="1296"/>
    <x v="6"/>
    <x v="4"/>
    <x v="5"/>
    <d v="2023-11-09T00:00:00"/>
    <d v="2023-11-12T00:00:00"/>
    <n v="22.8"/>
    <n v="260.19"/>
    <s v="Delivered"/>
    <n v="1512"/>
    <n v="3"/>
    <x v="0"/>
    <n v="0.17208333333333334"/>
    <s v="fast"/>
  </r>
  <r>
    <x v="1297"/>
    <x v="7"/>
    <x v="6"/>
    <x v="5"/>
    <d v="2023-08-24T00:00:00"/>
    <d v="2023-08-29T00:00:00"/>
    <n v="10.1"/>
    <n v="185.32"/>
    <s v="Delivered"/>
    <n v="1310"/>
    <n v="5"/>
    <x v="0"/>
    <n v="0.14146564885496182"/>
    <s v="slow"/>
  </r>
  <r>
    <x v="1298"/>
    <x v="8"/>
    <x v="7"/>
    <x v="3"/>
    <d v="2023-06-08T00:00:00"/>
    <d v="2023-06-16T00:00:00"/>
    <n v="17.3"/>
    <n v="325.14"/>
    <s v="Delivered"/>
    <n v="2398"/>
    <n v="8"/>
    <x v="0"/>
    <n v="0.13558798999165972"/>
    <s v="slow"/>
  </r>
  <r>
    <x v="1299"/>
    <x v="0"/>
    <x v="0"/>
    <x v="4"/>
    <d v="2023-08-11T00:00:00"/>
    <d v="2023-08-15T00:00:00"/>
    <n v="24.5"/>
    <n v="191.05"/>
    <s v="Delivered"/>
    <n v="1373"/>
    <n v="4"/>
    <x v="0"/>
    <n v="0.13914785142024763"/>
    <s v="fast"/>
  </r>
  <r>
    <x v="1300"/>
    <x v="0"/>
    <x v="1"/>
    <x v="4"/>
    <d v="2023-09-05T00:00:00"/>
    <d v="2023-09-09T00:00:00"/>
    <n v="6.8"/>
    <n v="141.35"/>
    <s v="Delivered"/>
    <n v="1036"/>
    <n v="4"/>
    <x v="0"/>
    <n v="0.13643822393822394"/>
    <s v="fast"/>
  </r>
  <r>
    <x v="1301"/>
    <x v="0"/>
    <x v="0"/>
    <x v="2"/>
    <d v="2023-09-26T00:00:00"/>
    <d v="2023-09-30T00:00:00"/>
    <n v="40.5"/>
    <n v="147.62"/>
    <s v="Delivered"/>
    <n v="894"/>
    <n v="4"/>
    <x v="0"/>
    <n v="0.16512304250559284"/>
    <s v="fast"/>
  </r>
  <r>
    <x v="1302"/>
    <x v="2"/>
    <x v="5"/>
    <x v="1"/>
    <d v="2023-01-02T00:00:00"/>
    <d v="2023-01-06T00:00:00"/>
    <n v="41.8"/>
    <n v="254.48"/>
    <s v="Delivered"/>
    <n v="1261"/>
    <n v="4"/>
    <x v="0"/>
    <n v="0.2018080888183981"/>
    <s v="fast"/>
  </r>
  <r>
    <x v="1303"/>
    <x v="2"/>
    <x v="12"/>
    <x v="5"/>
    <d v="2023-08-01T00:00:00"/>
    <d v="2023-08-03T00:00:00"/>
    <n v="78.900000000000006"/>
    <n v="171.25"/>
    <s v="Delivered"/>
    <n v="729"/>
    <n v="2"/>
    <x v="0"/>
    <n v="0.23491083676268862"/>
    <s v="fast"/>
  </r>
  <r>
    <x v="1304"/>
    <x v="8"/>
    <x v="11"/>
    <x v="6"/>
    <d v="2023-12-25T00:00:00"/>
    <d v="2023-12-30T00:00:00"/>
    <n v="12.3"/>
    <n v="325.51"/>
    <s v="Delivered"/>
    <n v="2145"/>
    <n v="5"/>
    <x v="0"/>
    <n v="0.15175291375291375"/>
    <s v="slow"/>
  </r>
  <r>
    <x v="1305"/>
    <x v="6"/>
    <x v="12"/>
    <x v="2"/>
    <d v="2023-12-31T00:00:00"/>
    <d v="2024-01-05T00:00:00"/>
    <n v="55.7"/>
    <n v="335.88"/>
    <s v="Delivered"/>
    <n v="1737"/>
    <n v="5"/>
    <x v="0"/>
    <n v="0.19336787564766839"/>
    <s v="slow"/>
  </r>
  <r>
    <x v="1306"/>
    <x v="4"/>
    <x v="1"/>
    <x v="0"/>
    <d v="2023-01-15T00:00:00"/>
    <d v="2023-01-20T00:00:00"/>
    <n v="8.3000000000000007"/>
    <n v="275.36"/>
    <s v="Delivered"/>
    <n v="1965"/>
    <n v="5"/>
    <x v="0"/>
    <n v="0.1401323155216285"/>
    <s v="slow"/>
  </r>
  <r>
    <x v="1307"/>
    <x v="2"/>
    <x v="8"/>
    <x v="3"/>
    <d v="2023-10-16T00:00:00"/>
    <d v="2023-10-20T00:00:00"/>
    <n v="42.3"/>
    <n v="221.5"/>
    <s v="Delivered"/>
    <n v="1178"/>
    <n v="4"/>
    <x v="0"/>
    <n v="0.18803056027164686"/>
    <s v="fast"/>
  </r>
  <r>
    <x v="1308"/>
    <x v="1"/>
    <x v="10"/>
    <x v="1"/>
    <d v="2023-03-14T00:00:00"/>
    <d v="2023-03-18T00:00:00"/>
    <n v="7.6"/>
    <n v="61.28"/>
    <s v="Delivered"/>
    <n v="373"/>
    <n v="4"/>
    <x v="0"/>
    <n v="0.16428954423592493"/>
    <s v="fast"/>
  </r>
  <r>
    <x v="1309"/>
    <x v="3"/>
    <x v="9"/>
    <x v="5"/>
    <d v="2023-07-25T00:00:00"/>
    <d v="2023-08-06T00:00:00"/>
    <n v="4.5999999999999996"/>
    <n v="209.12"/>
    <s v="Delayed"/>
    <n v="1868"/>
    <n v="6"/>
    <x v="1"/>
    <n v="0.11194860813704496"/>
    <s v="not applicabel"/>
  </r>
  <r>
    <x v="1310"/>
    <x v="3"/>
    <x v="8"/>
    <x v="1"/>
    <d v="2023-10-27T00:00:00"/>
    <d v="2023-10-31T00:00:00"/>
    <n v="11.1"/>
    <n v="100.08"/>
    <s v="Delivered"/>
    <n v="640"/>
    <n v="4"/>
    <x v="0"/>
    <n v="0.15637499999999999"/>
    <s v="fast"/>
  </r>
  <r>
    <x v="1311"/>
    <x v="3"/>
    <x v="5"/>
    <x v="5"/>
    <d v="2023-09-03T00:00:00"/>
    <d v="2023-09-06T00:00:00"/>
    <n v="7"/>
    <n v="204.47"/>
    <s v="Delivered"/>
    <n v="1503"/>
    <n v="3"/>
    <x v="0"/>
    <n v="0.13604125083166999"/>
    <s v="fast"/>
  </r>
  <r>
    <x v="1312"/>
    <x v="9"/>
    <x v="10"/>
    <x v="4"/>
    <d v="2023-11-04T00:00:00"/>
    <d v="2023-11-08T00:00:00"/>
    <n v="25.6"/>
    <n v="270.11"/>
    <s v="Delivered"/>
    <n v="1671"/>
    <n v="4"/>
    <x v="0"/>
    <n v="0.1616457211250748"/>
    <s v="fast"/>
  </r>
  <r>
    <x v="1313"/>
    <x v="4"/>
    <x v="2"/>
    <x v="2"/>
    <d v="2023-05-02T00:00:00"/>
    <d v="2023-05-09T00:00:00"/>
    <n v="16"/>
    <n v="322.60000000000002"/>
    <s v="Delivered"/>
    <n v="2289"/>
    <n v="7"/>
    <x v="0"/>
    <n v="0.14093490607252077"/>
    <s v="slow"/>
  </r>
  <r>
    <x v="1314"/>
    <x v="6"/>
    <x v="10"/>
    <x v="1"/>
    <d v="2023-08-16T00:00:00"/>
    <d v="2023-08-23T00:00:00"/>
    <n v="9.6"/>
    <n v="248.88"/>
    <s v="Delivered"/>
    <n v="1664"/>
    <n v="7"/>
    <x v="0"/>
    <n v="0.14956730769230769"/>
    <s v="slow"/>
  </r>
  <r>
    <x v="1315"/>
    <x v="2"/>
    <x v="2"/>
    <x v="4"/>
    <d v="2023-03-18T00:00:00"/>
    <d v="2023-03-20T00:00:00"/>
    <n v="28.8"/>
    <n v="93.05"/>
    <s v="Lost"/>
    <n v="499"/>
    <n v="2"/>
    <x v="2"/>
    <n v="0.18647294589178356"/>
    <s v="not applicabel"/>
  </r>
  <r>
    <x v="1316"/>
    <x v="7"/>
    <x v="8"/>
    <x v="6"/>
    <d v="2023-01-31T00:00:00"/>
    <d v="2023-02-06T00:00:00"/>
    <n v="34.6"/>
    <n v="280.52999999999997"/>
    <s v="Delivered"/>
    <n v="2109"/>
    <n v="6"/>
    <x v="0"/>
    <n v="0.13301564722617354"/>
    <s v="slow"/>
  </r>
  <r>
    <x v="1317"/>
    <x v="3"/>
    <x v="14"/>
    <x v="0"/>
    <d v="2023-04-12T00:00:00"/>
    <d v="2023-04-13T00:00:00"/>
    <n v="21"/>
    <n v="88.46"/>
    <s v="Delivered"/>
    <n v="510"/>
    <n v="1"/>
    <x v="0"/>
    <n v="0.17345098039215684"/>
    <s v="fast"/>
  </r>
  <r>
    <x v="1318"/>
    <x v="5"/>
    <x v="3"/>
    <x v="6"/>
    <d v="2023-06-10T00:00:00"/>
    <d v="2023-06-16T00:00:00"/>
    <n v="16.899999999999999"/>
    <n v="281.93"/>
    <s v="Delivered"/>
    <n v="2329"/>
    <n v="6"/>
    <x v="0"/>
    <n v="0.12105195362816659"/>
    <s v="slow"/>
  </r>
  <r>
    <x v="1319"/>
    <x v="5"/>
    <x v="2"/>
    <x v="0"/>
    <d v="2023-09-02T00:00:00"/>
    <d v="2023-09-07T00:00:00"/>
    <n v="21.6"/>
    <n v="251.91"/>
    <s v="Delivered"/>
    <n v="2001"/>
    <n v="5"/>
    <x v="0"/>
    <n v="0.12589205397301348"/>
    <s v="slow"/>
  </r>
  <r>
    <x v="1320"/>
    <x v="1"/>
    <x v="7"/>
    <x v="4"/>
    <d v="2023-09-26T00:00:00"/>
    <d v="2023-09-27T00:00:00"/>
    <n v="11.8"/>
    <n v="45.15"/>
    <s v="In Transit"/>
    <n v="278"/>
    <n v="1"/>
    <x v="0"/>
    <n v="0.16241007194244603"/>
    <s v="fast"/>
  </r>
  <r>
    <x v="1321"/>
    <x v="9"/>
    <x v="0"/>
    <x v="3"/>
    <d v="2023-12-29T00:00:00"/>
    <d v="2024-01-02T00:00:00"/>
    <n v="17.2"/>
    <n v="226.51"/>
    <s v="Delivered"/>
    <n v="1179"/>
    <n v="4"/>
    <x v="0"/>
    <n v="0.19212044105173876"/>
    <s v="fast"/>
  </r>
  <r>
    <x v="1322"/>
    <x v="2"/>
    <x v="7"/>
    <x v="5"/>
    <d v="2023-08-30T00:00:00"/>
    <d v="2023-09-04T00:00:00"/>
    <n v="25.7"/>
    <n v="62.58"/>
    <s v="Delivered"/>
    <n v="251"/>
    <n v="5"/>
    <x v="0"/>
    <n v="0.24932270916334662"/>
    <s v="slow"/>
  </r>
  <r>
    <x v="1323"/>
    <x v="7"/>
    <x v="7"/>
    <x v="0"/>
    <d v="2023-02-12T00:00:00"/>
    <d v="2023-02-27T00:00:00"/>
    <n v="48.2"/>
    <n v="79.739999999999995"/>
    <s v="Delayed"/>
    <n v="205"/>
    <n v="2"/>
    <x v="1"/>
    <n v="0.38897560975609752"/>
    <s v="not applicabel"/>
  </r>
  <r>
    <x v="1324"/>
    <x v="1"/>
    <x v="13"/>
    <x v="0"/>
    <d v="2023-01-28T00:00:00"/>
    <d v="2023-01-31T00:00:00"/>
    <n v="51.5"/>
    <n v="165.79"/>
    <s v="Delivered"/>
    <n v="926"/>
    <n v="3"/>
    <x v="0"/>
    <n v="0.17903887688984879"/>
    <s v="fast"/>
  </r>
  <r>
    <x v="1325"/>
    <x v="3"/>
    <x v="7"/>
    <x v="2"/>
    <d v="2023-04-14T00:00:00"/>
    <d v="2023-04-17T00:00:00"/>
    <n v="26.6"/>
    <n v="68.27"/>
    <s v="Returned"/>
    <n v="365"/>
    <n v="3"/>
    <x v="3"/>
    <n v="0.18704109589041096"/>
    <s v="not applicabel"/>
  </r>
  <r>
    <x v="1326"/>
    <x v="3"/>
    <x v="6"/>
    <x v="0"/>
    <d v="2023-03-30T00:00:00"/>
    <d v="2023-04-03T00:00:00"/>
    <n v="127"/>
    <n v="342.1"/>
    <s v="Delivered"/>
    <n v="1334"/>
    <n v="4"/>
    <x v="0"/>
    <n v="0.25644677661169418"/>
    <s v="fast"/>
  </r>
  <r>
    <x v="1327"/>
    <x v="4"/>
    <x v="4"/>
    <x v="0"/>
    <d v="2023-04-11T00:00:00"/>
    <d v="2023-04-13T00:00:00"/>
    <n v="25.9"/>
    <n v="70.31"/>
    <s v="Delivered"/>
    <n v="326"/>
    <n v="2"/>
    <x v="0"/>
    <n v="0.21567484662576689"/>
    <s v="fast"/>
  </r>
  <r>
    <x v="1328"/>
    <x v="2"/>
    <x v="3"/>
    <x v="2"/>
    <d v="2023-02-23T00:00:00"/>
    <d v="2023-03-02T00:00:00"/>
    <n v="13.2"/>
    <n v="300.36"/>
    <s v="Delivered"/>
    <n v="2207"/>
    <n v="7"/>
    <x v="0"/>
    <n v="0.13609424558223834"/>
    <s v="slow"/>
  </r>
  <r>
    <x v="1329"/>
    <x v="7"/>
    <x v="2"/>
    <x v="2"/>
    <d v="2023-12-29T00:00:00"/>
    <d v="2024-01-01T00:00:00"/>
    <n v="14.2"/>
    <n v="109.64"/>
    <s v="Delivered"/>
    <n v="656"/>
    <n v="3"/>
    <x v="0"/>
    <n v="0.16713414634146342"/>
    <s v="fast"/>
  </r>
  <r>
    <x v="1330"/>
    <x v="7"/>
    <x v="6"/>
    <x v="5"/>
    <d v="2023-06-26T00:00:00"/>
    <d v="2023-06-29T00:00:00"/>
    <n v="16.600000000000001"/>
    <n v="105.6"/>
    <s v="Delivered"/>
    <n v="761"/>
    <n v="3"/>
    <x v="0"/>
    <n v="0.13876478318002627"/>
    <s v="fast"/>
  </r>
  <r>
    <x v="1331"/>
    <x v="8"/>
    <x v="2"/>
    <x v="3"/>
    <d v="2023-01-02T00:00:00"/>
    <d v="2023-01-07T00:00:00"/>
    <n v="17.8"/>
    <n v="196.28"/>
    <s v="Delivered"/>
    <n v="1322"/>
    <n v="5"/>
    <x v="0"/>
    <n v="0.14847201210287445"/>
    <s v="slow"/>
  </r>
  <r>
    <x v="1332"/>
    <x v="1"/>
    <x v="2"/>
    <x v="1"/>
    <d v="2023-07-21T00:00:00"/>
    <d v="2023-07-27T00:00:00"/>
    <n v="57.2"/>
    <n v="339.55"/>
    <s v="Delivered"/>
    <n v="1933"/>
    <n v="6"/>
    <x v="0"/>
    <n v="0.1756595964821521"/>
    <s v="slow"/>
  </r>
  <r>
    <x v="1333"/>
    <x v="5"/>
    <x v="0"/>
    <x v="4"/>
    <d v="2023-04-01T00:00:00"/>
    <m/>
    <n v="9"/>
    <n v="67.94"/>
    <s v="Delayed"/>
    <n v="435"/>
    <n v="2"/>
    <x v="4"/>
    <n v="0.15618390804597701"/>
    <s v="not applicabel"/>
  </r>
  <r>
    <x v="1334"/>
    <x v="5"/>
    <x v="10"/>
    <x v="1"/>
    <d v="2023-04-17T00:00:00"/>
    <d v="2023-04-22T00:00:00"/>
    <n v="52.4"/>
    <n v="339.51"/>
    <s v="Delivered"/>
    <n v="1949"/>
    <n v="5"/>
    <x v="0"/>
    <n v="0.17419702411493074"/>
    <s v="slow"/>
  </r>
  <r>
    <x v="1335"/>
    <x v="1"/>
    <x v="14"/>
    <x v="5"/>
    <d v="2023-08-28T00:00:00"/>
    <d v="2023-09-03T00:00:00"/>
    <n v="20.5"/>
    <n v="105.64"/>
    <s v="Delivered"/>
    <n v="638"/>
    <n v="6"/>
    <x v="0"/>
    <n v="0.16557993730407525"/>
    <s v="slow"/>
  </r>
  <r>
    <x v="1336"/>
    <x v="5"/>
    <x v="14"/>
    <x v="6"/>
    <d v="2023-08-10T00:00:00"/>
    <d v="2023-08-13T00:00:00"/>
    <n v="21.5"/>
    <n v="127.75"/>
    <s v="In Transit"/>
    <n v="1000"/>
    <n v="3"/>
    <x v="0"/>
    <n v="0.12775"/>
    <s v="fast"/>
  </r>
  <r>
    <x v="1337"/>
    <x v="9"/>
    <x v="8"/>
    <x v="4"/>
    <d v="2023-12-10T00:00:00"/>
    <d v="2023-12-15T00:00:00"/>
    <n v="34.9"/>
    <n v="296.79000000000002"/>
    <s v="Delivered"/>
    <n v="1876"/>
    <n v="5"/>
    <x v="0"/>
    <n v="0.15820362473347549"/>
    <s v="slow"/>
  </r>
  <r>
    <x v="1338"/>
    <x v="6"/>
    <x v="0"/>
    <x v="3"/>
    <d v="2023-10-18T00:00:00"/>
    <d v="2023-10-24T00:00:00"/>
    <n v="73"/>
    <n v="347.07"/>
    <s v="Delivered"/>
    <n v="1762"/>
    <n v="6"/>
    <x v="0"/>
    <n v="0.1969750283768445"/>
    <s v="slow"/>
  </r>
  <r>
    <x v="1339"/>
    <x v="4"/>
    <x v="11"/>
    <x v="4"/>
    <d v="2023-09-26T00:00:00"/>
    <d v="2023-09-30T00:00:00"/>
    <n v="37.9"/>
    <n v="183.19"/>
    <s v="Delivered"/>
    <n v="1274"/>
    <n v="4"/>
    <x v="0"/>
    <n v="0.1437912087912088"/>
    <s v="fast"/>
  </r>
  <r>
    <x v="1340"/>
    <x v="4"/>
    <x v="9"/>
    <x v="6"/>
    <d v="2023-12-19T00:00:00"/>
    <d v="2023-12-24T00:00:00"/>
    <n v="80.099999999999994"/>
    <n v="423.48"/>
    <s v="Lost"/>
    <n v="2412"/>
    <n v="5"/>
    <x v="2"/>
    <n v="0.17557213930348259"/>
    <s v="not applicabel"/>
  </r>
  <r>
    <x v="1341"/>
    <x v="8"/>
    <x v="2"/>
    <x v="3"/>
    <d v="2023-03-09T00:00:00"/>
    <d v="2023-03-11T00:00:00"/>
    <n v="28.5"/>
    <n v="54.64"/>
    <s v="Delivered"/>
    <n v="131"/>
    <n v="2"/>
    <x v="0"/>
    <n v="0.41709923664122139"/>
    <s v="fast"/>
  </r>
  <r>
    <x v="1342"/>
    <x v="2"/>
    <x v="12"/>
    <x v="4"/>
    <d v="2023-01-13T00:00:00"/>
    <d v="2023-01-19T00:00:00"/>
    <n v="27.9"/>
    <n v="311.69"/>
    <s v="Delivered"/>
    <n v="2297"/>
    <n v="6"/>
    <x v="0"/>
    <n v="0.13569438397910319"/>
    <s v="slow"/>
  </r>
  <r>
    <x v="1343"/>
    <x v="7"/>
    <x v="1"/>
    <x v="3"/>
    <d v="2023-09-20T00:00:00"/>
    <d v="2023-09-26T00:00:00"/>
    <n v="11.9"/>
    <n v="263.5"/>
    <s v="Delivered"/>
    <n v="1772"/>
    <n v="6"/>
    <x v="0"/>
    <n v="0.14870203160270881"/>
    <s v="slow"/>
  </r>
  <r>
    <x v="1344"/>
    <x v="2"/>
    <x v="7"/>
    <x v="6"/>
    <d v="2023-05-04T00:00:00"/>
    <d v="2023-05-10T00:00:00"/>
    <n v="18.7"/>
    <n v="264.01"/>
    <s v="Delivered"/>
    <n v="2316"/>
    <n v="6"/>
    <x v="0"/>
    <n v="0.11399395509499136"/>
    <s v="slow"/>
  </r>
  <r>
    <x v="1345"/>
    <x v="8"/>
    <x v="8"/>
    <x v="6"/>
    <d v="2023-04-08T00:00:00"/>
    <d v="2023-04-11T00:00:00"/>
    <n v="26.3"/>
    <n v="113.91"/>
    <s v="Delivered"/>
    <n v="790"/>
    <n v="3"/>
    <x v="0"/>
    <n v="0.14418987341772152"/>
    <s v="fast"/>
  </r>
  <r>
    <x v="1346"/>
    <x v="8"/>
    <x v="12"/>
    <x v="3"/>
    <d v="2023-07-21T00:00:00"/>
    <d v="2023-07-26T00:00:00"/>
    <n v="50.9"/>
    <n v="324.7"/>
    <s v="Delivered"/>
    <n v="2180"/>
    <n v="5"/>
    <x v="0"/>
    <n v="0.14894495412844036"/>
    <s v="slow"/>
  </r>
  <r>
    <x v="1347"/>
    <x v="6"/>
    <x v="0"/>
    <x v="0"/>
    <d v="2023-03-02T00:00:00"/>
    <d v="2023-03-07T00:00:00"/>
    <n v="47.2"/>
    <n v="231.01"/>
    <s v="Delivered"/>
    <n v="1362"/>
    <n v="5"/>
    <x v="0"/>
    <n v="0.1696108663729809"/>
    <s v="slow"/>
  </r>
  <r>
    <x v="1348"/>
    <x v="1"/>
    <x v="10"/>
    <x v="0"/>
    <d v="2023-01-09T00:00:00"/>
    <d v="2023-01-13T00:00:00"/>
    <n v="13"/>
    <n v="59.81"/>
    <s v="Delivered"/>
    <n v="373"/>
    <n v="4"/>
    <x v="0"/>
    <n v="0.16034852546916892"/>
    <s v="fast"/>
  </r>
  <r>
    <x v="1349"/>
    <x v="1"/>
    <x v="8"/>
    <x v="5"/>
    <d v="2023-11-22T00:00:00"/>
    <d v="2023-11-27T00:00:00"/>
    <n v="43.7"/>
    <n v="283.67"/>
    <s v="Delivered"/>
    <n v="1750"/>
    <n v="5"/>
    <x v="0"/>
    <n v="0.16209714285714286"/>
    <s v="slow"/>
  </r>
  <r>
    <x v="1350"/>
    <x v="1"/>
    <x v="14"/>
    <x v="1"/>
    <d v="2023-05-06T00:00:00"/>
    <d v="2023-05-09T00:00:00"/>
    <n v="4.0999999999999996"/>
    <n v="168.66"/>
    <s v="Delivered"/>
    <n v="1178"/>
    <n v="3"/>
    <x v="0"/>
    <n v="0.1431748726655348"/>
    <s v="fast"/>
  </r>
  <r>
    <x v="1351"/>
    <x v="3"/>
    <x v="7"/>
    <x v="1"/>
    <d v="2023-04-07T00:00:00"/>
    <d v="2023-04-23T00:00:00"/>
    <n v="22.1"/>
    <n v="381.8"/>
    <s v="Delayed"/>
    <n v="2348"/>
    <n v="7"/>
    <x v="1"/>
    <n v="0.16260647359454855"/>
    <s v="not applicabel"/>
  </r>
  <r>
    <x v="1352"/>
    <x v="2"/>
    <x v="13"/>
    <x v="6"/>
    <d v="2023-01-01T00:00:00"/>
    <d v="2023-01-06T00:00:00"/>
    <n v="10.7"/>
    <n v="246.62"/>
    <s v="In Transit"/>
    <n v="2185"/>
    <n v="5"/>
    <x v="0"/>
    <n v="0.1128695652173913"/>
    <s v="slow"/>
  </r>
  <r>
    <x v="1353"/>
    <x v="9"/>
    <x v="3"/>
    <x v="2"/>
    <d v="2023-02-20T00:00:00"/>
    <d v="2023-02-26T00:00:00"/>
    <n v="25.1"/>
    <n v="298.55"/>
    <s v="Delivered"/>
    <n v="2095"/>
    <n v="6"/>
    <x v="0"/>
    <n v="0.14250596658711218"/>
    <s v="slow"/>
  </r>
  <r>
    <x v="1354"/>
    <x v="6"/>
    <x v="3"/>
    <x v="2"/>
    <d v="2023-01-29T00:00:00"/>
    <d v="2023-01-30T00:00:00"/>
    <n v="24.3"/>
    <n v="115.18"/>
    <s v="Delivered"/>
    <n v="663"/>
    <n v="1"/>
    <x v="0"/>
    <n v="0.17372549019607844"/>
    <s v="fast"/>
  </r>
  <r>
    <x v="1355"/>
    <x v="0"/>
    <x v="14"/>
    <x v="6"/>
    <d v="2023-04-27T00:00:00"/>
    <d v="2023-05-02T00:00:00"/>
    <n v="8.6"/>
    <n v="232.52"/>
    <s v="Delivered"/>
    <n v="2054"/>
    <n v="5"/>
    <x v="0"/>
    <n v="0.11320350535540409"/>
    <s v="slow"/>
  </r>
  <r>
    <x v="1356"/>
    <x v="7"/>
    <x v="3"/>
    <x v="5"/>
    <d v="2023-12-07T00:00:00"/>
    <d v="2023-12-13T00:00:00"/>
    <n v="5.3"/>
    <n v="325.32"/>
    <s v="Delivered"/>
    <n v="2197"/>
    <n v="6"/>
    <x v="0"/>
    <n v="0.14807464724624489"/>
    <s v="slow"/>
  </r>
  <r>
    <x v="1357"/>
    <x v="5"/>
    <x v="12"/>
    <x v="5"/>
    <d v="2023-01-06T00:00:00"/>
    <d v="2023-01-12T00:00:00"/>
    <n v="5.7"/>
    <n v="29.11"/>
    <s v="Delivered"/>
    <n v="2368"/>
    <n v="6"/>
    <x v="0"/>
    <n v="1.2293074324324324E-2"/>
    <s v="slow"/>
  </r>
  <r>
    <x v="1358"/>
    <x v="2"/>
    <x v="8"/>
    <x v="6"/>
    <d v="2023-02-25T00:00:00"/>
    <d v="2023-03-03T00:00:00"/>
    <n v="29.3"/>
    <n v="277.17"/>
    <s v="Delivered"/>
    <n v="1989"/>
    <n v="6"/>
    <x v="0"/>
    <n v="0.13935143288084464"/>
    <s v="slow"/>
  </r>
  <r>
    <x v="1359"/>
    <x v="1"/>
    <x v="7"/>
    <x v="0"/>
    <d v="2023-10-10T00:00:00"/>
    <d v="2023-10-21T00:00:00"/>
    <n v="47.8"/>
    <n v="169.45"/>
    <s v="Delayed"/>
    <n v="845"/>
    <n v="5"/>
    <x v="1"/>
    <n v="0.20053254437869822"/>
    <s v="not applicabel"/>
  </r>
  <r>
    <x v="1360"/>
    <x v="3"/>
    <x v="10"/>
    <x v="2"/>
    <d v="2023-09-16T00:00:00"/>
    <d v="2023-09-30T00:00:00"/>
    <n v="21.2"/>
    <n v="45.18"/>
    <s v="Delayed"/>
    <n v="130"/>
    <n v="2"/>
    <x v="1"/>
    <n v="0.34753846153846152"/>
    <s v="not applicabel"/>
  </r>
  <r>
    <x v="1361"/>
    <x v="6"/>
    <x v="10"/>
    <x v="5"/>
    <d v="2023-06-20T00:00:00"/>
    <d v="2023-06-23T00:00:00"/>
    <n v="20"/>
    <n v="134.57"/>
    <s v="Lost"/>
    <n v="1020"/>
    <n v="3"/>
    <x v="2"/>
    <n v="0.1319313725490196"/>
    <s v="not applicabel"/>
  </r>
  <r>
    <x v="1362"/>
    <x v="7"/>
    <x v="6"/>
    <x v="6"/>
    <d v="2023-04-02T00:00:00"/>
    <d v="2023-04-07T00:00:00"/>
    <n v="8.4"/>
    <n v="83.54"/>
    <s v="Delivered"/>
    <n v="598"/>
    <n v="5"/>
    <x v="0"/>
    <n v="0.13969899665551841"/>
    <s v="slow"/>
  </r>
  <r>
    <x v="1363"/>
    <x v="1"/>
    <x v="8"/>
    <x v="1"/>
    <d v="2023-05-07T00:00:00"/>
    <d v="2023-05-15T00:00:00"/>
    <n v="18.7"/>
    <n v="286.31"/>
    <s v="Delayed"/>
    <n v="1743"/>
    <n v="5"/>
    <x v="1"/>
    <n v="0.16426276534710268"/>
    <s v="not applicabel"/>
  </r>
  <r>
    <x v="1364"/>
    <x v="3"/>
    <x v="1"/>
    <x v="1"/>
    <d v="2023-10-04T00:00:00"/>
    <d v="2023-10-08T00:00:00"/>
    <n v="35.299999999999997"/>
    <n v="316.54000000000002"/>
    <s v="Delivered"/>
    <n v="1866"/>
    <n v="4"/>
    <x v="0"/>
    <n v="0.16963558413719187"/>
    <s v="fast"/>
  </r>
  <r>
    <x v="1365"/>
    <x v="7"/>
    <x v="13"/>
    <x v="4"/>
    <d v="2023-12-27T00:00:00"/>
    <d v="2023-12-31T00:00:00"/>
    <n v="12.7"/>
    <n v="208.88"/>
    <s v="Delivered"/>
    <n v="1413"/>
    <n v="4"/>
    <x v="0"/>
    <n v="0.14782731776362348"/>
    <s v="fast"/>
  </r>
  <r>
    <x v="1366"/>
    <x v="0"/>
    <x v="0"/>
    <x v="5"/>
    <d v="2023-10-23T00:00:00"/>
    <d v="2023-10-25T00:00:00"/>
    <n v="28"/>
    <n v="146.54"/>
    <s v="Delivered"/>
    <n v="956"/>
    <n v="2"/>
    <x v="0"/>
    <n v="0.15328451882845187"/>
    <s v="fast"/>
  </r>
  <r>
    <x v="1367"/>
    <x v="9"/>
    <x v="5"/>
    <x v="3"/>
    <d v="2023-10-20T00:00:00"/>
    <d v="2023-10-24T00:00:00"/>
    <n v="12"/>
    <n v="210.09"/>
    <s v="Delivered"/>
    <n v="1580"/>
    <n v="4"/>
    <x v="0"/>
    <n v="0.13296835443037974"/>
    <s v="fast"/>
  </r>
  <r>
    <x v="1368"/>
    <x v="8"/>
    <x v="12"/>
    <x v="6"/>
    <d v="2023-09-03T00:00:00"/>
    <d v="2023-09-07T00:00:00"/>
    <n v="15.1"/>
    <n v="152.29"/>
    <s v="Delivered"/>
    <n v="1216"/>
    <n v="4"/>
    <x v="0"/>
    <n v="0.12523848684210526"/>
    <s v="fast"/>
  </r>
  <r>
    <x v="1369"/>
    <x v="2"/>
    <x v="4"/>
    <x v="3"/>
    <d v="2023-03-08T00:00:00"/>
    <d v="2023-03-14T00:00:00"/>
    <n v="28.6"/>
    <n v="328.6"/>
    <s v="Delivered"/>
    <n v="2066"/>
    <n v="6"/>
    <x v="0"/>
    <n v="0.15905130687318492"/>
    <s v="slow"/>
  </r>
  <r>
    <x v="1370"/>
    <x v="8"/>
    <x v="13"/>
    <x v="2"/>
    <d v="2023-12-09T00:00:00"/>
    <d v="2023-12-12T00:00:00"/>
    <n v="40.9"/>
    <n v="186.93"/>
    <s v="Lost"/>
    <n v="855"/>
    <n v="3"/>
    <x v="2"/>
    <n v="0.21863157894736843"/>
    <s v="not applicabel"/>
  </r>
  <r>
    <x v="1371"/>
    <x v="0"/>
    <x v="7"/>
    <x v="6"/>
    <d v="2023-07-22T00:00:00"/>
    <d v="2023-07-25T00:00:00"/>
    <n v="20.7"/>
    <n v="57.14"/>
    <s v="Delivered"/>
    <n v="298"/>
    <n v="3"/>
    <x v="0"/>
    <n v="0.19174496644295302"/>
    <s v="fast"/>
  </r>
  <r>
    <x v="1372"/>
    <x v="0"/>
    <x v="2"/>
    <x v="6"/>
    <d v="2023-09-14T00:00:00"/>
    <d v="2023-09-24T00:00:00"/>
    <n v="67.2"/>
    <n v="359.97"/>
    <s v="Lost"/>
    <n v="2311"/>
    <n v="10"/>
    <x v="2"/>
    <n v="0.15576373864128085"/>
    <s v="not applicabel"/>
  </r>
  <r>
    <x v="1373"/>
    <x v="4"/>
    <x v="10"/>
    <x v="3"/>
    <d v="2023-11-14T00:00:00"/>
    <d v="2023-11-17T00:00:00"/>
    <n v="35.200000000000003"/>
    <n v="87.57"/>
    <s v="Delivered"/>
    <n v="214"/>
    <n v="3"/>
    <x v="0"/>
    <n v="0.40920560747663548"/>
    <s v="fast"/>
  </r>
  <r>
    <x v="1374"/>
    <x v="0"/>
    <x v="9"/>
    <x v="6"/>
    <d v="2023-01-23T00:00:00"/>
    <d v="2023-02-07T00:00:00"/>
    <n v="14.9"/>
    <n v="220.29"/>
    <s v="Delayed"/>
    <n v="1859"/>
    <n v="5"/>
    <x v="1"/>
    <n v="0.11849919311457772"/>
    <s v="not applicabel"/>
  </r>
  <r>
    <x v="1375"/>
    <x v="5"/>
    <x v="1"/>
    <x v="6"/>
    <d v="2023-05-04T00:00:00"/>
    <d v="2023-05-15T00:00:00"/>
    <n v="8.6"/>
    <n v="258.77999999999997"/>
    <s v="Delayed"/>
    <n v="2199"/>
    <n v="5"/>
    <x v="1"/>
    <n v="0.11768076398362891"/>
    <s v="not applicabel"/>
  </r>
  <r>
    <x v="1376"/>
    <x v="0"/>
    <x v="7"/>
    <x v="4"/>
    <d v="2023-03-08T00:00:00"/>
    <d v="2023-03-13T00:00:00"/>
    <n v="40.799999999999997"/>
    <n v="314.97000000000003"/>
    <s v="Delivered"/>
    <n v="2330"/>
    <n v="5"/>
    <x v="0"/>
    <n v="0.13518025751072962"/>
    <s v="slow"/>
  </r>
  <r>
    <x v="1377"/>
    <x v="4"/>
    <x v="9"/>
    <x v="3"/>
    <d v="2023-12-29T00:00:00"/>
    <d v="2024-01-01T00:00:00"/>
    <n v="26.8"/>
    <n v="120.06"/>
    <s v="Delivered"/>
    <n v="505"/>
    <n v="3"/>
    <x v="0"/>
    <n v="0.23774257425742576"/>
    <s v="fast"/>
  </r>
  <r>
    <x v="1378"/>
    <x v="0"/>
    <x v="9"/>
    <x v="2"/>
    <d v="2023-08-16T00:00:00"/>
    <d v="2023-08-21T00:00:00"/>
    <n v="12"/>
    <n v="190.22"/>
    <s v="Returned"/>
    <n v="1617"/>
    <n v="5"/>
    <x v="3"/>
    <n v="0.11763760049474335"/>
    <s v="not applicabel"/>
  </r>
  <r>
    <x v="1379"/>
    <x v="9"/>
    <x v="5"/>
    <x v="0"/>
    <d v="2023-09-26T00:00:00"/>
    <d v="2023-09-30T00:00:00"/>
    <n v="54.5"/>
    <n v="215.64"/>
    <s v="Delivered"/>
    <n v="1270"/>
    <n v="4"/>
    <x v="0"/>
    <n v="0.16979527559055116"/>
    <s v="fast"/>
  </r>
  <r>
    <x v="1380"/>
    <x v="9"/>
    <x v="1"/>
    <x v="4"/>
    <d v="2023-04-03T00:00:00"/>
    <d v="2023-04-07T00:00:00"/>
    <n v="43.5"/>
    <n v="288.61"/>
    <s v="Delivered"/>
    <n v="2007"/>
    <n v="4"/>
    <x v="0"/>
    <n v="0.14380169407075238"/>
    <s v="fast"/>
  </r>
  <r>
    <x v="1381"/>
    <x v="5"/>
    <x v="14"/>
    <x v="6"/>
    <d v="2023-11-17T00:00:00"/>
    <d v="2023-11-21T00:00:00"/>
    <n v="12.5"/>
    <n v="159.22999999999999"/>
    <s v="Delivered"/>
    <n v="1000"/>
    <n v="4"/>
    <x v="0"/>
    <n v="0.15922999999999998"/>
    <s v="fast"/>
  </r>
  <r>
    <x v="1382"/>
    <x v="1"/>
    <x v="5"/>
    <x v="6"/>
    <d v="2023-07-25T00:00:00"/>
    <d v="2023-08-03T00:00:00"/>
    <n v="4.3"/>
    <n v="17.89"/>
    <s v="Delayed"/>
    <n v="105"/>
    <n v="4"/>
    <x v="1"/>
    <n v="0.17038095238095238"/>
    <s v="not applicabel"/>
  </r>
  <r>
    <x v="1383"/>
    <x v="2"/>
    <x v="13"/>
    <x v="4"/>
    <d v="2023-04-30T00:00:00"/>
    <d v="2023-05-04T00:00:00"/>
    <n v="41.2"/>
    <n v="137.96"/>
    <s v="Delivered"/>
    <n v="813"/>
    <n v="4"/>
    <x v="0"/>
    <n v="0.16969249692496927"/>
    <s v="fast"/>
  </r>
  <r>
    <x v="1384"/>
    <x v="2"/>
    <x v="8"/>
    <x v="5"/>
    <d v="2023-03-08T00:00:00"/>
    <d v="2023-03-14T00:00:00"/>
    <n v="18.3"/>
    <n v="232.16"/>
    <s v="Delivered"/>
    <n v="1746"/>
    <n v="6"/>
    <x v="0"/>
    <n v="0.13296678121420388"/>
    <s v="slow"/>
  </r>
  <r>
    <x v="1385"/>
    <x v="3"/>
    <x v="1"/>
    <x v="2"/>
    <d v="2023-02-09T00:00:00"/>
    <d v="2023-02-14T00:00:00"/>
    <n v="25.8"/>
    <n v="276.98"/>
    <s v="Delivered"/>
    <n v="1911"/>
    <n v="5"/>
    <x v="0"/>
    <n v="0.14493982208267925"/>
    <s v="slow"/>
  </r>
  <r>
    <x v="1386"/>
    <x v="7"/>
    <x v="14"/>
    <x v="5"/>
    <d v="2023-05-21T00:00:00"/>
    <d v="2023-05-27T00:00:00"/>
    <n v="6.5"/>
    <n v="206.26"/>
    <s v="Delivered"/>
    <n v="1816"/>
    <n v="6"/>
    <x v="0"/>
    <n v="0.11357929515418502"/>
    <s v="slow"/>
  </r>
  <r>
    <x v="1387"/>
    <x v="7"/>
    <x v="9"/>
    <x v="2"/>
    <d v="2023-08-31T00:00:00"/>
    <d v="2023-09-16T00:00:00"/>
    <n v="15.5"/>
    <n v="191.24"/>
    <s v="Delayed"/>
    <n v="1482"/>
    <n v="4"/>
    <x v="1"/>
    <n v="0.12904183535762484"/>
    <s v="not applicabel"/>
  </r>
  <r>
    <x v="1388"/>
    <x v="9"/>
    <x v="10"/>
    <x v="1"/>
    <d v="2023-06-02T00:00:00"/>
    <d v="2023-06-04T00:00:00"/>
    <n v="23.6"/>
    <n v="159.12"/>
    <s v="Delivered"/>
    <n v="998"/>
    <n v="2"/>
    <x v="0"/>
    <n v="0.15943887775551102"/>
    <s v="fast"/>
  </r>
  <r>
    <x v="1389"/>
    <x v="6"/>
    <x v="9"/>
    <x v="3"/>
    <d v="2023-05-03T00:00:00"/>
    <d v="2023-05-05T00:00:00"/>
    <n v="27.1"/>
    <n v="105.17"/>
    <s v="Delivered"/>
    <n v="470"/>
    <n v="2"/>
    <x v="0"/>
    <n v="0.22376595744680852"/>
    <s v="fast"/>
  </r>
  <r>
    <x v="1390"/>
    <x v="3"/>
    <x v="11"/>
    <x v="0"/>
    <d v="2023-09-28T00:00:00"/>
    <d v="2023-10-03T00:00:00"/>
    <n v="19.7"/>
    <n v="305.45"/>
    <s v="Delivered"/>
    <n v="2455"/>
    <n v="5"/>
    <x v="0"/>
    <n v="0.12441955193482689"/>
    <s v="slow"/>
  </r>
  <r>
    <x v="1391"/>
    <x v="2"/>
    <x v="1"/>
    <x v="5"/>
    <d v="2023-02-08T00:00:00"/>
    <d v="2023-02-11T00:00:00"/>
    <n v="31.2"/>
    <n v="114.2"/>
    <s v="Delivered"/>
    <n v="559"/>
    <n v="3"/>
    <x v="0"/>
    <n v="0.20429338103756708"/>
    <s v="fast"/>
  </r>
  <r>
    <x v="1392"/>
    <x v="2"/>
    <x v="10"/>
    <x v="2"/>
    <d v="2023-06-01T00:00:00"/>
    <d v="2023-06-07T00:00:00"/>
    <n v="14.8"/>
    <n v="319.39"/>
    <s v="Delivered"/>
    <n v="2384"/>
    <n v="6"/>
    <x v="0"/>
    <n v="0.13397231543624161"/>
    <s v="slow"/>
  </r>
  <r>
    <x v="1393"/>
    <x v="1"/>
    <x v="4"/>
    <x v="2"/>
    <d v="2023-12-31T00:00:00"/>
    <d v="2024-01-03T00:00:00"/>
    <n v="88"/>
    <n v="322.10000000000002"/>
    <s v="Delivered"/>
    <n v="1435"/>
    <n v="3"/>
    <x v="0"/>
    <n v="0.22445993031358888"/>
    <s v="fast"/>
  </r>
  <r>
    <x v="1394"/>
    <x v="0"/>
    <x v="9"/>
    <x v="3"/>
    <d v="2023-11-26T00:00:00"/>
    <d v="2023-12-16T00:00:00"/>
    <n v="17.899999999999999"/>
    <n v="247.56"/>
    <s v="Delayed"/>
    <n v="1525"/>
    <n v="10"/>
    <x v="1"/>
    <n v="0.16233442622950819"/>
    <s v="not applicabel"/>
  </r>
  <r>
    <x v="1395"/>
    <x v="9"/>
    <x v="8"/>
    <x v="5"/>
    <d v="2023-01-25T00:00:00"/>
    <d v="2023-01-29T00:00:00"/>
    <n v="11"/>
    <n v="98.73"/>
    <s v="Delivered"/>
    <n v="698"/>
    <n v="4"/>
    <x v="0"/>
    <n v="0.14144699140401146"/>
    <s v="fast"/>
  </r>
  <r>
    <x v="1396"/>
    <x v="2"/>
    <x v="14"/>
    <x v="4"/>
    <d v="2023-09-29T00:00:00"/>
    <d v="2023-10-08T00:00:00"/>
    <n v="16.3"/>
    <n v="247.24"/>
    <s v="Delayed"/>
    <n v="1920"/>
    <n v="8"/>
    <x v="1"/>
    <n v="0.12877083333333333"/>
    <s v="not applicabel"/>
  </r>
  <r>
    <x v="1397"/>
    <x v="2"/>
    <x v="6"/>
    <x v="5"/>
    <d v="2023-11-09T00:00:00"/>
    <d v="2023-11-12T00:00:00"/>
    <n v="32.700000000000003"/>
    <n v="180.59"/>
    <s v="Delivered"/>
    <n v="958"/>
    <n v="3"/>
    <x v="0"/>
    <n v="0.18850730688935283"/>
    <s v="fast"/>
  </r>
  <r>
    <x v="1398"/>
    <x v="6"/>
    <x v="7"/>
    <x v="2"/>
    <d v="2023-10-18T00:00:00"/>
    <d v="2023-10-22T00:00:00"/>
    <n v="16.3"/>
    <n v="248.97"/>
    <s v="Delivered"/>
    <n v="2057"/>
    <n v="4"/>
    <x v="0"/>
    <n v="0.12103548857559553"/>
    <s v="fast"/>
  </r>
  <r>
    <x v="1399"/>
    <x v="9"/>
    <x v="0"/>
    <x v="0"/>
    <d v="2023-01-04T00:00:00"/>
    <d v="2023-01-07T00:00:00"/>
    <n v="10.5"/>
    <n v="161.38"/>
    <s v="Delivered"/>
    <n v="1148"/>
    <n v="3"/>
    <x v="0"/>
    <n v="0.14057491289198606"/>
    <s v="fast"/>
  </r>
  <r>
    <x v="1400"/>
    <x v="2"/>
    <x v="9"/>
    <x v="1"/>
    <d v="2023-07-21T00:00:00"/>
    <d v="2023-07-28T00:00:00"/>
    <n v="26.5"/>
    <n v="373.28"/>
    <s v="Delivered"/>
    <n v="2221"/>
    <n v="7"/>
    <x v="0"/>
    <n v="0.16806843764070237"/>
    <s v="slow"/>
  </r>
  <r>
    <x v="1401"/>
    <x v="6"/>
    <x v="10"/>
    <x v="3"/>
    <d v="2023-07-02T00:00:00"/>
    <d v="2023-07-08T00:00:00"/>
    <n v="17.2"/>
    <n v="331.37"/>
    <s v="Delivered"/>
    <n v="2287"/>
    <n v="6"/>
    <x v="0"/>
    <n v="0.14489287275907303"/>
    <s v="slow"/>
  </r>
  <r>
    <x v="1402"/>
    <x v="0"/>
    <x v="3"/>
    <x v="1"/>
    <d v="2023-08-19T00:00:00"/>
    <d v="2023-08-23T00:00:00"/>
    <n v="24.1"/>
    <n v="256.70999999999998"/>
    <s v="Delivered"/>
    <n v="1807"/>
    <n v="4"/>
    <x v="0"/>
    <n v="0.14206419479800775"/>
    <s v="fast"/>
  </r>
  <r>
    <x v="1403"/>
    <x v="2"/>
    <x v="5"/>
    <x v="5"/>
    <d v="2023-06-09T00:00:00"/>
    <d v="2023-06-15T00:00:00"/>
    <n v="38.799999999999997"/>
    <n v="361.92"/>
    <s v="Delivered"/>
    <n v="2362"/>
    <n v="6"/>
    <x v="0"/>
    <n v="0.1532260795935648"/>
    <s v="slow"/>
  </r>
  <r>
    <x v="1404"/>
    <x v="1"/>
    <x v="10"/>
    <x v="4"/>
    <d v="2023-02-20T00:00:00"/>
    <d v="2023-02-22T00:00:00"/>
    <n v="12.9"/>
    <n v="61"/>
    <s v="Delivered"/>
    <n v="373"/>
    <n v="2"/>
    <x v="0"/>
    <n v="0.16353887399463807"/>
    <s v="fast"/>
  </r>
  <r>
    <x v="1405"/>
    <x v="7"/>
    <x v="10"/>
    <x v="4"/>
    <d v="2023-05-19T00:00:00"/>
    <d v="2023-05-21T00:00:00"/>
    <n v="20.3"/>
    <n v="86.78"/>
    <s v="Delivered"/>
    <n v="544"/>
    <n v="2"/>
    <x v="0"/>
    <n v="0.15952205882352941"/>
    <s v="fast"/>
  </r>
  <r>
    <x v="1406"/>
    <x v="5"/>
    <x v="11"/>
    <x v="2"/>
    <d v="2023-08-14T00:00:00"/>
    <d v="2023-08-18T00:00:00"/>
    <n v="39.9"/>
    <n v="220.09"/>
    <s v="Delivered"/>
    <n v="1350"/>
    <n v="4"/>
    <x v="0"/>
    <n v="0.16302962962962964"/>
    <s v="fast"/>
  </r>
  <r>
    <x v="1407"/>
    <x v="5"/>
    <x v="13"/>
    <x v="4"/>
    <d v="2023-10-15T00:00:00"/>
    <d v="2023-10-19T00:00:00"/>
    <n v="22"/>
    <n v="86.67"/>
    <s v="Delivered"/>
    <n v="544"/>
    <n v="4"/>
    <x v="0"/>
    <n v="0.15931985294117648"/>
    <s v="fast"/>
  </r>
  <r>
    <x v="1408"/>
    <x v="9"/>
    <x v="13"/>
    <x v="4"/>
    <d v="2023-08-01T00:00:00"/>
    <d v="2023-08-03T00:00:00"/>
    <n v="20.8"/>
    <n v="99.54"/>
    <s v="Delivered"/>
    <n v="637"/>
    <n v="2"/>
    <x v="0"/>
    <n v="0.15626373626373627"/>
    <s v="fast"/>
  </r>
  <r>
    <x v="1409"/>
    <x v="4"/>
    <x v="12"/>
    <x v="5"/>
    <d v="2023-01-22T00:00:00"/>
    <d v="2023-01-24T00:00:00"/>
    <n v="5.5"/>
    <n v="70.39"/>
    <s v="Delivered"/>
    <n v="507"/>
    <n v="2"/>
    <x v="0"/>
    <n v="0.138836291913215"/>
    <s v="fast"/>
  </r>
  <r>
    <x v="1410"/>
    <x v="9"/>
    <x v="1"/>
    <x v="0"/>
    <d v="2023-07-03T00:00:00"/>
    <d v="2023-07-10T00:00:00"/>
    <n v="14"/>
    <n v="260.56"/>
    <s v="Delivered"/>
    <n v="2009"/>
    <n v="7"/>
    <x v="0"/>
    <n v="0.12969636635141862"/>
    <s v="slow"/>
  </r>
  <r>
    <x v="1411"/>
    <x v="9"/>
    <x v="5"/>
    <x v="5"/>
    <d v="2023-06-25T00:00:00"/>
    <d v="2023-07-05T00:00:00"/>
    <n v="12"/>
    <n v="113.5"/>
    <s v="Delayed"/>
    <n v="852"/>
    <n v="3"/>
    <x v="1"/>
    <n v="0.13321596244131456"/>
    <s v="not applicabel"/>
  </r>
  <r>
    <x v="1412"/>
    <x v="4"/>
    <x v="5"/>
    <x v="1"/>
    <d v="2023-04-16T00:00:00"/>
    <d v="2023-04-22T00:00:00"/>
    <n v="24.9"/>
    <n v="297.44"/>
    <s v="Delivered"/>
    <n v="2010"/>
    <n v="6"/>
    <x v="0"/>
    <n v="0.14798009950248756"/>
    <s v="slow"/>
  </r>
  <r>
    <x v="1413"/>
    <x v="5"/>
    <x v="8"/>
    <x v="1"/>
    <d v="2023-04-28T00:00:00"/>
    <d v="2023-04-30T00:00:00"/>
    <n v="5.8"/>
    <n v="71.349999999999994"/>
    <s v="Delivered"/>
    <n v="487"/>
    <n v="2"/>
    <x v="0"/>
    <n v="0.14650924024640655"/>
    <s v="fast"/>
  </r>
  <r>
    <x v="1414"/>
    <x v="0"/>
    <x v="6"/>
    <x v="3"/>
    <d v="2023-06-19T00:00:00"/>
    <d v="2023-06-23T00:00:00"/>
    <n v="20.399999999999999"/>
    <n v="211.34"/>
    <s v="Delivered"/>
    <n v="1369"/>
    <n v="4"/>
    <x v="0"/>
    <n v="0.15437545653761869"/>
    <s v="fast"/>
  </r>
  <r>
    <x v="1415"/>
    <x v="3"/>
    <x v="8"/>
    <x v="1"/>
    <d v="2023-11-30T00:00:00"/>
    <d v="2023-12-07T00:00:00"/>
    <n v="38"/>
    <n v="286.58"/>
    <s v="Delivered"/>
    <n v="1542"/>
    <n v="7"/>
    <x v="0"/>
    <n v="0.18584954604409856"/>
    <s v="slow"/>
  </r>
  <r>
    <x v="1416"/>
    <x v="6"/>
    <x v="6"/>
    <x v="1"/>
    <d v="2023-11-28T00:00:00"/>
    <d v="2023-12-04T00:00:00"/>
    <n v="18.7"/>
    <n v="326.89999999999998"/>
    <s v="Delivered"/>
    <n v="1838"/>
    <n v="6"/>
    <x v="0"/>
    <n v="0.17785636561479867"/>
    <s v="slow"/>
  </r>
  <r>
    <x v="1417"/>
    <x v="1"/>
    <x v="14"/>
    <x v="2"/>
    <d v="2023-03-28T00:00:00"/>
    <d v="2023-03-31T00:00:00"/>
    <n v="13.7"/>
    <n v="175.73"/>
    <s v="Delivered"/>
    <n v="1364"/>
    <n v="3"/>
    <x v="0"/>
    <n v="0.12883431085043986"/>
    <s v="fast"/>
  </r>
  <r>
    <x v="1418"/>
    <x v="7"/>
    <x v="1"/>
    <x v="1"/>
    <d v="2023-03-26T00:00:00"/>
    <d v="2023-03-29T00:00:00"/>
    <n v="38.700000000000003"/>
    <n v="77.84"/>
    <s v="Delivered"/>
    <n v="173"/>
    <n v="3"/>
    <x v="0"/>
    <n v="0.4499421965317919"/>
    <s v="fast"/>
  </r>
  <r>
    <x v="1419"/>
    <x v="8"/>
    <x v="11"/>
    <x v="1"/>
    <d v="2023-10-14T00:00:00"/>
    <d v="2023-10-20T00:00:00"/>
    <n v="23.4"/>
    <n v="356.56"/>
    <s v="Delivered"/>
    <n v="2343"/>
    <n v="6"/>
    <x v="0"/>
    <n v="0.15218096457533078"/>
    <s v="slow"/>
  </r>
  <r>
    <x v="1420"/>
    <x v="4"/>
    <x v="7"/>
    <x v="1"/>
    <d v="2023-11-24T00:00:00"/>
    <d v="2023-11-26T00:00:00"/>
    <n v="11.1"/>
    <n v="109.93"/>
    <s v="Delivered"/>
    <n v="505"/>
    <n v="2"/>
    <x v="0"/>
    <n v="0.21768316831683171"/>
    <s v="fast"/>
  </r>
  <r>
    <x v="1421"/>
    <x v="7"/>
    <x v="12"/>
    <x v="5"/>
    <d v="2023-10-08T00:00:00"/>
    <d v="2023-10-09T00:00:00"/>
    <n v="30.6"/>
    <n v="62.81"/>
    <s v="Delivered"/>
    <n v="206"/>
    <n v="1"/>
    <x v="0"/>
    <n v="0.30490291262135921"/>
    <s v="fast"/>
  </r>
  <r>
    <x v="1422"/>
    <x v="7"/>
    <x v="5"/>
    <x v="1"/>
    <d v="2023-12-20T00:00:00"/>
    <d v="2023-12-26T00:00:00"/>
    <n v="6.6"/>
    <n v="289.77"/>
    <s v="Delivered"/>
    <n v="1656"/>
    <n v="6"/>
    <x v="0"/>
    <n v="0.17498188405797099"/>
    <s v="slow"/>
  </r>
  <r>
    <x v="1423"/>
    <x v="6"/>
    <x v="0"/>
    <x v="6"/>
    <d v="2023-01-29T00:00:00"/>
    <d v="2023-01-31T00:00:00"/>
    <n v="13.2"/>
    <n v="57.43"/>
    <s v="Delivered"/>
    <n v="377"/>
    <n v="2"/>
    <x v="0"/>
    <n v="0.15233421750663129"/>
    <s v="fast"/>
  </r>
  <r>
    <x v="1424"/>
    <x v="3"/>
    <x v="4"/>
    <x v="2"/>
    <d v="2023-09-01T00:00:00"/>
    <d v="2023-09-06T00:00:00"/>
    <n v="34"/>
    <n v="255.91"/>
    <s v="Delivered"/>
    <n v="1631"/>
    <n v="5"/>
    <x v="0"/>
    <n v="0.15690374003678725"/>
    <s v="slow"/>
  </r>
  <r>
    <x v="1425"/>
    <x v="4"/>
    <x v="14"/>
    <x v="3"/>
    <d v="2023-10-17T00:00:00"/>
    <d v="2023-10-19T00:00:00"/>
    <n v="11"/>
    <n v="68.25"/>
    <s v="Returned"/>
    <n v="403"/>
    <n v="2"/>
    <x v="3"/>
    <n v="0.16935483870967741"/>
    <s v="not applicabel"/>
  </r>
  <r>
    <x v="1426"/>
    <x v="4"/>
    <x v="0"/>
    <x v="0"/>
    <d v="2023-08-10T00:00:00"/>
    <d v="2023-08-14T00:00:00"/>
    <n v="4.9000000000000004"/>
    <m/>
    <s v="Delivered"/>
    <n v="1591"/>
    <n v="4"/>
    <x v="0"/>
    <n v="0"/>
    <s v="fast"/>
  </r>
  <r>
    <x v="1427"/>
    <x v="5"/>
    <x v="1"/>
    <x v="1"/>
    <d v="2023-01-21T00:00:00"/>
    <d v="2023-01-24T00:00:00"/>
    <n v="19.8"/>
    <n v="117.68"/>
    <s v="Delivered"/>
    <n v="611"/>
    <n v="3"/>
    <x v="0"/>
    <n v="0.19260229132569559"/>
    <s v="fast"/>
  </r>
  <r>
    <x v="1428"/>
    <x v="5"/>
    <x v="3"/>
    <x v="0"/>
    <d v="2023-06-05T00:00:00"/>
    <m/>
    <n v="17.7"/>
    <n v="258.44"/>
    <s v="Delivered"/>
    <n v="1911"/>
    <n v="9"/>
    <x v="4"/>
    <n v="0.13523809523809524"/>
    <s v="not applicabel"/>
  </r>
  <r>
    <x v="1429"/>
    <x v="3"/>
    <x v="8"/>
    <x v="5"/>
    <d v="2023-03-20T00:00:00"/>
    <d v="2023-03-24T00:00:00"/>
    <n v="42.4"/>
    <n v="171.56"/>
    <s v="Delivered"/>
    <n v="1111"/>
    <n v="4"/>
    <x v="0"/>
    <n v="0.15441944194419441"/>
    <s v="fast"/>
  </r>
  <r>
    <x v="1430"/>
    <x v="5"/>
    <x v="3"/>
    <x v="5"/>
    <d v="2023-07-29T00:00:00"/>
    <d v="2023-08-01T00:00:00"/>
    <n v="14.5"/>
    <n v="160.16999999999999"/>
    <s v="Delivered"/>
    <n v="1162"/>
    <n v="3"/>
    <x v="0"/>
    <n v="0.13783993115318416"/>
    <s v="fast"/>
  </r>
  <r>
    <x v="1431"/>
    <x v="1"/>
    <x v="2"/>
    <x v="2"/>
    <d v="2023-05-25T00:00:00"/>
    <d v="2023-05-26T00:00:00"/>
    <n v="30.6"/>
    <n v="48.89"/>
    <s v="Delivered"/>
    <n v="146"/>
    <n v="1"/>
    <x v="0"/>
    <n v="0.33486301369863014"/>
    <s v="fast"/>
  </r>
  <r>
    <x v="1432"/>
    <x v="6"/>
    <x v="2"/>
    <x v="5"/>
    <d v="2023-08-05T00:00:00"/>
    <d v="2023-08-09T00:00:00"/>
    <n v="11.3"/>
    <n v="181.83"/>
    <s v="In Transit"/>
    <n v="1541"/>
    <n v="4"/>
    <x v="0"/>
    <n v="0.11799480856586633"/>
    <s v="fast"/>
  </r>
  <r>
    <x v="1433"/>
    <x v="5"/>
    <x v="1"/>
    <x v="5"/>
    <d v="2023-02-14T00:00:00"/>
    <d v="2023-02-18T00:00:00"/>
    <n v="12.1"/>
    <n v="228.01"/>
    <s v="Returned"/>
    <n v="1865"/>
    <n v="4"/>
    <x v="3"/>
    <n v="0.1222573726541555"/>
    <s v="not applicabel"/>
  </r>
  <r>
    <x v="1434"/>
    <x v="9"/>
    <x v="13"/>
    <x v="2"/>
    <d v="2023-04-19T00:00:00"/>
    <d v="2023-05-04T00:00:00"/>
    <n v="10.199999999999999"/>
    <n v="201.85"/>
    <s v="Delayed"/>
    <n v="1659"/>
    <n v="5"/>
    <x v="1"/>
    <n v="0.12166968053044003"/>
    <s v="not applicabel"/>
  </r>
  <r>
    <x v="1435"/>
    <x v="9"/>
    <x v="9"/>
    <x v="1"/>
    <d v="2023-04-18T00:00:00"/>
    <d v="2023-04-22T00:00:00"/>
    <n v="10.4"/>
    <n v="266.13"/>
    <s v="Delivered"/>
    <n v="1924"/>
    <n v="4"/>
    <x v="0"/>
    <n v="0.13832120582120583"/>
    <s v="fast"/>
  </r>
  <r>
    <x v="1436"/>
    <x v="2"/>
    <x v="12"/>
    <x v="1"/>
    <d v="2023-02-18T00:00:00"/>
    <d v="2023-02-28T00:00:00"/>
    <n v="19.100000000000001"/>
    <n v="70.45"/>
    <s v="Delayed"/>
    <n v="302"/>
    <n v="2"/>
    <x v="1"/>
    <n v="0.23327814569536426"/>
    <s v="not applicabel"/>
  </r>
  <r>
    <x v="1437"/>
    <x v="2"/>
    <x v="9"/>
    <x v="6"/>
    <d v="2023-01-05T00:00:00"/>
    <d v="2023-01-09T00:00:00"/>
    <n v="111"/>
    <n v="301.2"/>
    <s v="Delivered"/>
    <n v="1782"/>
    <n v="4"/>
    <x v="0"/>
    <n v="0.16902356902356902"/>
    <s v="fast"/>
  </r>
  <r>
    <x v="1438"/>
    <x v="6"/>
    <x v="0"/>
    <x v="4"/>
    <d v="2023-05-19T00:00:00"/>
    <d v="2023-05-22T00:00:00"/>
    <n v="47.3"/>
    <n v="144.28"/>
    <s v="Lost"/>
    <n v="854"/>
    <n v="3"/>
    <x v="2"/>
    <n v="0.16894613583138174"/>
    <s v="not applicabel"/>
  </r>
  <r>
    <x v="1439"/>
    <x v="5"/>
    <x v="6"/>
    <x v="5"/>
    <d v="2023-01-11T00:00:00"/>
    <d v="2023-01-17T00:00:00"/>
    <n v="24.2"/>
    <n v="314.11"/>
    <s v="Delivered"/>
    <n v="2469"/>
    <n v="6"/>
    <x v="0"/>
    <n v="0.12722154718509518"/>
    <s v="slow"/>
  </r>
  <r>
    <x v="1440"/>
    <x v="7"/>
    <x v="4"/>
    <x v="0"/>
    <d v="2023-01-28T00:00:00"/>
    <d v="2023-01-29T00:00:00"/>
    <n v="7.7"/>
    <n v="30.59"/>
    <s v="In Transit"/>
    <n v="166"/>
    <n v="1"/>
    <x v="0"/>
    <n v="0.18427710843373493"/>
    <s v="fast"/>
  </r>
  <r>
    <x v="1441"/>
    <x v="5"/>
    <x v="0"/>
    <x v="4"/>
    <d v="2023-10-20T00:00:00"/>
    <d v="2023-10-25T00:00:00"/>
    <n v="67.2"/>
    <n v="183.1"/>
    <s v="Delivered"/>
    <n v="794"/>
    <n v="5"/>
    <x v="0"/>
    <n v="0.23060453400503778"/>
    <s v="slow"/>
  </r>
  <r>
    <x v="1442"/>
    <x v="6"/>
    <x v="6"/>
    <x v="3"/>
    <d v="2023-03-08T00:00:00"/>
    <d v="2023-03-09T00:00:00"/>
    <n v="5.8"/>
    <n v="83.76"/>
    <s v="Lost"/>
    <n v="528"/>
    <n v="1"/>
    <x v="2"/>
    <n v="0.15863636363636366"/>
    <s v="not applicabel"/>
  </r>
  <r>
    <x v="1443"/>
    <x v="3"/>
    <x v="12"/>
    <x v="6"/>
    <d v="2023-04-17T00:00:00"/>
    <d v="2023-04-23T00:00:00"/>
    <n v="11.5"/>
    <n v="219.67"/>
    <s v="Delivered"/>
    <n v="1908"/>
    <n v="6"/>
    <x v="0"/>
    <n v="0.11513102725366876"/>
    <s v="slow"/>
  </r>
  <r>
    <x v="1444"/>
    <x v="4"/>
    <x v="10"/>
    <x v="2"/>
    <d v="2023-04-21T00:00:00"/>
    <d v="2023-05-07T00:00:00"/>
    <n v="41.9"/>
    <n v="260.33"/>
    <s v="Delayed"/>
    <n v="1800"/>
    <n v="4"/>
    <x v="1"/>
    <n v="0.14462777777777777"/>
    <s v="not applicabel"/>
  </r>
  <r>
    <x v="1445"/>
    <x v="8"/>
    <x v="14"/>
    <x v="3"/>
    <d v="2023-07-25T00:00:00"/>
    <d v="2023-07-27T00:00:00"/>
    <n v="22.9"/>
    <n v="123.35"/>
    <s v="Delivered"/>
    <n v="713"/>
    <n v="2"/>
    <x v="0"/>
    <n v="0.17300140252454418"/>
    <s v="fast"/>
  </r>
  <r>
    <x v="1446"/>
    <x v="2"/>
    <x v="14"/>
    <x v="3"/>
    <d v="2023-05-13T00:00:00"/>
    <d v="2023-05-16T00:00:00"/>
    <n v="30.6"/>
    <n v="83.44"/>
    <s v="Delivered"/>
    <n v="306"/>
    <n v="3"/>
    <x v="0"/>
    <n v="0.27267973856209149"/>
    <s v="fast"/>
  </r>
  <r>
    <x v="1447"/>
    <x v="8"/>
    <x v="0"/>
    <x v="5"/>
    <d v="2023-07-08T00:00:00"/>
    <d v="2023-07-11T00:00:00"/>
    <n v="41.7"/>
    <n v="91.23"/>
    <s v="Delivered"/>
    <n v="302"/>
    <n v="3"/>
    <x v="0"/>
    <n v="0.30208609271523179"/>
    <s v="fast"/>
  </r>
  <r>
    <x v="1448"/>
    <x v="5"/>
    <x v="2"/>
    <x v="5"/>
    <d v="2023-07-07T00:00:00"/>
    <d v="2023-07-13T00:00:00"/>
    <n v="35.4"/>
    <n v="217.42"/>
    <s v="Delivered"/>
    <n v="1655"/>
    <n v="6"/>
    <x v="0"/>
    <n v="0.1313716012084592"/>
    <s v="slow"/>
  </r>
  <r>
    <x v="1449"/>
    <x v="5"/>
    <x v="7"/>
    <x v="0"/>
    <d v="2023-03-07T00:00:00"/>
    <d v="2023-03-10T00:00:00"/>
    <n v="36.4"/>
    <n v="74.25"/>
    <s v="Delivered"/>
    <n v="283"/>
    <n v="3"/>
    <x v="0"/>
    <n v="0.26236749116607772"/>
    <s v="fast"/>
  </r>
  <r>
    <x v="1450"/>
    <x v="9"/>
    <x v="11"/>
    <x v="1"/>
    <d v="2023-02-03T00:00:00"/>
    <d v="2023-02-11T00:00:00"/>
    <n v="7.4"/>
    <n v="348.3"/>
    <s v="Delivered"/>
    <n v="2239"/>
    <n v="8"/>
    <x v="0"/>
    <n v="0.15556051808843235"/>
    <s v="slow"/>
  </r>
  <r>
    <x v="1451"/>
    <x v="8"/>
    <x v="0"/>
    <x v="6"/>
    <d v="2023-12-30T00:00:00"/>
    <d v="2024-01-06T00:00:00"/>
    <n v="6.4"/>
    <n v="256.19"/>
    <s v="Delivered"/>
    <n v="2003"/>
    <n v="7"/>
    <x v="0"/>
    <n v="0.12790314528207689"/>
    <s v="slow"/>
  </r>
  <r>
    <x v="1452"/>
    <x v="8"/>
    <x v="0"/>
    <x v="0"/>
    <d v="2023-01-03T00:00:00"/>
    <d v="2023-01-08T00:00:00"/>
    <n v="9.8000000000000007"/>
    <n v="223.01"/>
    <s v="Delivered"/>
    <n v="1553"/>
    <n v="5"/>
    <x v="0"/>
    <n v="0.14359948486799742"/>
    <s v="slow"/>
  </r>
  <r>
    <x v="1453"/>
    <x v="0"/>
    <x v="3"/>
    <x v="5"/>
    <d v="2023-07-22T00:00:00"/>
    <m/>
    <n v="47.6"/>
    <n v="156.85"/>
    <s v="Delivered"/>
    <n v="717"/>
    <n v="3"/>
    <x v="4"/>
    <n v="0.21875871687587167"/>
    <s v="not applicabel"/>
  </r>
  <r>
    <x v="1454"/>
    <x v="4"/>
    <x v="12"/>
    <x v="4"/>
    <d v="2023-08-19T00:00:00"/>
    <d v="2023-08-26T00:00:00"/>
    <n v="29.2"/>
    <n v="279.85000000000002"/>
    <s v="Lost"/>
    <n v="1843"/>
    <n v="7"/>
    <x v="2"/>
    <n v="0.15184481823114487"/>
    <s v="not applicabel"/>
  </r>
  <r>
    <x v="1455"/>
    <x v="2"/>
    <x v="10"/>
    <x v="6"/>
    <d v="2023-04-26T00:00:00"/>
    <d v="2023-04-29T00:00:00"/>
    <n v="11.5"/>
    <n v="62.46"/>
    <s v="Delivered"/>
    <n v="487"/>
    <n v="3"/>
    <x v="0"/>
    <n v="0.12825462012320329"/>
    <s v="fast"/>
  </r>
  <r>
    <x v="1456"/>
    <x v="9"/>
    <x v="11"/>
    <x v="6"/>
    <d v="2023-03-27T00:00:00"/>
    <d v="2023-03-30T00:00:00"/>
    <n v="7.5"/>
    <n v="141.08000000000001"/>
    <s v="Delivered"/>
    <n v="1061"/>
    <n v="3"/>
    <x v="0"/>
    <n v="0.1329688972667295"/>
    <s v="fast"/>
  </r>
  <r>
    <x v="1457"/>
    <x v="8"/>
    <x v="7"/>
    <x v="2"/>
    <d v="2023-10-04T00:00:00"/>
    <d v="2023-10-06T00:00:00"/>
    <n v="10"/>
    <n v="85.04"/>
    <s v="Delivered"/>
    <n v="585"/>
    <n v="2"/>
    <x v="0"/>
    <n v="0.14536752136752137"/>
    <s v="fast"/>
  </r>
  <r>
    <x v="1458"/>
    <x v="8"/>
    <x v="14"/>
    <x v="3"/>
    <d v="2023-03-22T00:00:00"/>
    <d v="2023-03-24T00:00:00"/>
    <n v="12.2"/>
    <n v="109.31"/>
    <s v="Delivered"/>
    <n v="691"/>
    <n v="2"/>
    <x v="0"/>
    <n v="0.15819102749638206"/>
    <s v="fast"/>
  </r>
  <r>
    <x v="1459"/>
    <x v="7"/>
    <x v="7"/>
    <x v="4"/>
    <d v="2023-12-31T00:00:00"/>
    <d v="2024-01-02T00:00:00"/>
    <n v="12.1"/>
    <n v="163.06"/>
    <s v="Delivered"/>
    <n v="1097"/>
    <n v="2"/>
    <x v="0"/>
    <n v="0.14864175022789425"/>
    <s v="fast"/>
  </r>
  <r>
    <x v="1460"/>
    <x v="4"/>
    <x v="10"/>
    <x v="0"/>
    <d v="2023-07-05T00:00:00"/>
    <d v="2023-07-08T00:00:00"/>
    <n v="100.9"/>
    <n v="172.46"/>
    <s v="Delivered"/>
    <n v="390"/>
    <n v="3"/>
    <x v="0"/>
    <n v="0.44220512820512825"/>
    <s v="fast"/>
  </r>
  <r>
    <x v="1461"/>
    <x v="4"/>
    <x v="9"/>
    <x v="4"/>
    <d v="2023-07-21T00:00:00"/>
    <d v="2023-07-27T00:00:00"/>
    <n v="29.2"/>
    <n v="323.13"/>
    <s v="Delivered"/>
    <n v="2216"/>
    <n v="6"/>
    <x v="0"/>
    <n v="0.14581678700361012"/>
    <s v="slow"/>
  </r>
  <r>
    <x v="1462"/>
    <x v="3"/>
    <x v="10"/>
    <x v="1"/>
    <d v="2023-02-03T00:00:00"/>
    <d v="2023-02-10T00:00:00"/>
    <n v="34.4"/>
    <n v="214.6"/>
    <s v="Delivered"/>
    <n v="1229"/>
    <n v="7"/>
    <x v="0"/>
    <n v="0.17461350691619201"/>
    <s v="slow"/>
  </r>
  <r>
    <x v="1463"/>
    <x v="8"/>
    <x v="12"/>
    <x v="4"/>
    <d v="2023-07-10T00:00:00"/>
    <d v="2023-07-15T00:00:00"/>
    <n v="27.8"/>
    <n v="239.99"/>
    <s v="In Transit"/>
    <n v="1591"/>
    <n v="5"/>
    <x v="0"/>
    <n v="0.15084223758642365"/>
    <s v="slow"/>
  </r>
  <r>
    <x v="1464"/>
    <x v="1"/>
    <x v="5"/>
    <x v="6"/>
    <d v="2023-12-18T00:00:00"/>
    <d v="2023-12-23T00:00:00"/>
    <n v="32.6"/>
    <n v="164.69"/>
    <s v="Delivered"/>
    <n v="807"/>
    <n v="5"/>
    <x v="0"/>
    <n v="0.20407682775712516"/>
    <s v="slow"/>
  </r>
  <r>
    <x v="1465"/>
    <x v="8"/>
    <x v="4"/>
    <x v="6"/>
    <d v="2023-11-18T00:00:00"/>
    <d v="2023-11-23T00:00:00"/>
    <n v="23.1"/>
    <n v="176.66"/>
    <s v="Delivered"/>
    <n v="1065"/>
    <n v="5"/>
    <x v="0"/>
    <n v="0.16587793427230046"/>
    <s v="slow"/>
  </r>
  <r>
    <x v="1466"/>
    <x v="2"/>
    <x v="12"/>
    <x v="5"/>
    <d v="2023-05-20T00:00:00"/>
    <d v="2023-05-23T00:00:00"/>
    <n v="14"/>
    <n v="184.53"/>
    <s v="Delivered"/>
    <n v="1408"/>
    <n v="3"/>
    <x v="0"/>
    <n v="0.13105823863636365"/>
    <s v="fast"/>
  </r>
  <r>
    <x v="1467"/>
    <x v="2"/>
    <x v="14"/>
    <x v="1"/>
    <d v="2023-04-01T00:00:00"/>
    <d v="2023-04-04T00:00:00"/>
    <n v="71.7"/>
    <n v="188.04"/>
    <s v="Delivered"/>
    <n v="635"/>
    <n v="3"/>
    <x v="0"/>
    <n v="0.29612598425196851"/>
    <s v="fast"/>
  </r>
  <r>
    <x v="1468"/>
    <x v="5"/>
    <x v="14"/>
    <x v="6"/>
    <d v="2023-12-24T00:00:00"/>
    <d v="2023-11-24T00:00:00"/>
    <n v="10.7"/>
    <n v="152.15"/>
    <s v="Delivered"/>
    <n v="1000"/>
    <n v="3"/>
    <x v="0"/>
    <n v="0.15215000000000001"/>
    <s v="fast"/>
  </r>
  <r>
    <x v="1469"/>
    <x v="9"/>
    <x v="14"/>
    <x v="3"/>
    <d v="2023-12-11T00:00:00"/>
    <d v="2023-12-12T00:00:00"/>
    <n v="70.599999999999994"/>
    <n v="151.86000000000001"/>
    <s v="Delivered"/>
    <n v="323"/>
    <n v="1"/>
    <x v="0"/>
    <n v="0.47015479876160993"/>
    <s v="fast"/>
  </r>
  <r>
    <x v="1470"/>
    <x v="3"/>
    <x v="10"/>
    <x v="1"/>
    <d v="2023-08-20T00:00:00"/>
    <d v="2023-08-25T00:00:00"/>
    <n v="54.4"/>
    <n v="266.93"/>
    <s v="Delivered"/>
    <n v="1340"/>
    <n v="5"/>
    <x v="0"/>
    <n v="0.19920149253731345"/>
    <s v="slow"/>
  </r>
  <r>
    <x v="1471"/>
    <x v="2"/>
    <x v="1"/>
    <x v="2"/>
    <d v="2023-05-17T00:00:00"/>
    <d v="2023-05-21T00:00:00"/>
    <n v="20.100000000000001"/>
    <n v="74.849999999999994"/>
    <s v="Delivered"/>
    <n v="451"/>
    <n v="4"/>
    <x v="0"/>
    <n v="0.16596452328159644"/>
    <s v="fast"/>
  </r>
  <r>
    <x v="1472"/>
    <x v="9"/>
    <x v="0"/>
    <x v="2"/>
    <d v="2023-05-01T00:00:00"/>
    <d v="2023-05-05T00:00:00"/>
    <n v="11.3"/>
    <n v="176.58"/>
    <s v="Delivered"/>
    <n v="1360"/>
    <n v="4"/>
    <x v="0"/>
    <n v="0.12983823529411764"/>
    <s v="fast"/>
  </r>
  <r>
    <x v="1473"/>
    <x v="0"/>
    <x v="13"/>
    <x v="2"/>
    <d v="2023-12-27T00:00:00"/>
    <d v="2024-01-01T00:00:00"/>
    <n v="14.8"/>
    <n v="318.26"/>
    <s v="Delivered"/>
    <n v="2212"/>
    <n v="5"/>
    <x v="0"/>
    <n v="0.14387884267631101"/>
    <s v="slow"/>
  </r>
  <r>
    <x v="1474"/>
    <x v="1"/>
    <x v="6"/>
    <x v="1"/>
    <d v="2023-08-02T00:00:00"/>
    <d v="2023-08-08T00:00:00"/>
    <n v="28.4"/>
    <n v="390.3"/>
    <s v="Delivered"/>
    <n v="2293"/>
    <n v="6"/>
    <x v="0"/>
    <n v="0.17021369385085042"/>
    <s v="slow"/>
  </r>
  <r>
    <x v="1475"/>
    <x v="0"/>
    <x v="6"/>
    <x v="0"/>
    <d v="2023-11-22T00:00:00"/>
    <d v="2023-11-28T00:00:00"/>
    <n v="28.1"/>
    <n v="303.52999999999997"/>
    <s v="Delivered"/>
    <n v="1711"/>
    <n v="6"/>
    <x v="0"/>
    <n v="0.17739918176504965"/>
    <s v="slow"/>
  </r>
  <r>
    <x v="1476"/>
    <x v="4"/>
    <x v="3"/>
    <x v="3"/>
    <d v="2023-08-05T00:00:00"/>
    <d v="2023-08-09T00:00:00"/>
    <n v="153"/>
    <n v="334.41"/>
    <s v="Delivered"/>
    <n v="1058"/>
    <n v="4"/>
    <x v="0"/>
    <n v="0.31607750472589796"/>
    <s v="fast"/>
  </r>
  <r>
    <x v="1477"/>
    <x v="0"/>
    <x v="0"/>
    <x v="1"/>
    <d v="2023-08-31T00:00:00"/>
    <d v="2023-09-03T00:00:00"/>
    <n v="14.2"/>
    <n v="101.86"/>
    <s v="Delivered"/>
    <n v="580"/>
    <n v="3"/>
    <x v="0"/>
    <n v="0.17562068965517241"/>
    <s v="fast"/>
  </r>
  <r>
    <x v="1478"/>
    <x v="8"/>
    <x v="7"/>
    <x v="3"/>
    <d v="2023-10-08T00:00:00"/>
    <d v="2023-10-13T00:00:00"/>
    <n v="34"/>
    <n v="228.26"/>
    <s v="Delivered"/>
    <n v="1463"/>
    <n v="5"/>
    <x v="0"/>
    <n v="0.15602187286397812"/>
    <s v="slow"/>
  </r>
  <r>
    <x v="1479"/>
    <x v="3"/>
    <x v="5"/>
    <x v="5"/>
    <d v="2023-03-07T00:00:00"/>
    <d v="2023-03-20T00:00:00"/>
    <n v="30.1"/>
    <n v="101.62"/>
    <s v="Delayed"/>
    <n v="615"/>
    <n v="2"/>
    <x v="1"/>
    <n v="0.16523577235772358"/>
    <s v="not applicabel"/>
  </r>
  <r>
    <x v="1480"/>
    <x v="3"/>
    <x v="1"/>
    <x v="5"/>
    <d v="2023-04-15T00:00:00"/>
    <d v="2023-04-19T00:00:00"/>
    <n v="79.099999999999994"/>
    <n v="264.42"/>
    <s v="Delivered"/>
    <n v="1487"/>
    <n v="4"/>
    <x v="0"/>
    <n v="0.17782111634162745"/>
    <s v="fast"/>
  </r>
  <r>
    <x v="1481"/>
    <x v="6"/>
    <x v="4"/>
    <x v="2"/>
    <d v="2023-07-13T00:00:00"/>
    <d v="2023-07-16T00:00:00"/>
    <n v="8.1"/>
    <n v="188.86"/>
    <s v="Delivered"/>
    <n v="1472"/>
    <n v="3"/>
    <x v="0"/>
    <n v="0.12830163043478263"/>
    <s v="fast"/>
  </r>
  <r>
    <x v="1482"/>
    <x v="8"/>
    <x v="10"/>
    <x v="2"/>
    <d v="2023-09-23T00:00:00"/>
    <d v="2023-08-24T00:00:00"/>
    <n v="22.7"/>
    <n v="110.05"/>
    <s v="Delivered"/>
    <n v="787"/>
    <n v="3"/>
    <x v="0"/>
    <n v="0.13983481575603557"/>
    <s v="fast"/>
  </r>
  <r>
    <x v="1483"/>
    <x v="2"/>
    <x v="2"/>
    <x v="1"/>
    <d v="2023-09-08T00:00:00"/>
    <d v="2023-09-11T00:00:00"/>
    <n v="21.8"/>
    <n v="202.57"/>
    <s v="Delivered"/>
    <n v="1364"/>
    <n v="3"/>
    <x v="0"/>
    <n v="0.14851173020527858"/>
    <s v="fast"/>
  </r>
  <r>
    <x v="1484"/>
    <x v="1"/>
    <x v="13"/>
    <x v="3"/>
    <d v="2023-05-09T00:00:00"/>
    <d v="2023-05-13T00:00:00"/>
    <n v="12"/>
    <n v="178.39"/>
    <s v="Delivered"/>
    <n v="1377"/>
    <n v="4"/>
    <x v="0"/>
    <n v="0.12954974582425563"/>
    <s v="fast"/>
  </r>
  <r>
    <x v="1485"/>
    <x v="7"/>
    <x v="0"/>
    <x v="0"/>
    <d v="2023-02-07T00:00:00"/>
    <d v="2023-02-12T00:00:00"/>
    <n v="11.3"/>
    <n v="199.25"/>
    <s v="Delivered"/>
    <n v="1332"/>
    <n v="5"/>
    <x v="0"/>
    <n v="0.1495870870870871"/>
    <s v="slow"/>
  </r>
  <r>
    <x v="1486"/>
    <x v="6"/>
    <x v="10"/>
    <x v="6"/>
    <d v="2023-08-21T00:00:00"/>
    <d v="2023-08-25T00:00:00"/>
    <n v="21.5"/>
    <n v="154.34"/>
    <s v="Delivered"/>
    <n v="1209"/>
    <n v="4"/>
    <x v="0"/>
    <n v="0.12765922249793218"/>
    <s v="fast"/>
  </r>
  <r>
    <x v="1487"/>
    <x v="2"/>
    <x v="12"/>
    <x v="1"/>
    <d v="2023-11-08T00:00:00"/>
    <d v="2023-11-13T00:00:00"/>
    <n v="17.8"/>
    <n v="407.33"/>
    <s v="Delivered"/>
    <n v="2300"/>
    <n v="5"/>
    <x v="0"/>
    <n v="0.17709999999999998"/>
    <s v="slow"/>
  </r>
  <r>
    <x v="1488"/>
    <x v="2"/>
    <x v="10"/>
    <x v="6"/>
    <d v="2023-02-03T00:00:00"/>
    <d v="2023-02-04T00:00:00"/>
    <n v="22.5"/>
    <n v="63.76"/>
    <s v="In Transit"/>
    <n v="289"/>
    <n v="1"/>
    <x v="0"/>
    <n v="0.22062283737024221"/>
    <s v="fast"/>
  </r>
  <r>
    <x v="1489"/>
    <x v="5"/>
    <x v="14"/>
    <x v="0"/>
    <d v="2023-05-28T00:00:00"/>
    <d v="2023-06-01T00:00:00"/>
    <n v="15.8"/>
    <n v="152.19999999999999"/>
    <s v="Delivered"/>
    <n v="1000"/>
    <n v="4"/>
    <x v="0"/>
    <n v="0.1522"/>
    <s v="fast"/>
  </r>
  <r>
    <x v="1490"/>
    <x v="7"/>
    <x v="3"/>
    <x v="5"/>
    <d v="2023-09-05T00:00:00"/>
    <d v="2023-09-09T00:00:00"/>
    <n v="11.8"/>
    <n v="88.65"/>
    <s v="Delivered"/>
    <n v="670"/>
    <n v="4"/>
    <x v="0"/>
    <n v="0.13231343283582089"/>
    <s v="fast"/>
  </r>
  <r>
    <x v="1491"/>
    <x v="7"/>
    <x v="9"/>
    <x v="1"/>
    <d v="2023-05-01T00:00:00"/>
    <d v="2023-05-07T00:00:00"/>
    <n v="11.6"/>
    <n v="359.48"/>
    <s v="Delivered"/>
    <n v="2379"/>
    <n v="6"/>
    <x v="0"/>
    <n v="0.15110550651534257"/>
    <s v="slow"/>
  </r>
  <r>
    <x v="1492"/>
    <x v="2"/>
    <x v="0"/>
    <x v="2"/>
    <d v="2023-09-27T00:00:00"/>
    <d v="2023-09-28T00:00:00"/>
    <n v="13.8"/>
    <n v="50.83"/>
    <s v="Delivered"/>
    <n v="274"/>
    <n v="1"/>
    <x v="0"/>
    <n v="0.1855109489051095"/>
    <s v="fast"/>
  </r>
  <r>
    <x v="1493"/>
    <x v="3"/>
    <x v="9"/>
    <x v="0"/>
    <d v="2023-05-06T00:00:00"/>
    <d v="2023-05-10T00:00:00"/>
    <n v="33.299999999999997"/>
    <n v="236.83"/>
    <s v="Returned"/>
    <n v="1438"/>
    <n v="4"/>
    <x v="3"/>
    <n v="0.16469401947148818"/>
    <s v="not applicabel"/>
  </r>
  <r>
    <x v="1494"/>
    <x v="9"/>
    <x v="3"/>
    <x v="6"/>
    <d v="2023-08-22T00:00:00"/>
    <d v="2023-08-27T00:00:00"/>
    <n v="13.2"/>
    <n v="269.86"/>
    <s v="Delivered"/>
    <n v="2309"/>
    <n v="5"/>
    <x v="0"/>
    <n v="0.1168731052403638"/>
    <s v="slow"/>
  </r>
  <r>
    <x v="1495"/>
    <x v="1"/>
    <x v="8"/>
    <x v="4"/>
    <d v="2023-05-24T00:00:00"/>
    <d v="2023-05-28T00:00:00"/>
    <n v="29.9"/>
    <n v="235.86"/>
    <s v="Delivered"/>
    <n v="1581"/>
    <n v="4"/>
    <x v="0"/>
    <n v="0.14918406072106263"/>
    <s v="fast"/>
  </r>
  <r>
    <x v="1496"/>
    <x v="8"/>
    <x v="5"/>
    <x v="5"/>
    <d v="2023-03-30T00:00:00"/>
    <d v="2023-04-02T00:00:00"/>
    <n v="16.100000000000001"/>
    <n v="127.74"/>
    <s v="Delivered"/>
    <n v="932"/>
    <n v="3"/>
    <x v="0"/>
    <n v="0.13706008583690987"/>
    <s v="fast"/>
  </r>
  <r>
    <x v="1497"/>
    <x v="6"/>
    <x v="12"/>
    <x v="1"/>
    <d v="2023-10-19T00:00:00"/>
    <d v="2023-10-20T00:00:00"/>
    <n v="10.8"/>
    <m/>
    <s v="Delivered"/>
    <n v="185"/>
    <n v="1"/>
    <x v="0"/>
    <n v="0"/>
    <s v="fast"/>
  </r>
  <r>
    <x v="1498"/>
    <x v="6"/>
    <x v="9"/>
    <x v="0"/>
    <d v="2023-06-30T00:00:00"/>
    <d v="2023-07-04T00:00:00"/>
    <n v="19.399999999999999"/>
    <n v="116.18"/>
    <s v="In Transit"/>
    <n v="812"/>
    <n v="4"/>
    <x v="0"/>
    <n v="0.14307881773399014"/>
    <s v="fast"/>
  </r>
  <r>
    <x v="1499"/>
    <x v="6"/>
    <x v="10"/>
    <x v="0"/>
    <d v="2023-04-16T00:00:00"/>
    <d v="2023-04-19T00:00:00"/>
    <n v="37.700000000000003"/>
    <n v="164.72"/>
    <s v="In Transit"/>
    <n v="925"/>
    <n v="3"/>
    <x v="0"/>
    <n v="0.17807567567567567"/>
    <s v="fast"/>
  </r>
  <r>
    <x v="1500"/>
    <x v="2"/>
    <x v="6"/>
    <x v="4"/>
    <d v="2023-09-12T00:00:00"/>
    <d v="2023-09-27T00:00:00"/>
    <n v="16"/>
    <n v="110.54"/>
    <s v="Delayed"/>
    <n v="770"/>
    <n v="6"/>
    <x v="1"/>
    <n v="0.14355844155844158"/>
    <s v="not applicabel"/>
  </r>
  <r>
    <x v="1501"/>
    <x v="2"/>
    <x v="1"/>
    <x v="0"/>
    <d v="2023-03-06T00:00:00"/>
    <d v="2023-03-11T00:00:00"/>
    <n v="26.2"/>
    <n v="212.17"/>
    <s v="Delivered"/>
    <n v="1541"/>
    <n v="5"/>
    <x v="0"/>
    <n v="0.13768332251784554"/>
    <s v="slow"/>
  </r>
  <r>
    <x v="1502"/>
    <x v="0"/>
    <x v="8"/>
    <x v="3"/>
    <d v="2023-07-21T00:00:00"/>
    <d v="2023-07-24T00:00:00"/>
    <n v="18.399999999999999"/>
    <n v="149.34"/>
    <s v="Delivered"/>
    <n v="974"/>
    <n v="3"/>
    <x v="0"/>
    <n v="0.1533264887063655"/>
    <s v="fast"/>
  </r>
  <r>
    <x v="1503"/>
    <x v="5"/>
    <x v="14"/>
    <x v="3"/>
    <d v="2023-08-18T00:00:00"/>
    <d v="2023-08-20T00:00:00"/>
    <n v="22.3"/>
    <n v="151.26"/>
    <s v="Delivered"/>
    <n v="1000"/>
    <n v="2"/>
    <x v="0"/>
    <n v="0.15125999999999998"/>
    <s v="fast"/>
  </r>
  <r>
    <x v="1504"/>
    <x v="8"/>
    <x v="11"/>
    <x v="4"/>
    <d v="2023-09-25T00:00:00"/>
    <d v="2023-09-26T00:00:00"/>
    <n v="21.1"/>
    <n v="49.13"/>
    <s v="Delivered"/>
    <n v="190"/>
    <n v="1"/>
    <x v="0"/>
    <n v="0.25857894736842107"/>
    <s v="fast"/>
  </r>
  <r>
    <x v="1505"/>
    <x v="4"/>
    <x v="12"/>
    <x v="2"/>
    <d v="2023-06-30T00:00:00"/>
    <d v="2023-07-11T00:00:00"/>
    <n v="7.7"/>
    <n v="157.65"/>
    <s v="Delayed"/>
    <n v="1140"/>
    <n v="3"/>
    <x v="1"/>
    <n v="0.13828947368421052"/>
    <s v="not applicabel"/>
  </r>
  <r>
    <x v="1506"/>
    <x v="3"/>
    <x v="11"/>
    <x v="5"/>
    <d v="2023-03-28T00:00:00"/>
    <d v="2023-04-03T00:00:00"/>
    <n v="23.1"/>
    <n v="232.72"/>
    <s v="Delayed"/>
    <n v="1646"/>
    <n v="5"/>
    <x v="1"/>
    <n v="0.14138517618469015"/>
    <s v="not applicabel"/>
  </r>
  <r>
    <x v="1507"/>
    <x v="7"/>
    <x v="11"/>
    <x v="3"/>
    <d v="2023-10-10T00:00:00"/>
    <d v="2023-10-17T00:00:00"/>
    <n v="15.5"/>
    <n v="303.18"/>
    <s v="Delivered"/>
    <n v="2200"/>
    <n v="7"/>
    <x v="0"/>
    <n v="0.13780909090909091"/>
    <s v="slow"/>
  </r>
  <r>
    <x v="1508"/>
    <x v="9"/>
    <x v="10"/>
    <x v="2"/>
    <d v="2023-12-28T00:00:00"/>
    <d v="2024-01-02T00:00:00"/>
    <n v="6.8"/>
    <n v="343.72"/>
    <s v="Delivered"/>
    <n v="2246"/>
    <n v="5"/>
    <x v="0"/>
    <n v="0.1530365093499555"/>
    <s v="slow"/>
  </r>
  <r>
    <x v="1509"/>
    <x v="6"/>
    <x v="9"/>
    <x v="0"/>
    <d v="2023-10-23T00:00:00"/>
    <d v="2023-10-24T00:00:00"/>
    <n v="40.9"/>
    <n v="86.69"/>
    <s v="Delivered"/>
    <n v="295"/>
    <n v="1"/>
    <x v="0"/>
    <n v="0.29386440677966102"/>
    <s v="fast"/>
  </r>
  <r>
    <x v="1510"/>
    <x v="4"/>
    <x v="8"/>
    <x v="5"/>
    <d v="2023-04-11T00:00:00"/>
    <d v="2023-04-18T00:00:00"/>
    <n v="13.9"/>
    <n v="302.88"/>
    <s v="In Transit"/>
    <n v="2212"/>
    <n v="7"/>
    <x v="0"/>
    <n v="0.1369258589511754"/>
    <s v="slow"/>
  </r>
  <r>
    <x v="1511"/>
    <x v="1"/>
    <x v="5"/>
    <x v="0"/>
    <d v="2023-05-28T00:00:00"/>
    <d v="2023-05-30T00:00:00"/>
    <n v="29.3"/>
    <n v="95.51"/>
    <s v="Delivered"/>
    <n v="458"/>
    <n v="2"/>
    <x v="0"/>
    <n v="0.20853711790393015"/>
    <s v="fast"/>
  </r>
  <r>
    <x v="1512"/>
    <x v="4"/>
    <x v="7"/>
    <x v="5"/>
    <d v="2023-08-19T00:00:00"/>
    <d v="2023-08-29T00:00:00"/>
    <n v="23.9"/>
    <n v="321.25"/>
    <s v="Delayed"/>
    <n v="2386"/>
    <n v="5"/>
    <x v="1"/>
    <n v="0.134639564124057"/>
    <s v="not applicabel"/>
  </r>
  <r>
    <x v="1513"/>
    <x v="2"/>
    <x v="11"/>
    <x v="4"/>
    <d v="2023-02-19T00:00:00"/>
    <d v="2023-02-23T00:00:00"/>
    <n v="48.5"/>
    <n v="220.96"/>
    <s v="Delivered"/>
    <n v="1396"/>
    <n v="4"/>
    <x v="0"/>
    <n v="0.15828080229226363"/>
    <s v="fast"/>
  </r>
  <r>
    <x v="1514"/>
    <x v="5"/>
    <x v="10"/>
    <x v="2"/>
    <d v="2023-12-15T00:00:00"/>
    <d v="2023-12-20T00:00:00"/>
    <n v="39.700000000000003"/>
    <n v="186.77"/>
    <s v="Delivered"/>
    <n v="890"/>
    <n v="5"/>
    <x v="0"/>
    <n v="0.20985393258426968"/>
    <s v="slow"/>
  </r>
  <r>
    <x v="1515"/>
    <x v="6"/>
    <x v="5"/>
    <x v="4"/>
    <d v="2023-04-28T00:00:00"/>
    <d v="2023-05-04T00:00:00"/>
    <n v="27.7"/>
    <n v="131.18"/>
    <s v="Delayed"/>
    <n v="916"/>
    <n v="3"/>
    <x v="1"/>
    <n v="0.14320960698689958"/>
    <s v="not applicabel"/>
  </r>
  <r>
    <x v="1516"/>
    <x v="3"/>
    <x v="8"/>
    <x v="5"/>
    <d v="2023-07-25T00:00:00"/>
    <d v="2023-07-27T00:00:00"/>
    <n v="18.8"/>
    <n v="80.05"/>
    <s v="Delivered"/>
    <n v="496"/>
    <n v="2"/>
    <x v="0"/>
    <n v="0.16139112903225805"/>
    <s v="fast"/>
  </r>
  <r>
    <x v="1517"/>
    <x v="8"/>
    <x v="0"/>
    <x v="6"/>
    <d v="2023-09-18T00:00:00"/>
    <d v="2023-09-27T00:00:00"/>
    <n v="9.6999999999999993"/>
    <n v="284.70999999999998"/>
    <s v="Delivered"/>
    <n v="2488"/>
    <n v="9"/>
    <x v="0"/>
    <n v="0.11443327974276526"/>
    <s v="slow"/>
  </r>
  <r>
    <x v="1518"/>
    <x v="2"/>
    <x v="4"/>
    <x v="1"/>
    <d v="2023-06-16T00:00:00"/>
    <d v="2023-06-20T00:00:00"/>
    <n v="34.9"/>
    <n v="261.45"/>
    <s v="Delivered"/>
    <n v="1507"/>
    <n v="4"/>
    <x v="0"/>
    <n v="0.17349037823490376"/>
    <s v="fast"/>
  </r>
  <r>
    <x v="1519"/>
    <x v="9"/>
    <x v="6"/>
    <x v="5"/>
    <d v="2023-12-25T00:00:00"/>
    <d v="2023-12-26T00:00:00"/>
    <n v="22.3"/>
    <m/>
    <s v="Delivered"/>
    <n v="148"/>
    <n v="1"/>
    <x v="0"/>
    <n v="0"/>
    <s v="fast"/>
  </r>
  <r>
    <x v="1520"/>
    <x v="6"/>
    <x v="4"/>
    <x v="4"/>
    <d v="2023-05-31T00:00:00"/>
    <d v="2023-06-02T00:00:00"/>
    <n v="28.2"/>
    <n v="103.67"/>
    <s v="Delivered"/>
    <n v="599"/>
    <n v="2"/>
    <x v="0"/>
    <n v="0.17307178631051753"/>
    <s v="fast"/>
  </r>
  <r>
    <x v="1521"/>
    <x v="9"/>
    <x v="14"/>
    <x v="1"/>
    <d v="2023-08-09T00:00:00"/>
    <d v="2023-08-10T00:00:00"/>
    <n v="11.4"/>
    <n v="44.4"/>
    <s v="Delivered"/>
    <n v="234"/>
    <n v="1"/>
    <x v="0"/>
    <n v="0.18974358974358974"/>
    <s v="fast"/>
  </r>
  <r>
    <x v="1522"/>
    <x v="3"/>
    <x v="0"/>
    <x v="1"/>
    <d v="2023-05-31T00:00:00"/>
    <d v="2023-06-08T00:00:00"/>
    <n v="10.8"/>
    <n v="271.64"/>
    <s v="Delivered"/>
    <n v="1974"/>
    <n v="8"/>
    <x v="0"/>
    <n v="0.13760891590678825"/>
    <s v="slow"/>
  </r>
  <r>
    <x v="1523"/>
    <x v="5"/>
    <x v="0"/>
    <x v="4"/>
    <d v="2023-08-25T00:00:00"/>
    <d v="2023-08-31T00:00:00"/>
    <n v="12.2"/>
    <n v="259.25"/>
    <s v="Delivered"/>
    <n v="2271"/>
    <n v="6"/>
    <x v="0"/>
    <n v="0.11415675913694408"/>
    <s v="slow"/>
  </r>
  <r>
    <x v="1524"/>
    <x v="3"/>
    <x v="11"/>
    <x v="3"/>
    <d v="2023-08-29T00:00:00"/>
    <d v="2023-09-02T00:00:00"/>
    <n v="22.8"/>
    <n v="221.62"/>
    <s v="Returned"/>
    <n v="1599"/>
    <n v="4"/>
    <x v="3"/>
    <n v="0.138599124452783"/>
    <s v="not applicabel"/>
  </r>
  <r>
    <x v="1525"/>
    <x v="5"/>
    <x v="12"/>
    <x v="1"/>
    <d v="2023-06-17T00:00:00"/>
    <d v="2023-06-22T00:00:00"/>
    <n v="15.1"/>
    <n v="142.08000000000001"/>
    <s v="Delivered"/>
    <n v="977"/>
    <n v="5"/>
    <x v="0"/>
    <n v="0.145424769703173"/>
    <s v="slow"/>
  </r>
  <r>
    <x v="1526"/>
    <x v="8"/>
    <x v="14"/>
    <x v="4"/>
    <d v="2023-10-03T00:00:00"/>
    <d v="2023-10-06T00:00:00"/>
    <n v="11.3"/>
    <n v="154.44999999999999"/>
    <s v="Delivered"/>
    <n v="1311"/>
    <n v="3"/>
    <x v="0"/>
    <n v="0.11781083142639207"/>
    <s v="fast"/>
  </r>
  <r>
    <x v="1527"/>
    <x v="5"/>
    <x v="13"/>
    <x v="4"/>
    <d v="2023-05-16T00:00:00"/>
    <d v="2023-05-18T00:00:00"/>
    <n v="64.7"/>
    <n v="105.03"/>
    <s v="Delivered"/>
    <n v="268"/>
    <n v="2"/>
    <x v="0"/>
    <n v="0.3919029850746269"/>
    <s v="fast"/>
  </r>
  <r>
    <x v="1528"/>
    <x v="9"/>
    <x v="0"/>
    <x v="6"/>
    <d v="2023-09-25T00:00:00"/>
    <d v="2023-09-29T00:00:00"/>
    <n v="64.8"/>
    <n v="258.52"/>
    <s v="Delivered"/>
    <n v="1466"/>
    <n v="4"/>
    <x v="0"/>
    <n v="0.176343792633015"/>
    <s v="fast"/>
  </r>
  <r>
    <x v="1529"/>
    <x v="4"/>
    <x v="8"/>
    <x v="1"/>
    <d v="2023-03-03T00:00:00"/>
    <d v="2023-03-12T00:00:00"/>
    <n v="21.2"/>
    <n v="312.87"/>
    <s v="Delivered"/>
    <n v="2181"/>
    <n v="9"/>
    <x v="0"/>
    <n v="0.14345254470426411"/>
    <s v="slow"/>
  </r>
  <r>
    <x v="1530"/>
    <x v="6"/>
    <x v="2"/>
    <x v="2"/>
    <d v="2023-01-06T00:00:00"/>
    <d v="2023-01-08T00:00:00"/>
    <n v="13.4"/>
    <n v="62.54"/>
    <s v="Delivered"/>
    <n v="379"/>
    <n v="2"/>
    <x v="0"/>
    <n v="0.16501319261213721"/>
    <s v="fast"/>
  </r>
  <r>
    <x v="1531"/>
    <x v="6"/>
    <x v="6"/>
    <x v="6"/>
    <d v="2023-10-31T00:00:00"/>
    <d v="2023-11-03T00:00:00"/>
    <n v="9.1999999999999993"/>
    <n v="22.1"/>
    <s v="Delivered"/>
    <n v="123"/>
    <n v="3"/>
    <x v="0"/>
    <n v="0.17967479674796749"/>
    <s v="fast"/>
  </r>
  <r>
    <x v="1532"/>
    <x v="3"/>
    <x v="2"/>
    <x v="5"/>
    <d v="2023-06-12T00:00:00"/>
    <d v="2023-06-15T00:00:00"/>
    <n v="35.4"/>
    <m/>
    <s v="Delivered"/>
    <n v="1203"/>
    <n v="3"/>
    <x v="0"/>
    <n v="0"/>
    <s v="fast"/>
  </r>
  <r>
    <x v="1533"/>
    <x v="4"/>
    <x v="10"/>
    <x v="6"/>
    <d v="2023-06-03T00:00:00"/>
    <d v="2023-06-06T00:00:00"/>
    <n v="41.9"/>
    <n v="108.73"/>
    <s v="Delivered"/>
    <n v="501"/>
    <n v="3"/>
    <x v="0"/>
    <n v="0.21702594810379242"/>
    <s v="fast"/>
  </r>
  <r>
    <x v="1534"/>
    <x v="3"/>
    <x v="12"/>
    <x v="4"/>
    <d v="2023-12-28T00:00:00"/>
    <d v="2024-01-01T00:00:00"/>
    <n v="10.3"/>
    <n v="164.78"/>
    <s v="Lost"/>
    <n v="1034"/>
    <n v="4"/>
    <x v="2"/>
    <n v="0.15936170212765957"/>
    <s v="not applicabel"/>
  </r>
  <r>
    <x v="1535"/>
    <x v="0"/>
    <x v="14"/>
    <x v="3"/>
    <d v="2023-11-03T00:00:00"/>
    <d v="2023-11-04T00:00:00"/>
    <n v="6"/>
    <n v="50.96"/>
    <s v="In Transit"/>
    <n v="283"/>
    <n v="1"/>
    <x v="0"/>
    <n v="0.18007067137809188"/>
    <s v="fast"/>
  </r>
  <r>
    <x v="1536"/>
    <x v="3"/>
    <x v="0"/>
    <x v="1"/>
    <d v="2023-12-24T00:00:00"/>
    <d v="2024-01-08T00:00:00"/>
    <n v="14.8"/>
    <n v="137.77000000000001"/>
    <s v="Delayed"/>
    <n v="655"/>
    <n v="4"/>
    <x v="1"/>
    <n v="0.21033587786259544"/>
    <s v="not applicabel"/>
  </r>
  <r>
    <x v="1537"/>
    <x v="7"/>
    <x v="12"/>
    <x v="2"/>
    <d v="2023-09-30T00:00:00"/>
    <d v="2023-10-02T00:00:00"/>
    <n v="17.899999999999999"/>
    <n v="87.69"/>
    <s v="Delivered"/>
    <n v="552"/>
    <n v="2"/>
    <x v="0"/>
    <n v="0.15885869565217392"/>
    <s v="fast"/>
  </r>
  <r>
    <x v="1538"/>
    <x v="5"/>
    <x v="11"/>
    <x v="3"/>
    <d v="2023-05-13T00:00:00"/>
    <d v="2023-05-17T00:00:00"/>
    <n v="179.1"/>
    <n v="216.48"/>
    <s v="Delivered"/>
    <n v="1350"/>
    <n v="4"/>
    <x v="0"/>
    <n v="0.16035555555555556"/>
    <s v="fast"/>
  </r>
  <r>
    <x v="1539"/>
    <x v="1"/>
    <x v="12"/>
    <x v="3"/>
    <d v="2023-11-23T00:00:00"/>
    <d v="2023-11-29T00:00:00"/>
    <n v="36.299999999999997"/>
    <n v="439.48"/>
    <s v="Delivered"/>
    <n v="2181"/>
    <n v="6"/>
    <x v="0"/>
    <n v="0.20150389729481891"/>
    <s v="slow"/>
  </r>
  <r>
    <x v="1540"/>
    <x v="4"/>
    <x v="12"/>
    <x v="1"/>
    <d v="2023-06-04T00:00:00"/>
    <d v="2023-06-10T00:00:00"/>
    <n v="5.8"/>
    <n v="338.34"/>
    <s v="Delivered"/>
    <n v="2466"/>
    <n v="6"/>
    <x v="0"/>
    <n v="0.13720194647201944"/>
    <s v="slow"/>
  </r>
  <r>
    <x v="1541"/>
    <x v="3"/>
    <x v="10"/>
    <x v="2"/>
    <d v="2023-05-07T00:00:00"/>
    <d v="2023-05-12T00:00:00"/>
    <n v="5.6"/>
    <n v="78.42"/>
    <s v="Delivered"/>
    <n v="636"/>
    <n v="5"/>
    <x v="0"/>
    <n v="0.12330188679245284"/>
    <s v="slow"/>
  </r>
  <r>
    <x v="1542"/>
    <x v="5"/>
    <x v="7"/>
    <x v="6"/>
    <d v="2023-12-02T00:00:00"/>
    <d v="2023-12-04T00:00:00"/>
    <n v="14.1"/>
    <n v="58.04"/>
    <s v="Delivered"/>
    <n v="283"/>
    <n v="2"/>
    <x v="0"/>
    <n v="0.20508833922261485"/>
    <s v="fast"/>
  </r>
  <r>
    <x v="1543"/>
    <x v="3"/>
    <x v="11"/>
    <x v="4"/>
    <d v="2023-04-28T00:00:00"/>
    <d v="2023-04-30T00:00:00"/>
    <n v="12"/>
    <n v="43.35"/>
    <s v="Delivered"/>
    <n v="208"/>
    <n v="2"/>
    <x v="0"/>
    <n v="0.20841346153846155"/>
    <s v="fast"/>
  </r>
  <r>
    <x v="1544"/>
    <x v="1"/>
    <x v="3"/>
    <x v="5"/>
    <d v="2023-11-23T00:00:00"/>
    <d v="2023-11-26T00:00:00"/>
    <n v="51"/>
    <m/>
    <s v="Delivered"/>
    <n v="1135"/>
    <n v="3"/>
    <x v="0"/>
    <n v="0"/>
    <s v="fast"/>
  </r>
  <r>
    <x v="1545"/>
    <x v="7"/>
    <x v="1"/>
    <x v="2"/>
    <d v="2023-06-17T00:00:00"/>
    <d v="2023-06-20T00:00:00"/>
    <n v="25.2"/>
    <n v="190.12"/>
    <s v="Delivered"/>
    <n v="1442"/>
    <n v="3"/>
    <x v="0"/>
    <n v="0.13184466019417476"/>
    <s v="fast"/>
  </r>
  <r>
    <x v="1546"/>
    <x v="1"/>
    <x v="5"/>
    <x v="5"/>
    <d v="2023-05-06T00:00:00"/>
    <d v="2023-05-09T00:00:00"/>
    <n v="24.1"/>
    <n v="70.430000000000007"/>
    <s v="Delivered"/>
    <n v="295"/>
    <n v="3"/>
    <x v="0"/>
    <n v="0.23874576271186443"/>
    <s v="fast"/>
  </r>
  <r>
    <x v="1547"/>
    <x v="2"/>
    <x v="14"/>
    <x v="2"/>
    <d v="2023-10-29T00:00:00"/>
    <d v="2023-11-06T00:00:00"/>
    <n v="17.5"/>
    <n v="240.07"/>
    <s v="Delivered"/>
    <n v="1720"/>
    <n v="8"/>
    <x v="0"/>
    <n v="0.13957558139534884"/>
    <s v="slow"/>
  </r>
  <r>
    <x v="1548"/>
    <x v="6"/>
    <x v="9"/>
    <x v="2"/>
    <d v="2023-06-15T00:00:00"/>
    <d v="2023-06-18T00:00:00"/>
    <n v="46.3"/>
    <n v="155.66"/>
    <s v="Delivered"/>
    <n v="912"/>
    <n v="3"/>
    <x v="0"/>
    <n v="0.17067982456140351"/>
    <s v="fast"/>
  </r>
  <r>
    <x v="1549"/>
    <x v="2"/>
    <x v="11"/>
    <x v="5"/>
    <d v="2023-06-16T00:00:00"/>
    <d v="2023-06-23T00:00:00"/>
    <n v="25.6"/>
    <n v="287.97000000000003"/>
    <s v="Lost"/>
    <n v="2129"/>
    <n v="7"/>
    <x v="2"/>
    <n v="0.13526068576796618"/>
    <s v="not applicabel"/>
  </r>
  <r>
    <x v="1550"/>
    <x v="4"/>
    <x v="11"/>
    <x v="2"/>
    <d v="2023-03-29T00:00:00"/>
    <d v="2023-03-30T00:00:00"/>
    <n v="41.5"/>
    <n v="85.01"/>
    <s v="Delivered"/>
    <n v="305"/>
    <n v="1"/>
    <x v="0"/>
    <n v="0.27872131147540985"/>
    <s v="fast"/>
  </r>
  <r>
    <x v="1551"/>
    <x v="0"/>
    <x v="3"/>
    <x v="1"/>
    <d v="2023-09-25T00:00:00"/>
    <m/>
    <n v="17.399999999999999"/>
    <n v="305.83"/>
    <s v="Delivered"/>
    <n v="1894"/>
    <n v="6"/>
    <x v="4"/>
    <n v="0.16147307286166843"/>
    <s v="not applicabel"/>
  </r>
  <r>
    <x v="1552"/>
    <x v="7"/>
    <x v="9"/>
    <x v="2"/>
    <d v="2023-01-03T00:00:00"/>
    <m/>
    <n v="184.3"/>
    <n v="497.31"/>
    <s v="Delayed"/>
    <n v="1941"/>
    <n v="7"/>
    <x v="4"/>
    <n v="0.25621329211746524"/>
    <s v="not applicabel"/>
  </r>
  <r>
    <x v="1553"/>
    <x v="2"/>
    <x v="1"/>
    <x v="5"/>
    <d v="2023-08-24T00:00:00"/>
    <d v="2023-08-30T00:00:00"/>
    <n v="50.5"/>
    <n v="323.77"/>
    <s v="Delivered"/>
    <n v="2250"/>
    <n v="6"/>
    <x v="0"/>
    <n v="0.14389777777777776"/>
    <s v="slow"/>
  </r>
  <r>
    <x v="1554"/>
    <x v="0"/>
    <x v="7"/>
    <x v="5"/>
    <d v="2023-09-16T00:00:00"/>
    <d v="2023-09-23T00:00:00"/>
    <n v="9"/>
    <n v="261.35000000000002"/>
    <s v="Delivered"/>
    <n v="2105"/>
    <n v="7"/>
    <x v="0"/>
    <n v="0.12415676959619953"/>
    <s v="slow"/>
  </r>
  <r>
    <x v="1555"/>
    <x v="3"/>
    <x v="2"/>
    <x v="1"/>
    <d v="2023-12-20T00:00:00"/>
    <d v="2023-12-27T00:00:00"/>
    <n v="10.5"/>
    <n v="81.73"/>
    <s v="Delayed"/>
    <n v="397"/>
    <n v="2"/>
    <x v="1"/>
    <n v="0.20586901763224183"/>
    <s v="not applicabel"/>
  </r>
  <r>
    <x v="1556"/>
    <x v="9"/>
    <x v="11"/>
    <x v="4"/>
    <d v="2023-01-10T00:00:00"/>
    <d v="2023-01-14T00:00:00"/>
    <n v="6.7"/>
    <n v="54.04"/>
    <s v="Delivered"/>
    <n v="392"/>
    <n v="4"/>
    <x v="0"/>
    <n v="0.13785714285714284"/>
    <s v="fast"/>
  </r>
  <r>
    <x v="1557"/>
    <x v="3"/>
    <x v="2"/>
    <x v="2"/>
    <d v="2023-07-11T00:00:00"/>
    <d v="2023-07-25T00:00:00"/>
    <n v="9"/>
    <n v="126.74"/>
    <s v="Delayed"/>
    <n v="979"/>
    <n v="4"/>
    <x v="1"/>
    <n v="0.12945863125638407"/>
    <s v="not applicabel"/>
  </r>
  <r>
    <x v="1558"/>
    <x v="5"/>
    <x v="6"/>
    <x v="6"/>
    <d v="2023-03-14T00:00:00"/>
    <d v="2023-03-22T00:00:00"/>
    <n v="15.1"/>
    <n v="193.28"/>
    <s v="Delayed"/>
    <n v="1427"/>
    <n v="4"/>
    <x v="1"/>
    <n v="0.13544498948843728"/>
    <s v="not applicabel"/>
  </r>
  <r>
    <x v="1559"/>
    <x v="3"/>
    <x v="4"/>
    <x v="2"/>
    <d v="2023-01-26T00:00:00"/>
    <d v="2023-01-31T00:00:00"/>
    <n v="20.7"/>
    <n v="254.82"/>
    <s v="Delivered"/>
    <n v="1956"/>
    <n v="5"/>
    <x v="0"/>
    <n v="0.13027607361963189"/>
    <s v="slow"/>
  </r>
  <r>
    <x v="1560"/>
    <x v="8"/>
    <x v="2"/>
    <x v="6"/>
    <d v="2023-11-24T00:00:00"/>
    <d v="2023-11-29T00:00:00"/>
    <n v="18.100000000000001"/>
    <n v="132.04"/>
    <s v="Delivered"/>
    <n v="863"/>
    <n v="5"/>
    <x v="0"/>
    <n v="0.15300115874855155"/>
    <s v="slow"/>
  </r>
  <r>
    <x v="1561"/>
    <x v="7"/>
    <x v="5"/>
    <x v="6"/>
    <d v="2023-04-22T00:00:00"/>
    <d v="2023-04-29T00:00:00"/>
    <n v="22.1"/>
    <n v="305.98"/>
    <s v="Delivered"/>
    <n v="2347"/>
    <n v="7"/>
    <x v="0"/>
    <n v="0.13037068598210483"/>
    <s v="slow"/>
  </r>
  <r>
    <x v="1562"/>
    <x v="7"/>
    <x v="2"/>
    <x v="1"/>
    <d v="2023-04-27T00:00:00"/>
    <d v="2023-05-01T00:00:00"/>
    <n v="28.8"/>
    <n v="151.25"/>
    <s v="Delivered"/>
    <n v="919"/>
    <n v="4"/>
    <x v="0"/>
    <n v="0.16458106637649619"/>
    <s v="fast"/>
  </r>
  <r>
    <x v="1563"/>
    <x v="1"/>
    <x v="9"/>
    <x v="2"/>
    <d v="2023-11-21T00:00:00"/>
    <d v="2023-11-24T00:00:00"/>
    <n v="46.2"/>
    <n v="94.64"/>
    <s v="Delivered"/>
    <n v="176"/>
    <n v="3"/>
    <x v="0"/>
    <n v="0.53772727272727272"/>
    <s v="fast"/>
  </r>
  <r>
    <x v="1564"/>
    <x v="7"/>
    <x v="7"/>
    <x v="1"/>
    <d v="2023-07-26T00:00:00"/>
    <d v="2023-07-31T00:00:00"/>
    <n v="49.5"/>
    <n v="383.77"/>
    <s v="Delivered"/>
    <n v="2055"/>
    <n v="5"/>
    <x v="0"/>
    <n v="0.18674939172749391"/>
    <s v="slow"/>
  </r>
  <r>
    <x v="1565"/>
    <x v="6"/>
    <x v="8"/>
    <x v="0"/>
    <d v="2023-04-10T00:00:00"/>
    <m/>
    <n v="39.200000000000003"/>
    <n v="293.51"/>
    <s v="Delivered"/>
    <n v="1732"/>
    <n v="6"/>
    <x v="4"/>
    <n v="0.16946304849884525"/>
    <s v="not applicabel"/>
  </r>
  <r>
    <x v="1566"/>
    <x v="6"/>
    <x v="13"/>
    <x v="6"/>
    <d v="2023-10-04T00:00:00"/>
    <d v="2023-10-09T00:00:00"/>
    <n v="17.7"/>
    <n v="168.61"/>
    <s v="Delivered"/>
    <n v="1439"/>
    <n v="5"/>
    <x v="0"/>
    <n v="0.11717164697706742"/>
    <s v="slow"/>
  </r>
  <r>
    <x v="1567"/>
    <x v="6"/>
    <x v="12"/>
    <x v="3"/>
    <d v="2023-03-30T00:00:00"/>
    <d v="2023-04-01T00:00:00"/>
    <n v="27.9"/>
    <n v="138.4"/>
    <s v="Delivered"/>
    <n v="860"/>
    <n v="2"/>
    <x v="0"/>
    <n v="0.16093023255813954"/>
    <s v="fast"/>
  </r>
  <r>
    <x v="1568"/>
    <x v="3"/>
    <x v="1"/>
    <x v="1"/>
    <d v="2023-01-16T00:00:00"/>
    <d v="2023-01-21T00:00:00"/>
    <n v="4.5999999999999996"/>
    <n v="291.01"/>
    <s v="Delivered"/>
    <n v="2171"/>
    <n v="5"/>
    <x v="0"/>
    <n v="0.13404421925380008"/>
    <s v="slow"/>
  </r>
  <r>
    <x v="1569"/>
    <x v="0"/>
    <x v="7"/>
    <x v="0"/>
    <d v="2023-03-09T00:00:00"/>
    <d v="2023-03-16T00:00:00"/>
    <n v="13.6"/>
    <n v="261.01"/>
    <s v="Delivered"/>
    <n v="2029"/>
    <n v="7"/>
    <x v="0"/>
    <n v="0.12863972400197141"/>
    <s v="slow"/>
  </r>
  <r>
    <x v="1570"/>
    <x v="5"/>
    <x v="8"/>
    <x v="5"/>
    <d v="2023-03-07T00:00:00"/>
    <d v="2023-03-11T00:00:00"/>
    <n v="137.5"/>
    <n v="165.56"/>
    <s v="Delivered"/>
    <n v="136"/>
    <n v="4"/>
    <x v="0"/>
    <n v="1.2173529411764705"/>
    <s v="fast"/>
  </r>
  <r>
    <x v="1571"/>
    <x v="9"/>
    <x v="12"/>
    <x v="4"/>
    <d v="2023-04-20T00:00:00"/>
    <d v="2023-04-27T00:00:00"/>
    <n v="17.100000000000001"/>
    <n v="303.85000000000002"/>
    <s v="Delivered"/>
    <n v="2247"/>
    <n v="7"/>
    <x v="0"/>
    <n v="0.13522474410324878"/>
    <s v="slow"/>
  </r>
  <r>
    <x v="1572"/>
    <x v="3"/>
    <x v="14"/>
    <x v="0"/>
    <d v="2023-12-07T00:00:00"/>
    <d v="2023-12-08T00:00:00"/>
    <n v="25.9"/>
    <n v="60.74"/>
    <s v="Delivered"/>
    <n v="131"/>
    <n v="1"/>
    <x v="0"/>
    <n v="0.4636641221374046"/>
    <s v="fast"/>
  </r>
  <r>
    <x v="1573"/>
    <x v="5"/>
    <x v="14"/>
    <x v="1"/>
    <d v="2023-10-03T00:00:00"/>
    <d v="2023-10-07T00:00:00"/>
    <n v="18.3"/>
    <n v="172.23"/>
    <s v="Delivered"/>
    <n v="1000"/>
    <n v="4"/>
    <x v="0"/>
    <n v="0.17222999999999999"/>
    <s v="fast"/>
  </r>
  <r>
    <x v="1574"/>
    <x v="9"/>
    <x v="14"/>
    <x v="2"/>
    <d v="2023-12-20T00:00:00"/>
    <d v="2023-12-22T00:00:00"/>
    <n v="6.8"/>
    <n v="30.04"/>
    <s v="Delivered"/>
    <n v="152"/>
    <n v="2"/>
    <x v="0"/>
    <n v="0.19763157894736841"/>
    <s v="fast"/>
  </r>
  <r>
    <x v="1575"/>
    <x v="9"/>
    <x v="10"/>
    <x v="3"/>
    <d v="2023-12-20T00:00:00"/>
    <d v="2023-12-21T00:00:00"/>
    <n v="34.700000000000003"/>
    <n v="86.21"/>
    <s v="Delivered"/>
    <n v="224"/>
    <n v="1"/>
    <x v="0"/>
    <n v="0.38486607142857138"/>
    <s v="fast"/>
  </r>
  <r>
    <x v="1576"/>
    <x v="1"/>
    <x v="2"/>
    <x v="2"/>
    <d v="2023-07-01T00:00:00"/>
    <d v="2023-07-13T00:00:00"/>
    <n v="36.799999999999997"/>
    <n v="150.78"/>
    <s v="Delayed"/>
    <n v="882"/>
    <n v="2"/>
    <x v="1"/>
    <n v="0.17095238095238097"/>
    <s v="not applicabel"/>
  </r>
  <r>
    <x v="1577"/>
    <x v="0"/>
    <x v="0"/>
    <x v="4"/>
    <d v="2023-12-07T00:00:00"/>
    <d v="2023-12-11T00:00:00"/>
    <n v="28.7"/>
    <n v="238.39"/>
    <s v="Delivered"/>
    <n v="1229"/>
    <n v="4"/>
    <x v="0"/>
    <n v="0.1939707078925956"/>
    <s v="fast"/>
  </r>
  <r>
    <x v="1578"/>
    <x v="4"/>
    <x v="1"/>
    <x v="3"/>
    <d v="2023-01-16T00:00:00"/>
    <d v="2023-01-19T00:00:00"/>
    <n v="8.1"/>
    <n v="171.35"/>
    <s v="Returned"/>
    <n v="1305"/>
    <n v="3"/>
    <x v="3"/>
    <n v="0.13130268199233716"/>
    <s v="not applicabel"/>
  </r>
  <r>
    <x v="1579"/>
    <x v="8"/>
    <x v="3"/>
    <x v="1"/>
    <d v="2023-07-27T00:00:00"/>
    <d v="2023-07-30T00:00:00"/>
    <n v="34.6"/>
    <n v="91.64"/>
    <s v="Delivered"/>
    <n v="344"/>
    <n v="3"/>
    <x v="0"/>
    <n v="0.26639534883720928"/>
    <s v="fast"/>
  </r>
  <r>
    <x v="1580"/>
    <x v="7"/>
    <x v="14"/>
    <x v="0"/>
    <d v="2023-08-07T00:00:00"/>
    <m/>
    <n v="52.4"/>
    <n v="194.19"/>
    <s v="Delivered"/>
    <n v="1071"/>
    <n v="4"/>
    <x v="4"/>
    <n v="0.18131652661064426"/>
    <s v="not applicabel"/>
  </r>
  <r>
    <x v="1581"/>
    <x v="7"/>
    <x v="8"/>
    <x v="2"/>
    <d v="2023-12-06T00:00:00"/>
    <d v="2023-12-13T00:00:00"/>
    <n v="10.8"/>
    <n v="225.38"/>
    <s v="Delivered"/>
    <n v="1369"/>
    <n v="7"/>
    <x v="0"/>
    <n v="0.16463111760409058"/>
    <s v="slow"/>
  </r>
  <r>
    <x v="1582"/>
    <x v="1"/>
    <x v="13"/>
    <x v="0"/>
    <d v="2023-04-22T00:00:00"/>
    <d v="2023-04-27T00:00:00"/>
    <n v="16.5"/>
    <n v="282.23"/>
    <s v="Delivered"/>
    <n v="2056"/>
    <n v="5"/>
    <x v="0"/>
    <n v="0.13727140077821012"/>
    <s v="slow"/>
  </r>
  <r>
    <x v="1583"/>
    <x v="6"/>
    <x v="8"/>
    <x v="6"/>
    <d v="2023-12-19T00:00:00"/>
    <d v="2023-12-23T00:00:00"/>
    <n v="108.5"/>
    <n v="299.16000000000003"/>
    <s v="Delivered"/>
    <n v="1240"/>
    <n v="4"/>
    <x v="0"/>
    <n v="0.24125806451612905"/>
    <s v="fast"/>
  </r>
  <r>
    <x v="1584"/>
    <x v="9"/>
    <x v="13"/>
    <x v="2"/>
    <d v="2023-04-02T00:00:00"/>
    <d v="2023-04-06T00:00:00"/>
    <n v="5.8"/>
    <n v="173.56"/>
    <s v="Delivered"/>
    <n v="1355"/>
    <n v="4"/>
    <x v="0"/>
    <n v="0.12808856088560885"/>
    <s v="fast"/>
  </r>
  <r>
    <x v="1585"/>
    <x v="6"/>
    <x v="8"/>
    <x v="1"/>
    <d v="2023-10-21T00:00:00"/>
    <d v="2023-11-03T00:00:00"/>
    <n v="31"/>
    <n v="346.62"/>
    <s v="Delayed"/>
    <n v="2201"/>
    <n v="8"/>
    <x v="1"/>
    <n v="0.15748296228986824"/>
    <s v="not applicabel"/>
  </r>
  <r>
    <x v="1586"/>
    <x v="2"/>
    <x v="1"/>
    <x v="6"/>
    <d v="2023-10-16T00:00:00"/>
    <d v="2023-10-17T00:00:00"/>
    <n v="58.5"/>
    <n v="83.51"/>
    <s v="Delivered"/>
    <n v="122"/>
    <n v="1"/>
    <x v="0"/>
    <n v="0.68450819672131147"/>
    <s v="fast"/>
  </r>
  <r>
    <x v="1587"/>
    <x v="0"/>
    <x v="14"/>
    <x v="4"/>
    <d v="2023-10-04T00:00:00"/>
    <d v="2023-10-06T00:00:00"/>
    <n v="18.3"/>
    <n v="119.1"/>
    <s v="Lost"/>
    <n v="860"/>
    <n v="2"/>
    <x v="2"/>
    <n v="0.13848837209302325"/>
    <s v="not applicabel"/>
  </r>
  <r>
    <x v="1588"/>
    <x v="6"/>
    <x v="7"/>
    <x v="4"/>
    <d v="2023-08-19T00:00:00"/>
    <d v="2023-08-24T00:00:00"/>
    <n v="38.1"/>
    <n v="172.76"/>
    <s v="Delivered"/>
    <n v="1115"/>
    <n v="5"/>
    <x v="0"/>
    <n v="0.15494170403587443"/>
    <s v="slow"/>
  </r>
  <r>
    <x v="1589"/>
    <x v="0"/>
    <x v="0"/>
    <x v="1"/>
    <d v="2023-05-06T00:00:00"/>
    <m/>
    <n v="42.5"/>
    <n v="287"/>
    <s v="Delivered"/>
    <n v="1527"/>
    <n v="3"/>
    <x v="4"/>
    <n v="0.1879502292075966"/>
    <s v="not applicabel"/>
  </r>
  <r>
    <x v="1590"/>
    <x v="7"/>
    <x v="1"/>
    <x v="4"/>
    <d v="2023-10-16T00:00:00"/>
    <d v="2023-10-19T00:00:00"/>
    <n v="15.2"/>
    <n v="160.36000000000001"/>
    <s v="Delivered"/>
    <n v="1098"/>
    <n v="3"/>
    <x v="0"/>
    <n v="0.14604735883424408"/>
    <s v="fast"/>
  </r>
  <r>
    <x v="1591"/>
    <x v="0"/>
    <x v="13"/>
    <x v="2"/>
    <d v="2023-08-05T00:00:00"/>
    <d v="2023-08-11T00:00:00"/>
    <n v="23.4"/>
    <n v="311.04000000000002"/>
    <s v="Delivered"/>
    <n v="2447"/>
    <n v="6"/>
    <x v="0"/>
    <n v="0.12711074785451573"/>
    <s v="slow"/>
  </r>
  <r>
    <x v="1592"/>
    <x v="2"/>
    <x v="13"/>
    <x v="0"/>
    <d v="2023-01-12T00:00:00"/>
    <d v="2023-01-17T00:00:00"/>
    <n v="31.7"/>
    <n v="195.68"/>
    <s v="Delivered"/>
    <n v="1114"/>
    <n v="5"/>
    <x v="0"/>
    <n v="0.17565529622980253"/>
    <s v="slow"/>
  </r>
  <r>
    <x v="1593"/>
    <x v="8"/>
    <x v="4"/>
    <x v="6"/>
    <d v="2023-01-12T00:00:00"/>
    <d v="2023-01-15T00:00:00"/>
    <n v="16.3"/>
    <n v="105.67"/>
    <s v="Delivered"/>
    <n v="759"/>
    <n v="3"/>
    <x v="0"/>
    <n v="0.13922266139657444"/>
    <s v="fast"/>
  </r>
  <r>
    <x v="1594"/>
    <x v="7"/>
    <x v="4"/>
    <x v="6"/>
    <d v="2023-03-14T00:00:00"/>
    <d v="2023-03-19T00:00:00"/>
    <n v="34"/>
    <n v="267.20999999999998"/>
    <s v="Delivered"/>
    <n v="2176"/>
    <n v="5"/>
    <x v="0"/>
    <n v="0.12279871323529411"/>
    <s v="slow"/>
  </r>
  <r>
    <x v="1595"/>
    <x v="0"/>
    <x v="4"/>
    <x v="4"/>
    <d v="2023-12-19T00:00:00"/>
    <d v="2023-12-22T00:00:00"/>
    <n v="10"/>
    <n v="60.18"/>
    <s v="Delivered"/>
    <n v="287"/>
    <n v="3"/>
    <x v="0"/>
    <n v="0.20968641114982578"/>
    <s v="fast"/>
  </r>
  <r>
    <x v="1596"/>
    <x v="1"/>
    <x v="5"/>
    <x v="0"/>
    <d v="2023-11-07T00:00:00"/>
    <d v="2023-11-11T00:00:00"/>
    <n v="17.399999999999999"/>
    <n v="250.16"/>
    <s v="Delivered"/>
    <n v="1356"/>
    <n v="4"/>
    <x v="0"/>
    <n v="0.18448377581120945"/>
    <s v="fast"/>
  </r>
  <r>
    <x v="1597"/>
    <x v="9"/>
    <x v="1"/>
    <x v="2"/>
    <d v="2023-10-24T00:00:00"/>
    <d v="2023-10-26T00:00:00"/>
    <n v="20"/>
    <n v="113.54"/>
    <s v="Delivered"/>
    <n v="737"/>
    <n v="2"/>
    <x v="0"/>
    <n v="0.15405698778833107"/>
    <s v="fast"/>
  </r>
  <r>
    <x v="1598"/>
    <x v="3"/>
    <x v="10"/>
    <x v="4"/>
    <d v="2023-07-12T00:00:00"/>
    <d v="2023-07-15T00:00:00"/>
    <n v="11.5"/>
    <n v="148.69"/>
    <s v="Delivered"/>
    <n v="1189"/>
    <n v="3"/>
    <x v="0"/>
    <n v="0.12505466778805718"/>
    <s v="fast"/>
  </r>
  <r>
    <x v="1599"/>
    <x v="5"/>
    <x v="14"/>
    <x v="1"/>
    <d v="2023-12-11T00:00:00"/>
    <d v="2023-12-14T00:00:00"/>
    <n v="35.1"/>
    <n v="226.64"/>
    <s v="Delivered"/>
    <n v="1000"/>
    <n v="3"/>
    <x v="0"/>
    <n v="0.22663999999999998"/>
    <s v="fast"/>
  </r>
  <r>
    <x v="1600"/>
    <x v="1"/>
    <x v="12"/>
    <x v="5"/>
    <d v="2023-10-16T00:00:00"/>
    <d v="2023-10-22T00:00:00"/>
    <n v="32.299999999999997"/>
    <n v="304.81"/>
    <s v="Delivered"/>
    <n v="2156"/>
    <n v="6"/>
    <x v="0"/>
    <n v="0.14137755102040817"/>
    <s v="slow"/>
  </r>
  <r>
    <x v="1601"/>
    <x v="0"/>
    <x v="11"/>
    <x v="0"/>
    <d v="2023-07-16T00:00:00"/>
    <d v="2023-07-18T00:00:00"/>
    <n v="38.4"/>
    <n v="177.3"/>
    <s v="Delivered"/>
    <n v="916"/>
    <n v="2"/>
    <x v="0"/>
    <n v="0.19355895196506551"/>
    <s v="fast"/>
  </r>
  <r>
    <x v="1602"/>
    <x v="3"/>
    <x v="3"/>
    <x v="6"/>
    <d v="2023-07-28T00:00:00"/>
    <d v="2023-08-09T00:00:00"/>
    <n v="71.900000000000006"/>
    <n v="123.54"/>
    <s v="Delayed"/>
    <n v="450"/>
    <n v="2"/>
    <x v="1"/>
    <n v="0.27453333333333335"/>
    <s v="not applicabel"/>
  </r>
  <r>
    <x v="1603"/>
    <x v="5"/>
    <x v="5"/>
    <x v="2"/>
    <d v="2023-12-15T00:00:00"/>
    <d v="2023-12-19T00:00:00"/>
    <n v="10.7"/>
    <n v="219.96"/>
    <s v="Delivered"/>
    <n v="1474"/>
    <n v="4"/>
    <x v="0"/>
    <n v="0.14922659430122118"/>
    <s v="fast"/>
  </r>
  <r>
    <x v="1604"/>
    <x v="7"/>
    <x v="11"/>
    <x v="6"/>
    <d v="2023-01-14T00:00:00"/>
    <d v="2023-01-18T00:00:00"/>
    <n v="20.6"/>
    <n v="181.01"/>
    <s v="In Transit"/>
    <n v="1523"/>
    <n v="4"/>
    <x v="0"/>
    <n v="0.11885095206828628"/>
    <s v="fast"/>
  </r>
  <r>
    <x v="1605"/>
    <x v="8"/>
    <x v="3"/>
    <x v="2"/>
    <d v="2023-03-25T00:00:00"/>
    <d v="2023-03-31T00:00:00"/>
    <n v="27.4"/>
    <m/>
    <s v="Delivered"/>
    <n v="986"/>
    <n v="6"/>
    <x v="0"/>
    <n v="0"/>
    <s v="slow"/>
  </r>
  <r>
    <x v="1606"/>
    <x v="2"/>
    <x v="7"/>
    <x v="1"/>
    <d v="2023-06-16T00:00:00"/>
    <d v="2023-07-05T00:00:00"/>
    <n v="23.1"/>
    <n v="323.18"/>
    <s v="Delayed"/>
    <n v="1989"/>
    <n v="6"/>
    <x v="1"/>
    <n v="0.16248366013071897"/>
    <s v="not applicabel"/>
  </r>
  <r>
    <x v="1607"/>
    <x v="7"/>
    <x v="2"/>
    <x v="5"/>
    <d v="2023-03-09T00:00:00"/>
    <d v="2023-03-14T00:00:00"/>
    <n v="8.1999999999999993"/>
    <n v="212.27"/>
    <s v="Delivered"/>
    <n v="1713"/>
    <n v="5"/>
    <x v="0"/>
    <n v="0.12391710449503796"/>
    <s v="slow"/>
  </r>
  <r>
    <x v="1608"/>
    <x v="0"/>
    <x v="6"/>
    <x v="5"/>
    <d v="2023-12-07T00:00:00"/>
    <d v="2023-12-09T00:00:00"/>
    <n v="30.1"/>
    <n v="122.82"/>
    <s v="Delivered"/>
    <n v="594"/>
    <n v="2"/>
    <x v="0"/>
    <n v="0.20676767676767677"/>
    <s v="fast"/>
  </r>
  <r>
    <x v="1609"/>
    <x v="8"/>
    <x v="10"/>
    <x v="3"/>
    <d v="2023-12-22T00:00:00"/>
    <d v="2023-12-27T00:00:00"/>
    <n v="12.6"/>
    <n v="367.26"/>
    <s v="Delivered"/>
    <n v="2151"/>
    <n v="5"/>
    <x v="0"/>
    <n v="0.17073919107391911"/>
    <s v="slow"/>
  </r>
  <r>
    <x v="1610"/>
    <x v="5"/>
    <x v="9"/>
    <x v="4"/>
    <d v="2023-02-09T00:00:00"/>
    <d v="2023-02-13T00:00:00"/>
    <n v="33.4"/>
    <n v="160.62"/>
    <s v="Delivered"/>
    <n v="989"/>
    <n v="4"/>
    <x v="0"/>
    <n v="0.16240647118301316"/>
    <s v="fast"/>
  </r>
  <r>
    <x v="1611"/>
    <x v="4"/>
    <x v="14"/>
    <x v="0"/>
    <d v="2023-12-21T00:00:00"/>
    <d v="2023-12-22T00:00:00"/>
    <n v="17.3"/>
    <n v="70.13"/>
    <s v="Delivered"/>
    <n v="250"/>
    <n v="1"/>
    <x v="0"/>
    <n v="0.28051999999999999"/>
    <s v="fast"/>
  </r>
  <r>
    <x v="1612"/>
    <x v="1"/>
    <x v="9"/>
    <x v="2"/>
    <d v="2023-05-24T00:00:00"/>
    <d v="2023-05-27T00:00:00"/>
    <n v="39.6"/>
    <n v="95.86"/>
    <s v="Delivered"/>
    <n v="378"/>
    <n v="3"/>
    <x v="0"/>
    <n v="0.2535978835978836"/>
    <s v="fast"/>
  </r>
  <r>
    <x v="1613"/>
    <x v="5"/>
    <x v="7"/>
    <x v="4"/>
    <d v="2023-09-27T00:00:00"/>
    <d v="2023-09-28T00:00:00"/>
    <n v="58.9"/>
    <n v="105.74"/>
    <s v="Delivered"/>
    <n v="283"/>
    <n v="1"/>
    <x v="0"/>
    <n v="0.37363957597173142"/>
    <s v="fast"/>
  </r>
  <r>
    <x v="1614"/>
    <x v="2"/>
    <x v="7"/>
    <x v="1"/>
    <d v="2023-09-09T00:00:00"/>
    <d v="2023-09-12T00:00:00"/>
    <n v="66.7"/>
    <n v="268.33999999999997"/>
    <s v="Delivered"/>
    <n v="1387"/>
    <n v="3"/>
    <x v="0"/>
    <n v="0.1934679163662581"/>
    <s v="fast"/>
  </r>
  <r>
    <x v="1615"/>
    <x v="7"/>
    <x v="2"/>
    <x v="3"/>
    <d v="2023-04-04T00:00:00"/>
    <d v="2023-04-10T00:00:00"/>
    <n v="7"/>
    <n v="303.42"/>
    <s v="Delivered"/>
    <n v="2228"/>
    <n v="6"/>
    <x v="0"/>
    <n v="0.13618491921005388"/>
    <s v="slow"/>
  </r>
  <r>
    <x v="1616"/>
    <x v="9"/>
    <x v="1"/>
    <x v="5"/>
    <d v="2023-05-19T00:00:00"/>
    <d v="2023-05-24T00:00:00"/>
    <n v="49.9"/>
    <n v="288.11"/>
    <s v="Delivered"/>
    <n v="2067"/>
    <n v="5"/>
    <x v="0"/>
    <n v="0.13938558297048864"/>
    <s v="slow"/>
  </r>
  <r>
    <x v="1617"/>
    <x v="6"/>
    <x v="7"/>
    <x v="6"/>
    <d v="2023-09-04T00:00:00"/>
    <d v="2023-09-10T00:00:00"/>
    <n v="7.2"/>
    <m/>
    <s v="Delayed"/>
    <n v="881"/>
    <n v="5"/>
    <x v="1"/>
    <n v="0"/>
    <s v="not applicabel"/>
  </r>
  <r>
    <x v="1618"/>
    <x v="3"/>
    <x v="9"/>
    <x v="6"/>
    <d v="2023-08-24T00:00:00"/>
    <d v="2023-08-27T00:00:00"/>
    <n v="8.8000000000000007"/>
    <n v="132.34"/>
    <s v="Delivered"/>
    <n v="1021"/>
    <n v="3"/>
    <x v="0"/>
    <n v="0.12961802154750246"/>
    <s v="fast"/>
  </r>
  <r>
    <x v="1619"/>
    <x v="0"/>
    <x v="12"/>
    <x v="5"/>
    <d v="2023-09-28T00:00:00"/>
    <d v="2023-10-01T00:00:00"/>
    <n v="14.5"/>
    <n v="183.23"/>
    <s v="Delivered"/>
    <n v="1420"/>
    <n v="3"/>
    <x v="0"/>
    <n v="0.12903521126760562"/>
    <s v="fast"/>
  </r>
  <r>
    <x v="1620"/>
    <x v="2"/>
    <x v="10"/>
    <x v="5"/>
    <d v="2023-03-08T00:00:00"/>
    <d v="2023-03-12T00:00:00"/>
    <n v="25.8"/>
    <n v="137.06"/>
    <s v="In Transit"/>
    <n v="896"/>
    <n v="4"/>
    <x v="0"/>
    <n v="0.15296875000000001"/>
    <s v="fast"/>
  </r>
  <r>
    <x v="1621"/>
    <x v="3"/>
    <x v="13"/>
    <x v="2"/>
    <d v="2023-04-25T00:00:00"/>
    <d v="2023-04-27T00:00:00"/>
    <n v="10.6"/>
    <n v="110.85"/>
    <s v="Delivered"/>
    <n v="752"/>
    <n v="2"/>
    <x v="0"/>
    <n v="0.14740691489361701"/>
    <s v="fast"/>
  </r>
  <r>
    <x v="1622"/>
    <x v="4"/>
    <x v="1"/>
    <x v="6"/>
    <d v="2023-11-25T00:00:00"/>
    <d v="2023-11-27T00:00:00"/>
    <n v="22.1"/>
    <n v="93"/>
    <s v="Delivered"/>
    <n v="398"/>
    <n v="2"/>
    <x v="0"/>
    <n v="0.23366834170854273"/>
    <s v="fast"/>
  </r>
  <r>
    <x v="1623"/>
    <x v="9"/>
    <x v="11"/>
    <x v="4"/>
    <d v="2023-04-17T00:00:00"/>
    <d v="2023-04-22T00:00:00"/>
    <n v="15.3"/>
    <n v="157.36000000000001"/>
    <s v="Delivered"/>
    <n v="1237"/>
    <n v="5"/>
    <x v="0"/>
    <n v="0.12721099434114794"/>
    <s v="slow"/>
  </r>
  <r>
    <x v="1624"/>
    <x v="9"/>
    <x v="11"/>
    <x v="2"/>
    <d v="2023-01-30T00:00:00"/>
    <d v="2023-02-03T00:00:00"/>
    <n v="16.2"/>
    <n v="230.74"/>
    <s v="Delivered"/>
    <n v="1651"/>
    <n v="4"/>
    <x v="0"/>
    <n v="0.13975772259236827"/>
    <s v="fast"/>
  </r>
  <r>
    <x v="1625"/>
    <x v="1"/>
    <x v="11"/>
    <x v="4"/>
    <d v="2023-12-31T00:00:00"/>
    <d v="2024-01-04T00:00:00"/>
    <n v="37"/>
    <n v="306.42"/>
    <s v="Delivered"/>
    <n v="1658"/>
    <n v="4"/>
    <x v="0"/>
    <n v="0.18481302774427022"/>
    <s v="fast"/>
  </r>
  <r>
    <x v="1626"/>
    <x v="0"/>
    <x v="14"/>
    <x v="6"/>
    <d v="2023-12-11T00:00:00"/>
    <d v="2023-12-17T00:00:00"/>
    <n v="42.7"/>
    <n v="319.58"/>
    <s v="Delivered"/>
    <n v="1829"/>
    <n v="6"/>
    <x v="0"/>
    <n v="0.17472936030617822"/>
    <s v="slow"/>
  </r>
  <r>
    <x v="1627"/>
    <x v="8"/>
    <x v="2"/>
    <x v="1"/>
    <d v="2023-02-03T00:00:00"/>
    <d v="2023-02-08T00:00:00"/>
    <n v="7.4"/>
    <n v="252.34"/>
    <s v="Delivered"/>
    <n v="1879"/>
    <n v="5"/>
    <x v="0"/>
    <n v="0.13429483767961681"/>
    <s v="slow"/>
  </r>
  <r>
    <x v="1628"/>
    <x v="6"/>
    <x v="7"/>
    <x v="4"/>
    <d v="2023-08-17T00:00:00"/>
    <d v="2023-08-22T00:00:00"/>
    <n v="23.4"/>
    <n v="89.92"/>
    <s v="Delayed"/>
    <n v="454"/>
    <n v="1"/>
    <x v="1"/>
    <n v="0.19806167400881058"/>
    <s v="not applicabel"/>
  </r>
  <r>
    <x v="1629"/>
    <x v="8"/>
    <x v="12"/>
    <x v="4"/>
    <d v="2023-05-06T00:00:00"/>
    <d v="2023-05-07T00:00:00"/>
    <n v="34.9"/>
    <n v="61.85"/>
    <s v="Delivered"/>
    <n v="197"/>
    <n v="1"/>
    <x v="0"/>
    <n v="0.31395939086294417"/>
    <s v="fast"/>
  </r>
  <r>
    <x v="1630"/>
    <x v="9"/>
    <x v="8"/>
    <x v="2"/>
    <d v="2023-05-24T00:00:00"/>
    <d v="2023-05-29T00:00:00"/>
    <n v="8.1"/>
    <n v="174.87"/>
    <s v="Delivered"/>
    <n v="1325"/>
    <n v="5"/>
    <x v="0"/>
    <n v="0.13197735849056605"/>
    <s v="slow"/>
  </r>
  <r>
    <x v="1631"/>
    <x v="1"/>
    <x v="6"/>
    <x v="3"/>
    <d v="2023-11-08T00:00:00"/>
    <d v="2023-11-14T00:00:00"/>
    <n v="6.2"/>
    <n v="268.27"/>
    <s v="Delivered"/>
    <n v="1538"/>
    <n v="6"/>
    <x v="0"/>
    <n v="0.17442782834850454"/>
    <s v="slow"/>
  </r>
  <r>
    <x v="1632"/>
    <x v="3"/>
    <x v="8"/>
    <x v="2"/>
    <d v="2023-01-05T00:00:00"/>
    <d v="2023-01-10T00:00:00"/>
    <n v="14"/>
    <n v="151.05000000000001"/>
    <s v="Delivered"/>
    <n v="1077"/>
    <n v="5"/>
    <x v="0"/>
    <n v="0.14025069637883009"/>
    <s v="slow"/>
  </r>
  <r>
    <x v="1633"/>
    <x v="6"/>
    <x v="11"/>
    <x v="1"/>
    <d v="2023-11-06T00:00:00"/>
    <d v="2023-11-10T00:00:00"/>
    <n v="10"/>
    <n v="118.15"/>
    <s v="Delayed"/>
    <n v="638"/>
    <n v="2"/>
    <x v="1"/>
    <n v="0.18518808777429469"/>
    <s v="not applicabel"/>
  </r>
  <r>
    <x v="1634"/>
    <x v="3"/>
    <x v="9"/>
    <x v="6"/>
    <d v="2023-11-19T00:00:00"/>
    <d v="2023-11-28T00:00:00"/>
    <n v="43.6"/>
    <n v="304.3"/>
    <s v="Delivered"/>
    <n v="1947"/>
    <n v="9"/>
    <x v="0"/>
    <n v="0.15629173086800205"/>
    <s v="slow"/>
  </r>
  <r>
    <x v="1635"/>
    <x v="9"/>
    <x v="1"/>
    <x v="4"/>
    <d v="2023-06-22T00:00:00"/>
    <d v="2023-06-27T00:00:00"/>
    <n v="16.100000000000001"/>
    <n v="143"/>
    <s v="Delivered"/>
    <n v="1074"/>
    <n v="5"/>
    <x v="0"/>
    <n v="0.13314711359404097"/>
    <s v="slow"/>
  </r>
  <r>
    <x v="1636"/>
    <x v="4"/>
    <x v="8"/>
    <x v="5"/>
    <d v="2023-06-12T00:00:00"/>
    <d v="2023-06-15T00:00:00"/>
    <n v="21.3"/>
    <n v="91.45"/>
    <s v="Delivered"/>
    <n v="587"/>
    <n v="3"/>
    <x v="0"/>
    <n v="0.15579216354344122"/>
    <s v="fast"/>
  </r>
  <r>
    <x v="1637"/>
    <x v="1"/>
    <x v="3"/>
    <x v="6"/>
    <d v="2023-03-22T00:00:00"/>
    <d v="2023-03-26T00:00:00"/>
    <n v="66.3"/>
    <n v="204.27"/>
    <s v="Delivered"/>
    <n v="1135"/>
    <n v="4"/>
    <x v="0"/>
    <n v="0.17997356828193833"/>
    <s v="fast"/>
  </r>
  <r>
    <x v="1638"/>
    <x v="0"/>
    <x v="1"/>
    <x v="2"/>
    <d v="2023-02-21T00:00:00"/>
    <d v="2023-02-24T00:00:00"/>
    <n v="5.9"/>
    <n v="103.51"/>
    <s v="Delivered"/>
    <n v="746"/>
    <n v="3"/>
    <x v="0"/>
    <n v="0.13875335120643431"/>
    <s v="fast"/>
  </r>
  <r>
    <x v="1639"/>
    <x v="2"/>
    <x v="9"/>
    <x v="6"/>
    <d v="2023-10-03T00:00:00"/>
    <d v="2023-10-07T00:00:00"/>
    <n v="28.9"/>
    <n v="227.91"/>
    <s v="Lost"/>
    <n v="1675"/>
    <n v="4"/>
    <x v="2"/>
    <n v="0.13606567164179104"/>
    <s v="not applicabel"/>
  </r>
  <r>
    <x v="1640"/>
    <x v="1"/>
    <x v="9"/>
    <x v="6"/>
    <d v="2023-10-31T00:00:00"/>
    <d v="2023-11-07T00:00:00"/>
    <n v="32.4"/>
    <n v="226.41"/>
    <s v="Delivered"/>
    <n v="1636"/>
    <n v="7"/>
    <x v="0"/>
    <n v="0.1383924205378973"/>
    <s v="slow"/>
  </r>
  <r>
    <x v="1641"/>
    <x v="6"/>
    <x v="0"/>
    <x v="6"/>
    <d v="2023-01-19T00:00:00"/>
    <d v="2023-01-26T00:00:00"/>
    <n v="53"/>
    <n v="322.97000000000003"/>
    <s v="Delivered"/>
    <n v="2490"/>
    <n v="7"/>
    <x v="0"/>
    <n v="0.12970682730923697"/>
    <s v="slow"/>
  </r>
  <r>
    <x v="1642"/>
    <x v="0"/>
    <x v="6"/>
    <x v="6"/>
    <d v="2023-04-30T00:00:00"/>
    <d v="2023-05-13T00:00:00"/>
    <n v="37"/>
    <n v="211.45"/>
    <s v="Delayed"/>
    <n v="1433"/>
    <n v="4"/>
    <x v="1"/>
    <n v="0.14755757152826238"/>
    <s v="not applicabel"/>
  </r>
  <r>
    <x v="1643"/>
    <x v="4"/>
    <x v="7"/>
    <x v="2"/>
    <d v="2023-05-15T00:00:00"/>
    <d v="2023-05-17T00:00:00"/>
    <n v="33.799999999999997"/>
    <n v="134.61000000000001"/>
    <s v="Lost"/>
    <n v="775"/>
    <n v="2"/>
    <x v="2"/>
    <n v="0.17369032258064518"/>
    <s v="not applicabel"/>
  </r>
  <r>
    <x v="1644"/>
    <x v="6"/>
    <x v="0"/>
    <x v="2"/>
    <d v="2023-08-22T00:00:00"/>
    <d v="2023-08-28T00:00:00"/>
    <n v="12.3"/>
    <n v="190.39"/>
    <s v="Delivered"/>
    <n v="1393"/>
    <n v="6"/>
    <x v="0"/>
    <n v="0.13667623833452977"/>
    <s v="slow"/>
  </r>
  <r>
    <x v="1645"/>
    <x v="1"/>
    <x v="13"/>
    <x v="1"/>
    <d v="2023-02-02T00:00:00"/>
    <d v="2023-02-08T00:00:00"/>
    <n v="15.5"/>
    <n v="351.5"/>
    <s v="Delivered"/>
    <n v="2499"/>
    <n v="6"/>
    <x v="0"/>
    <n v="0.14065626250500199"/>
    <s v="slow"/>
  </r>
  <r>
    <x v="1646"/>
    <x v="4"/>
    <x v="10"/>
    <x v="2"/>
    <d v="2023-05-25T00:00:00"/>
    <d v="2023-05-28T00:00:00"/>
    <n v="29.2"/>
    <n v="126.94"/>
    <s v="Delivered"/>
    <n v="680"/>
    <n v="3"/>
    <x v="0"/>
    <n v="0.18667647058823528"/>
    <s v="fast"/>
  </r>
  <r>
    <x v="1647"/>
    <x v="5"/>
    <x v="2"/>
    <x v="1"/>
    <d v="2023-02-28T00:00:00"/>
    <d v="2023-03-07T00:00:00"/>
    <n v="39.9"/>
    <n v="36.450000000000003"/>
    <s v="Delayed"/>
    <n v="2190"/>
    <n v="6"/>
    <x v="1"/>
    <n v="1.6643835616438358E-2"/>
    <s v="not applicabel"/>
  </r>
  <r>
    <x v="1648"/>
    <x v="1"/>
    <x v="13"/>
    <x v="1"/>
    <d v="2023-07-27T00:00:00"/>
    <d v="2023-08-02T00:00:00"/>
    <n v="24.6"/>
    <n v="295.52"/>
    <s v="Delivered"/>
    <n v="1899"/>
    <n v="6"/>
    <x v="0"/>
    <n v="0.15561874670879408"/>
    <s v="slow"/>
  </r>
  <r>
    <x v="1649"/>
    <x v="4"/>
    <x v="10"/>
    <x v="3"/>
    <d v="2023-02-22T00:00:00"/>
    <d v="2023-02-27T00:00:00"/>
    <n v="27.4"/>
    <n v="336.51"/>
    <s v="Delivered"/>
    <n v="2166"/>
    <n v="5"/>
    <x v="0"/>
    <n v="0.1553601108033241"/>
    <s v="slow"/>
  </r>
  <r>
    <x v="1650"/>
    <x v="5"/>
    <x v="4"/>
    <x v="2"/>
    <d v="2023-08-27T00:00:00"/>
    <d v="2023-08-30T00:00:00"/>
    <n v="9.9"/>
    <n v="67.66"/>
    <s v="Delivered"/>
    <n v="520"/>
    <n v="3"/>
    <x v="0"/>
    <n v="0.1301153846153846"/>
    <s v="fast"/>
  </r>
  <r>
    <x v="1651"/>
    <x v="9"/>
    <x v="5"/>
    <x v="4"/>
    <d v="2023-01-30T00:00:00"/>
    <d v="2023-02-01T00:00:00"/>
    <n v="16.2"/>
    <n v="106.95"/>
    <s v="Delivered"/>
    <n v="715"/>
    <n v="2"/>
    <x v="0"/>
    <n v="0.14958041958041959"/>
    <s v="fast"/>
  </r>
  <r>
    <x v="1652"/>
    <x v="4"/>
    <x v="4"/>
    <x v="5"/>
    <d v="2023-10-20T00:00:00"/>
    <d v="2023-10-25T00:00:00"/>
    <n v="27.9"/>
    <n v="261.5"/>
    <s v="In Transit"/>
    <n v="1773"/>
    <n v="5"/>
    <x v="0"/>
    <n v="0.14749012972363226"/>
    <s v="slow"/>
  </r>
  <r>
    <x v="1653"/>
    <x v="7"/>
    <x v="7"/>
    <x v="1"/>
    <d v="2023-05-15T00:00:00"/>
    <d v="2023-05-17T00:00:00"/>
    <n v="16.2"/>
    <n v="75.069999999999993"/>
    <s v="Delivered"/>
    <n v="369"/>
    <n v="2"/>
    <x v="0"/>
    <n v="0.20344173441734414"/>
    <s v="fast"/>
  </r>
  <r>
    <x v="1654"/>
    <x v="8"/>
    <x v="13"/>
    <x v="3"/>
    <d v="2023-08-18T00:00:00"/>
    <d v="2023-08-20T00:00:00"/>
    <n v="5.3"/>
    <n v="107.55"/>
    <s v="Delivered"/>
    <n v="846"/>
    <n v="2"/>
    <x v="0"/>
    <n v="0.12712765957446809"/>
    <s v="fast"/>
  </r>
  <r>
    <x v="1655"/>
    <x v="1"/>
    <x v="9"/>
    <x v="4"/>
    <d v="2023-08-29T00:00:00"/>
    <d v="2023-09-01T00:00:00"/>
    <n v="23.7"/>
    <n v="137.37"/>
    <s v="Delivered"/>
    <n v="905"/>
    <n v="3"/>
    <x v="0"/>
    <n v="0.1517900552486188"/>
    <s v="fast"/>
  </r>
  <r>
    <x v="1656"/>
    <x v="2"/>
    <x v="13"/>
    <x v="1"/>
    <d v="2023-12-02T00:00:00"/>
    <d v="2023-12-04T00:00:00"/>
    <n v="5.6"/>
    <n v="36.1"/>
    <s v="Delivered"/>
    <n v="171"/>
    <n v="2"/>
    <x v="0"/>
    <n v="0.21111111111111111"/>
    <s v="fast"/>
  </r>
  <r>
    <x v="1657"/>
    <x v="0"/>
    <x v="12"/>
    <x v="1"/>
    <d v="2023-02-18T00:00:00"/>
    <d v="2023-02-24T00:00:00"/>
    <n v="8.9"/>
    <n v="296.47000000000003"/>
    <s v="Delivered"/>
    <n v="2222"/>
    <n v="6"/>
    <x v="0"/>
    <n v="0.13342484248424843"/>
    <s v="slow"/>
  </r>
  <r>
    <x v="1658"/>
    <x v="7"/>
    <x v="11"/>
    <x v="3"/>
    <d v="2023-02-08T00:00:00"/>
    <d v="2023-02-14T00:00:00"/>
    <n v="27.2"/>
    <n v="375.67"/>
    <s v="Delivered"/>
    <n v="2462"/>
    <n v="6"/>
    <x v="0"/>
    <n v="0.15258732737611699"/>
    <s v="slow"/>
  </r>
  <r>
    <x v="1659"/>
    <x v="4"/>
    <x v="12"/>
    <x v="2"/>
    <d v="2023-07-06T00:00:00"/>
    <d v="2023-07-11T00:00:00"/>
    <n v="9.6999999999999993"/>
    <n v="191.62"/>
    <s v="Delivered"/>
    <n v="1529"/>
    <n v="5"/>
    <x v="0"/>
    <n v="0.12532374100719423"/>
    <s v="slow"/>
  </r>
  <r>
    <x v="1660"/>
    <x v="2"/>
    <x v="11"/>
    <x v="0"/>
    <d v="2023-04-30T00:00:00"/>
    <d v="2023-05-05T00:00:00"/>
    <n v="3"/>
    <n v="237.95"/>
    <s v="Delivered"/>
    <n v="1912"/>
    <n v="5"/>
    <x v="0"/>
    <n v="0.12445083682008368"/>
    <s v="slow"/>
  </r>
  <r>
    <x v="1661"/>
    <x v="1"/>
    <x v="5"/>
    <x v="5"/>
    <d v="2023-12-17T00:00:00"/>
    <d v="2023-12-20T00:00:00"/>
    <n v="60.3"/>
    <n v="272.77999999999997"/>
    <s v="Delivered"/>
    <n v="1194"/>
    <n v="3"/>
    <x v="0"/>
    <n v="0.22845896147403683"/>
    <s v="fast"/>
  </r>
  <r>
    <x v="1662"/>
    <x v="5"/>
    <x v="7"/>
    <x v="0"/>
    <d v="2023-12-09T00:00:00"/>
    <d v="2023-12-20T00:00:00"/>
    <n v="10.3"/>
    <m/>
    <s v="Delayed"/>
    <n v="283"/>
    <n v="1"/>
    <x v="1"/>
    <n v="0"/>
    <s v="not applicabel"/>
  </r>
  <r>
    <x v="1663"/>
    <x v="3"/>
    <x v="6"/>
    <x v="5"/>
    <d v="2023-06-11T00:00:00"/>
    <d v="2023-06-17T00:00:00"/>
    <n v="34.299999999999997"/>
    <n v="296.22000000000003"/>
    <s v="Delivered"/>
    <n v="1916"/>
    <n v="6"/>
    <x v="0"/>
    <n v="0.1546033402922756"/>
    <s v="slow"/>
  </r>
  <r>
    <x v="1664"/>
    <x v="0"/>
    <x v="14"/>
    <x v="0"/>
    <d v="2023-04-08T00:00:00"/>
    <d v="2023-04-13T00:00:00"/>
    <n v="34.200000000000003"/>
    <n v="113.11"/>
    <s v="Delivered"/>
    <n v="504"/>
    <n v="5"/>
    <x v="0"/>
    <n v="0.22442460317460317"/>
    <s v="slow"/>
  </r>
  <r>
    <x v="1665"/>
    <x v="7"/>
    <x v="8"/>
    <x v="4"/>
    <d v="2023-08-01T00:00:00"/>
    <d v="2023-08-09T00:00:00"/>
    <n v="70.5"/>
    <n v="367.67"/>
    <s v="Delivered"/>
    <n v="2442"/>
    <n v="8"/>
    <x v="0"/>
    <n v="0.15056101556101556"/>
    <s v="slow"/>
  </r>
  <r>
    <x v="1666"/>
    <x v="1"/>
    <x v="3"/>
    <x v="5"/>
    <d v="2023-03-27T00:00:00"/>
    <d v="2023-04-01T00:00:00"/>
    <n v="13.1"/>
    <n v="162.21"/>
    <s v="Delivered"/>
    <n v="1135"/>
    <n v="5"/>
    <x v="0"/>
    <n v="0.14291629955947138"/>
    <s v="slow"/>
  </r>
  <r>
    <x v="1667"/>
    <x v="5"/>
    <x v="10"/>
    <x v="5"/>
    <d v="2023-10-30T00:00:00"/>
    <d v="2023-11-04T00:00:00"/>
    <n v="26.5"/>
    <n v="254.13"/>
    <s v="Delivered"/>
    <n v="1815"/>
    <n v="5"/>
    <x v="0"/>
    <n v="0.14001652892561983"/>
    <s v="slow"/>
  </r>
  <r>
    <x v="1668"/>
    <x v="9"/>
    <x v="14"/>
    <x v="3"/>
    <d v="2023-12-27T00:00:00"/>
    <d v="2023-12-30T00:00:00"/>
    <n v="13.6"/>
    <n v="166.26"/>
    <s v="In Transit"/>
    <n v="834"/>
    <n v="3"/>
    <x v="0"/>
    <n v="0.19935251798561149"/>
    <s v="fast"/>
  </r>
  <r>
    <x v="1669"/>
    <x v="4"/>
    <x v="3"/>
    <x v="1"/>
    <d v="2023-11-27T00:00:00"/>
    <d v="2023-11-30T00:00:00"/>
    <n v="18.600000000000001"/>
    <n v="202.15"/>
    <s v="Delivered"/>
    <n v="997"/>
    <n v="3"/>
    <x v="0"/>
    <n v="0.20275827482447342"/>
    <s v="fast"/>
  </r>
  <r>
    <x v="1670"/>
    <x v="1"/>
    <x v="10"/>
    <x v="4"/>
    <d v="2023-02-27T00:00:00"/>
    <d v="2023-03-01T00:00:00"/>
    <n v="32.6"/>
    <n v="89.42"/>
    <s v="Delivered"/>
    <n v="373"/>
    <n v="2"/>
    <x v="0"/>
    <n v="0.23973190348525469"/>
    <s v="fast"/>
  </r>
  <r>
    <x v="1671"/>
    <x v="0"/>
    <x v="8"/>
    <x v="3"/>
    <d v="2023-12-06T00:00:00"/>
    <d v="2023-12-13T00:00:00"/>
    <n v="9"/>
    <n v="352.78"/>
    <s v="Delivered"/>
    <n v="1993"/>
    <n v="7"/>
    <x v="0"/>
    <n v="0.17700953336678374"/>
    <s v="slow"/>
  </r>
  <r>
    <x v="1672"/>
    <x v="8"/>
    <x v="0"/>
    <x v="5"/>
    <d v="2023-05-05T00:00:00"/>
    <d v="2023-05-12T00:00:00"/>
    <n v="19.399999999999999"/>
    <n v="322.16000000000003"/>
    <s v="Delivered"/>
    <n v="2423"/>
    <n v="7"/>
    <x v="0"/>
    <n v="0.13295914156004954"/>
    <s v="slow"/>
  </r>
  <r>
    <x v="1673"/>
    <x v="2"/>
    <x v="4"/>
    <x v="5"/>
    <d v="2023-05-23T00:00:00"/>
    <d v="2023-05-27T00:00:00"/>
    <n v="4.7"/>
    <n v="228.78"/>
    <s v="Delivered"/>
    <n v="1732"/>
    <n v="4"/>
    <x v="0"/>
    <n v="0.13209006928406467"/>
    <s v="fast"/>
  </r>
  <r>
    <x v="1674"/>
    <x v="0"/>
    <x v="6"/>
    <x v="6"/>
    <d v="2023-06-29T00:00:00"/>
    <d v="2023-07-01T00:00:00"/>
    <n v="15.9"/>
    <n v="119.24"/>
    <s v="Delivered"/>
    <n v="928"/>
    <n v="2"/>
    <x v="0"/>
    <n v="0.12849137931034482"/>
    <s v="fast"/>
  </r>
  <r>
    <x v="1675"/>
    <x v="7"/>
    <x v="7"/>
    <x v="3"/>
    <d v="2023-04-06T00:00:00"/>
    <d v="2023-04-10T00:00:00"/>
    <n v="16"/>
    <n v="220.43"/>
    <s v="Delivered"/>
    <n v="1521"/>
    <n v="4"/>
    <x v="0"/>
    <n v="0.14492439184746878"/>
    <s v="fast"/>
  </r>
  <r>
    <x v="1676"/>
    <x v="4"/>
    <x v="7"/>
    <x v="4"/>
    <d v="2023-08-05T00:00:00"/>
    <d v="2023-08-12T00:00:00"/>
    <n v="11.4"/>
    <n v="263.33999999999997"/>
    <s v="Delivered"/>
    <n v="2178"/>
    <n v="7"/>
    <x v="0"/>
    <n v="0.1209090909090909"/>
    <s v="slow"/>
  </r>
  <r>
    <x v="1677"/>
    <x v="6"/>
    <x v="1"/>
    <x v="2"/>
    <d v="2023-06-03T00:00:00"/>
    <d v="2023-06-17T00:00:00"/>
    <n v="43.6"/>
    <n v="155.15"/>
    <s v="Delayed"/>
    <n v="800"/>
    <n v="4"/>
    <x v="1"/>
    <n v="0.19393750000000001"/>
    <s v="not applicabel"/>
  </r>
  <r>
    <x v="1678"/>
    <x v="9"/>
    <x v="9"/>
    <x v="5"/>
    <d v="2023-08-23T00:00:00"/>
    <d v="2023-08-28T00:00:00"/>
    <n v="45.5"/>
    <n v="293.95"/>
    <s v="Delivered"/>
    <n v="2201"/>
    <n v="5"/>
    <x v="0"/>
    <n v="0.13355293048614267"/>
    <s v="slow"/>
  </r>
  <r>
    <x v="1679"/>
    <x v="3"/>
    <x v="10"/>
    <x v="6"/>
    <d v="2023-05-17T00:00:00"/>
    <d v="2023-05-18T00:00:00"/>
    <n v="18.3"/>
    <n v="31.27"/>
    <s v="Delivered"/>
    <n v="117"/>
    <n v="1"/>
    <x v="0"/>
    <n v="0.26726495726495725"/>
    <s v="fast"/>
  </r>
  <r>
    <x v="1680"/>
    <x v="4"/>
    <x v="9"/>
    <x v="1"/>
    <d v="2023-06-15T00:00:00"/>
    <d v="2023-06-20T00:00:00"/>
    <n v="29.2"/>
    <n v="280.92"/>
    <s v="Delivered"/>
    <n v="1739"/>
    <n v="5"/>
    <x v="0"/>
    <n v="0.16154111558366879"/>
    <s v="slow"/>
  </r>
  <r>
    <x v="1681"/>
    <x v="0"/>
    <x v="1"/>
    <x v="3"/>
    <d v="2023-04-05T00:00:00"/>
    <d v="2023-04-21T00:00:00"/>
    <n v="81.900000000000006"/>
    <n v="247.05"/>
    <s v="Delayed"/>
    <n v="1123"/>
    <n v="3"/>
    <x v="1"/>
    <n v="0.21999109528049868"/>
    <s v="not applicabel"/>
  </r>
  <r>
    <x v="1682"/>
    <x v="3"/>
    <x v="8"/>
    <x v="5"/>
    <d v="2023-04-16T00:00:00"/>
    <d v="2023-04-17T00:00:00"/>
    <n v="43.5"/>
    <n v="111.47"/>
    <s v="Delivered"/>
    <n v="421"/>
    <n v="1"/>
    <x v="0"/>
    <n v="0.26477434679334916"/>
    <s v="fast"/>
  </r>
  <r>
    <x v="1683"/>
    <x v="3"/>
    <x v="3"/>
    <x v="0"/>
    <d v="2023-02-13T00:00:00"/>
    <d v="2023-02-19T00:00:00"/>
    <n v="12.5"/>
    <n v="119.12"/>
    <s v="Delivered"/>
    <n v="916"/>
    <n v="6"/>
    <x v="0"/>
    <n v="0.13004366812227075"/>
    <s v="slow"/>
  </r>
  <r>
    <x v="1684"/>
    <x v="8"/>
    <x v="0"/>
    <x v="6"/>
    <d v="2023-05-20T00:00:00"/>
    <d v="2023-05-26T00:00:00"/>
    <n v="21.5"/>
    <n v="271.82"/>
    <s v="Delivered"/>
    <n v="2202"/>
    <n v="6"/>
    <x v="0"/>
    <n v="0.1234423251589464"/>
    <s v="slow"/>
  </r>
  <r>
    <x v="1685"/>
    <x v="8"/>
    <x v="9"/>
    <x v="2"/>
    <d v="2023-08-31T00:00:00"/>
    <d v="2023-09-02T00:00:00"/>
    <n v="19"/>
    <n v="46.94"/>
    <s v="Delivered"/>
    <n v="215"/>
    <n v="2"/>
    <x v="0"/>
    <n v="0.21832558139534883"/>
    <s v="fast"/>
  </r>
  <r>
    <x v="1686"/>
    <x v="7"/>
    <x v="3"/>
    <x v="2"/>
    <d v="2023-11-24T00:00:00"/>
    <d v="2023-11-27T00:00:00"/>
    <n v="53.8"/>
    <n v="121.01"/>
    <s v="Delivered"/>
    <n v="371"/>
    <n v="3"/>
    <x v="0"/>
    <n v="0.32617250673854448"/>
    <s v="fast"/>
  </r>
  <r>
    <x v="1687"/>
    <x v="3"/>
    <x v="3"/>
    <x v="4"/>
    <d v="2023-03-16T00:00:00"/>
    <d v="2023-03-30T00:00:00"/>
    <n v="21.6"/>
    <n v="73.319999999999993"/>
    <s v="Delayed"/>
    <n v="378"/>
    <n v="3"/>
    <x v="1"/>
    <n v="0.19396825396825396"/>
    <s v="not applicabel"/>
  </r>
  <r>
    <x v="1688"/>
    <x v="7"/>
    <x v="8"/>
    <x v="3"/>
    <d v="2023-09-23T00:00:00"/>
    <d v="2023-10-01T00:00:00"/>
    <n v="14.8"/>
    <n v="215.86"/>
    <s v="Delivered"/>
    <n v="1456"/>
    <n v="8"/>
    <x v="0"/>
    <n v="0.14825549450549452"/>
    <s v="slow"/>
  </r>
  <r>
    <x v="1689"/>
    <x v="1"/>
    <x v="8"/>
    <x v="3"/>
    <d v="2023-10-08T00:00:00"/>
    <d v="2023-10-18T00:00:00"/>
    <n v="10.7"/>
    <n v="170.69"/>
    <s v="Delayed"/>
    <n v="1114"/>
    <n v="3"/>
    <x v="1"/>
    <n v="0.15322262118491919"/>
    <s v="not applicabel"/>
  </r>
  <r>
    <x v="1690"/>
    <x v="9"/>
    <x v="6"/>
    <x v="0"/>
    <d v="2023-06-16T00:00:00"/>
    <d v="2023-06-20T00:00:00"/>
    <n v="42"/>
    <n v="218.32"/>
    <s v="Delivered"/>
    <n v="1417"/>
    <n v="4"/>
    <x v="0"/>
    <n v="0.15407198306280875"/>
    <s v="fast"/>
  </r>
  <r>
    <x v="1691"/>
    <x v="7"/>
    <x v="2"/>
    <x v="1"/>
    <d v="2023-05-05T00:00:00"/>
    <d v="2023-05-10T00:00:00"/>
    <n v="19"/>
    <n v="224.15"/>
    <s v="Delivered"/>
    <n v="1402"/>
    <n v="5"/>
    <x v="0"/>
    <n v="0.15987874465049928"/>
    <s v="slow"/>
  </r>
  <r>
    <x v="1692"/>
    <x v="1"/>
    <x v="1"/>
    <x v="1"/>
    <d v="2023-03-25T00:00:00"/>
    <d v="2023-03-26T00:00:00"/>
    <n v="18.399999999999999"/>
    <n v="46.71"/>
    <s v="Delivered"/>
    <n v="178"/>
    <n v="1"/>
    <x v="0"/>
    <n v="0.26241573033707866"/>
    <s v="fast"/>
  </r>
  <r>
    <x v="1693"/>
    <x v="9"/>
    <x v="2"/>
    <x v="0"/>
    <d v="2023-01-29T00:00:00"/>
    <d v="2023-02-03T00:00:00"/>
    <n v="16"/>
    <n v="205.32"/>
    <s v="Delivered"/>
    <n v="1575"/>
    <n v="5"/>
    <x v="0"/>
    <n v="0.13036190476190476"/>
    <s v="slow"/>
  </r>
  <r>
    <x v="1694"/>
    <x v="8"/>
    <x v="1"/>
    <x v="6"/>
    <d v="2023-09-23T00:00:00"/>
    <d v="2023-09-30T00:00:00"/>
    <n v="13.9"/>
    <n v="107.12"/>
    <s v="Delivered"/>
    <n v="870"/>
    <n v="7"/>
    <x v="0"/>
    <n v="0.1231264367816092"/>
    <s v="slow"/>
  </r>
  <r>
    <x v="1695"/>
    <x v="4"/>
    <x v="6"/>
    <x v="4"/>
    <d v="2023-04-06T00:00:00"/>
    <d v="2023-04-13T00:00:00"/>
    <n v="6.3"/>
    <n v="258.52"/>
    <s v="Delivered"/>
    <n v="1995"/>
    <n v="7"/>
    <x v="0"/>
    <n v="0.12958395989974936"/>
    <s v="slow"/>
  </r>
  <r>
    <x v="1696"/>
    <x v="9"/>
    <x v="6"/>
    <x v="6"/>
    <d v="2023-01-27T00:00:00"/>
    <d v="2023-01-29T00:00:00"/>
    <n v="20"/>
    <n v="92.89"/>
    <s v="Delivered"/>
    <n v="606"/>
    <n v="2"/>
    <x v="0"/>
    <n v="0.15328382838283827"/>
    <s v="fast"/>
  </r>
  <r>
    <x v="1697"/>
    <x v="8"/>
    <x v="12"/>
    <x v="2"/>
    <d v="2023-05-15T00:00:00"/>
    <d v="2023-05-18T00:00:00"/>
    <n v="30.8"/>
    <n v="84.89"/>
    <s v="Delivered"/>
    <n v="433"/>
    <n v="3"/>
    <x v="0"/>
    <n v="0.19605080831408775"/>
    <s v="fast"/>
  </r>
  <r>
    <x v="1698"/>
    <x v="7"/>
    <x v="6"/>
    <x v="1"/>
    <d v="2023-11-09T00:00:00"/>
    <d v="2023-11-13T00:00:00"/>
    <n v="38.799999999999997"/>
    <n v="192.95"/>
    <s v="Delivered"/>
    <n v="755"/>
    <n v="4"/>
    <x v="0"/>
    <n v="0.25556291390728475"/>
    <s v="fast"/>
  </r>
  <r>
    <x v="1699"/>
    <x v="5"/>
    <x v="6"/>
    <x v="5"/>
    <d v="2023-02-25T00:00:00"/>
    <d v="2023-03-02T00:00:00"/>
    <n v="69.7"/>
    <n v="267.92"/>
    <s v="Delivered"/>
    <n v="1580"/>
    <n v="5"/>
    <x v="0"/>
    <n v="0.16956962025316458"/>
    <s v="slow"/>
  </r>
  <r>
    <x v="1700"/>
    <x v="4"/>
    <x v="13"/>
    <x v="6"/>
    <d v="2023-06-14T00:00:00"/>
    <d v="2023-06-19T00:00:00"/>
    <n v="45.3"/>
    <n v="234.57"/>
    <s v="Delivered"/>
    <n v="1464"/>
    <n v="5"/>
    <x v="0"/>
    <n v="0.16022540983606556"/>
    <s v="slow"/>
  </r>
  <r>
    <x v="1701"/>
    <x v="6"/>
    <x v="12"/>
    <x v="4"/>
    <d v="2023-10-10T00:00:00"/>
    <d v="2023-10-29T00:00:00"/>
    <n v="43.7"/>
    <n v="350.82"/>
    <s v="Delayed"/>
    <n v="2299"/>
    <n v="6"/>
    <x v="1"/>
    <n v="0.1525967812092214"/>
    <s v="not applicabel"/>
  </r>
  <r>
    <x v="1702"/>
    <x v="5"/>
    <x v="11"/>
    <x v="4"/>
    <d v="2023-03-01T00:00:00"/>
    <d v="2023-03-07T00:00:00"/>
    <n v="16.399999999999999"/>
    <n v="178.38"/>
    <s v="Delivered"/>
    <n v="1350"/>
    <n v="6"/>
    <x v="0"/>
    <n v="0.13213333333333332"/>
    <s v="slow"/>
  </r>
  <r>
    <x v="1703"/>
    <x v="6"/>
    <x v="13"/>
    <x v="6"/>
    <d v="2023-06-24T00:00:00"/>
    <d v="2023-06-25T00:00:00"/>
    <n v="7"/>
    <n v="49.21"/>
    <s v="Returned"/>
    <n v="386"/>
    <n v="1"/>
    <x v="3"/>
    <n v="0.12748704663212435"/>
    <s v="not applicabel"/>
  </r>
  <r>
    <x v="1704"/>
    <x v="2"/>
    <x v="6"/>
    <x v="0"/>
    <d v="2023-07-02T00:00:00"/>
    <d v="2023-07-10T00:00:00"/>
    <n v="13"/>
    <n v="250.6"/>
    <s v="Delivered"/>
    <n v="1899"/>
    <n v="8"/>
    <x v="0"/>
    <n v="0.13196419167983148"/>
    <s v="slow"/>
  </r>
  <r>
    <x v="1705"/>
    <x v="1"/>
    <x v="6"/>
    <x v="5"/>
    <d v="2023-08-20T00:00:00"/>
    <d v="2023-08-24T00:00:00"/>
    <n v="40.5"/>
    <n v="155.06"/>
    <s v="Delivered"/>
    <n v="787"/>
    <n v="4"/>
    <x v="0"/>
    <n v="0.1970266836086404"/>
    <s v="fast"/>
  </r>
  <r>
    <x v="1706"/>
    <x v="8"/>
    <x v="6"/>
    <x v="5"/>
    <d v="2023-05-26T00:00:00"/>
    <d v="2023-06-01T00:00:00"/>
    <n v="50.6"/>
    <n v="328.01"/>
    <s v="Delivered"/>
    <n v="2388"/>
    <n v="6"/>
    <x v="0"/>
    <n v="0.13735762144053601"/>
    <s v="slow"/>
  </r>
  <r>
    <x v="1707"/>
    <x v="4"/>
    <x v="4"/>
    <x v="4"/>
    <d v="2023-07-29T00:00:00"/>
    <d v="2023-08-03T00:00:00"/>
    <n v="35.4"/>
    <n v="301.47000000000003"/>
    <s v="Delivered"/>
    <n v="2347"/>
    <n v="5"/>
    <x v="0"/>
    <n v="0.12844908393694079"/>
    <s v="slow"/>
  </r>
  <r>
    <x v="1708"/>
    <x v="3"/>
    <x v="0"/>
    <x v="3"/>
    <d v="2023-11-14T00:00:00"/>
    <d v="2023-11-19T00:00:00"/>
    <n v="9.6999999999999993"/>
    <n v="228.09"/>
    <s v="Delivered"/>
    <n v="1364"/>
    <n v="5"/>
    <x v="0"/>
    <n v="0.16722140762463344"/>
    <s v="slow"/>
  </r>
  <r>
    <x v="1709"/>
    <x v="1"/>
    <x v="3"/>
    <x v="0"/>
    <d v="2023-02-27T00:00:00"/>
    <d v="2023-03-02T00:00:00"/>
    <n v="7.2"/>
    <n v="137.16"/>
    <s v="Delivered"/>
    <n v="1135"/>
    <n v="3"/>
    <x v="0"/>
    <n v="0.12084581497797356"/>
    <s v="fast"/>
  </r>
  <r>
    <x v="1710"/>
    <x v="5"/>
    <x v="9"/>
    <x v="2"/>
    <d v="2023-03-11T00:00:00"/>
    <d v="2023-03-18T00:00:00"/>
    <n v="10.7"/>
    <n v="290.55"/>
    <s v="Delivered"/>
    <n v="2200"/>
    <n v="7"/>
    <x v="0"/>
    <n v="0.13206818181818183"/>
    <s v="slow"/>
  </r>
  <r>
    <x v="1711"/>
    <x v="5"/>
    <x v="14"/>
    <x v="3"/>
    <d v="2023-04-21T00:00:00"/>
    <d v="2023-04-27T00:00:00"/>
    <n v="19.5"/>
    <n v="150.02000000000001"/>
    <s v="Delivered"/>
    <n v="1000"/>
    <n v="6"/>
    <x v="0"/>
    <n v="0.15002000000000001"/>
    <s v="slow"/>
  </r>
  <r>
    <x v="1712"/>
    <x v="2"/>
    <x v="8"/>
    <x v="0"/>
    <d v="2023-05-05T00:00:00"/>
    <d v="2023-05-08T00:00:00"/>
    <n v="11.7"/>
    <n v="99.97"/>
    <s v="Delivered"/>
    <n v="701"/>
    <n v="3"/>
    <x v="0"/>
    <n v="0.14261055634807418"/>
    <s v="fast"/>
  </r>
  <r>
    <x v="1713"/>
    <x v="8"/>
    <x v="7"/>
    <x v="1"/>
    <d v="2023-04-12T00:00:00"/>
    <d v="2023-04-16T00:00:00"/>
    <n v="28.8"/>
    <n v="325.2"/>
    <s v="Delivered"/>
    <n v="1883"/>
    <n v="4"/>
    <x v="0"/>
    <n v="0.17270313329792883"/>
    <s v="fast"/>
  </r>
  <r>
    <x v="1714"/>
    <x v="2"/>
    <x v="7"/>
    <x v="0"/>
    <d v="2023-06-30T00:00:00"/>
    <d v="2023-07-06T00:00:00"/>
    <n v="7"/>
    <n v="296.14999999999998"/>
    <s v="Delivered"/>
    <n v="2424"/>
    <n v="6"/>
    <x v="0"/>
    <n v="0.12217409240924092"/>
    <s v="slow"/>
  </r>
  <r>
    <x v="1715"/>
    <x v="3"/>
    <x v="5"/>
    <x v="3"/>
    <d v="2023-05-01T00:00:00"/>
    <d v="2023-05-09T00:00:00"/>
    <n v="48.9"/>
    <n v="354.59"/>
    <s v="Lost"/>
    <n v="2059"/>
    <n v="8"/>
    <x v="2"/>
    <n v="0.17221466731423019"/>
    <s v="not applicabel"/>
  </r>
  <r>
    <x v="1716"/>
    <x v="7"/>
    <x v="6"/>
    <x v="2"/>
    <d v="2023-06-15T00:00:00"/>
    <d v="2023-06-24T00:00:00"/>
    <n v="108.8"/>
    <n v="368.09"/>
    <s v="Delayed"/>
    <n v="1857"/>
    <n v="5"/>
    <x v="1"/>
    <n v="0.19821755519655357"/>
    <s v="not applicabel"/>
  </r>
  <r>
    <x v="1717"/>
    <x v="0"/>
    <x v="1"/>
    <x v="6"/>
    <d v="2023-11-04T00:00:00"/>
    <d v="2023-11-09T00:00:00"/>
    <n v="12.2"/>
    <n v="37.96"/>
    <s v="Delivered"/>
    <n v="152"/>
    <n v="5"/>
    <x v="0"/>
    <n v="0.24973684210526317"/>
    <s v="slow"/>
  </r>
  <r>
    <x v="1718"/>
    <x v="0"/>
    <x v="12"/>
    <x v="1"/>
    <d v="2023-12-11T00:00:00"/>
    <d v="2023-12-16T00:00:00"/>
    <n v="9"/>
    <n v="287.97000000000003"/>
    <s v="In Transit"/>
    <n v="1495"/>
    <n v="5"/>
    <x v="0"/>
    <n v="0.19262207357859534"/>
    <s v="slow"/>
  </r>
  <r>
    <x v="1719"/>
    <x v="6"/>
    <x v="14"/>
    <x v="2"/>
    <d v="2023-08-14T00:00:00"/>
    <d v="2023-08-17T00:00:00"/>
    <n v="17.3"/>
    <n v="146.13999999999999"/>
    <s v="Delivered"/>
    <n v="1030"/>
    <n v="3"/>
    <x v="0"/>
    <n v="0.14188349514563106"/>
    <s v="fast"/>
  </r>
  <r>
    <x v="1720"/>
    <x v="3"/>
    <x v="14"/>
    <x v="3"/>
    <d v="2023-05-21T00:00:00"/>
    <d v="2023-05-24T00:00:00"/>
    <n v="19.399999999999999"/>
    <n v="143.96"/>
    <s v="Delivered"/>
    <n v="854"/>
    <n v="3"/>
    <x v="0"/>
    <n v="0.16857142857142859"/>
    <s v="fast"/>
  </r>
  <r>
    <x v="1721"/>
    <x v="7"/>
    <x v="6"/>
    <x v="6"/>
    <d v="2023-04-25T00:00:00"/>
    <d v="2023-04-26T00:00:00"/>
    <n v="22.8"/>
    <n v="36.24"/>
    <s v="Delivered"/>
    <n v="101"/>
    <n v="1"/>
    <x v="0"/>
    <n v="0.35881188118811885"/>
    <s v="fast"/>
  </r>
  <r>
    <x v="1722"/>
    <x v="6"/>
    <x v="9"/>
    <x v="5"/>
    <d v="2023-12-31T00:00:00"/>
    <d v="2024-01-05T00:00:00"/>
    <n v="27.4"/>
    <n v="392.67"/>
    <s v="Delivered"/>
    <n v="2353"/>
    <n v="5"/>
    <x v="0"/>
    <n v="0.16688057798555037"/>
    <s v="slow"/>
  </r>
  <r>
    <x v="1723"/>
    <x v="6"/>
    <x v="13"/>
    <x v="6"/>
    <d v="2023-07-13T00:00:00"/>
    <d v="2023-07-16T00:00:00"/>
    <n v="17.7"/>
    <n v="170.71"/>
    <s v="Delivered"/>
    <n v="1382"/>
    <n v="3"/>
    <x v="0"/>
    <n v="0.12352387843704776"/>
    <s v="fast"/>
  </r>
  <r>
    <x v="1724"/>
    <x v="9"/>
    <x v="9"/>
    <x v="1"/>
    <d v="2023-06-24T00:00:00"/>
    <d v="2023-07-08T00:00:00"/>
    <n v="38.5"/>
    <n v="174.45"/>
    <s v="Delayed"/>
    <n v="975"/>
    <n v="3"/>
    <x v="1"/>
    <n v="0.17892307692307691"/>
    <s v="not applicabel"/>
  </r>
  <r>
    <x v="1725"/>
    <x v="1"/>
    <x v="14"/>
    <x v="6"/>
    <d v="2023-07-03T00:00:00"/>
    <d v="2023-07-07T00:00:00"/>
    <n v="15.2"/>
    <n v="181.08"/>
    <s v="Delivered"/>
    <n v="1453"/>
    <n v="4"/>
    <x v="0"/>
    <n v="0.12462491397109429"/>
    <s v="fast"/>
  </r>
  <r>
    <x v="1726"/>
    <x v="4"/>
    <x v="2"/>
    <x v="0"/>
    <d v="2023-08-19T00:00:00"/>
    <d v="2023-08-22T00:00:00"/>
    <n v="9.5"/>
    <n v="177.71"/>
    <s v="In Transit"/>
    <n v="1321"/>
    <n v="3"/>
    <x v="0"/>
    <n v="0.13452687358062074"/>
    <s v="fast"/>
  </r>
  <r>
    <x v="1727"/>
    <x v="4"/>
    <x v="9"/>
    <x v="6"/>
    <d v="2023-10-30T00:00:00"/>
    <d v="2023-09-30T00:00:00"/>
    <n v="25.2"/>
    <n v="295.58999999999997"/>
    <s v="Delivered"/>
    <n v="2279"/>
    <n v="7"/>
    <x v="0"/>
    <n v="0.12970162351908732"/>
    <s v="slow"/>
  </r>
  <r>
    <x v="1728"/>
    <x v="6"/>
    <x v="5"/>
    <x v="3"/>
    <d v="2023-06-08T00:00:00"/>
    <d v="2023-06-13T00:00:00"/>
    <n v="11.8"/>
    <n v="116.39"/>
    <s v="Delivered"/>
    <n v="835"/>
    <n v="5"/>
    <x v="0"/>
    <n v="0.13938922155688624"/>
    <s v="slow"/>
  </r>
  <r>
    <x v="1729"/>
    <x v="1"/>
    <x v="11"/>
    <x v="2"/>
    <d v="2023-06-03T00:00:00"/>
    <d v="2023-06-07T00:00:00"/>
    <n v="8.6999999999999993"/>
    <n v="124.66"/>
    <s v="Delivered"/>
    <n v="1035"/>
    <n v="4"/>
    <x v="0"/>
    <n v="0.12044444444444444"/>
    <s v="fast"/>
  </r>
  <r>
    <x v="1730"/>
    <x v="9"/>
    <x v="0"/>
    <x v="6"/>
    <d v="2023-04-03T00:00:00"/>
    <d v="2023-04-07T00:00:00"/>
    <n v="226.6"/>
    <n v="44.83"/>
    <s v="Delivered"/>
    <n v="202"/>
    <n v="4"/>
    <x v="0"/>
    <n v="0.22193069306930693"/>
    <s v="fast"/>
  </r>
  <r>
    <x v="1731"/>
    <x v="5"/>
    <x v="12"/>
    <x v="4"/>
    <d v="2023-08-19T00:00:00"/>
    <d v="2023-08-21T00:00:00"/>
    <n v="14.3"/>
    <n v="44.86"/>
    <s v="Delivered"/>
    <n v="226"/>
    <n v="2"/>
    <x v="0"/>
    <n v="0.19849557522123892"/>
    <s v="fast"/>
  </r>
  <r>
    <x v="1732"/>
    <x v="6"/>
    <x v="11"/>
    <x v="3"/>
    <d v="2023-11-18T00:00:00"/>
    <d v="2023-11-24T00:00:00"/>
    <n v="47.6"/>
    <n v="434.73"/>
    <s v="Delivered"/>
    <n v="2194"/>
    <n v="6"/>
    <x v="0"/>
    <n v="0.19814494074749317"/>
    <s v="slow"/>
  </r>
  <r>
    <x v="1733"/>
    <x v="6"/>
    <x v="10"/>
    <x v="4"/>
    <d v="2023-11-05T00:00:00"/>
    <d v="2023-11-16T00:00:00"/>
    <n v="22.5"/>
    <n v="320.2"/>
    <s v="Delivered"/>
    <n v="1865"/>
    <n v="11"/>
    <x v="0"/>
    <n v="0.17168900804289544"/>
    <s v="slow"/>
  </r>
  <r>
    <x v="1734"/>
    <x v="5"/>
    <x v="14"/>
    <x v="3"/>
    <d v="2023-04-03T00:00:00"/>
    <d v="2023-04-07T00:00:00"/>
    <n v="19.100000000000001"/>
    <n v="159.13999999999999"/>
    <s v="Delivered"/>
    <n v="1000"/>
    <n v="4"/>
    <x v="0"/>
    <n v="0.15913999999999998"/>
    <s v="fast"/>
  </r>
  <r>
    <x v="1735"/>
    <x v="2"/>
    <x v="12"/>
    <x v="6"/>
    <d v="2023-03-24T00:00:00"/>
    <d v="2023-03-29T00:00:00"/>
    <n v="58.8"/>
    <n v="177.73"/>
    <s v="Delivered"/>
    <n v="892"/>
    <n v="5"/>
    <x v="0"/>
    <n v="0.1992488789237668"/>
    <s v="slow"/>
  </r>
  <r>
    <x v="1736"/>
    <x v="3"/>
    <x v="10"/>
    <x v="5"/>
    <d v="2023-10-24T00:00:00"/>
    <d v="2023-11-01T00:00:00"/>
    <n v="32"/>
    <n v="301.33"/>
    <s v="Delivered"/>
    <n v="2356"/>
    <n v="8"/>
    <x v="0"/>
    <n v="0.12789898132427843"/>
    <s v="slow"/>
  </r>
  <r>
    <x v="1737"/>
    <x v="9"/>
    <x v="11"/>
    <x v="5"/>
    <d v="2023-12-05T00:00:00"/>
    <d v="2023-12-06T00:00:00"/>
    <n v="5"/>
    <n v="33.880000000000003"/>
    <s v="Delivered"/>
    <n v="165"/>
    <n v="1"/>
    <x v="0"/>
    <n v="0.20533333333333334"/>
    <s v="fast"/>
  </r>
  <r>
    <x v="1738"/>
    <x v="0"/>
    <x v="11"/>
    <x v="3"/>
    <d v="2023-05-07T00:00:00"/>
    <d v="2023-05-09T00:00:00"/>
    <n v="0.2"/>
    <n v="88.88"/>
    <s v="Delivered"/>
    <n v="403"/>
    <n v="2"/>
    <x v="0"/>
    <n v="0.22054590570719601"/>
    <s v="fast"/>
  </r>
  <r>
    <x v="1739"/>
    <x v="1"/>
    <x v="10"/>
    <x v="2"/>
    <d v="2023-08-01T00:00:00"/>
    <d v="2023-08-03T00:00:00"/>
    <n v="9.6999999999999993"/>
    <n v="60.27"/>
    <s v="Delivered"/>
    <n v="373"/>
    <n v="2"/>
    <x v="0"/>
    <n v="0.16158176943699734"/>
    <s v="fast"/>
  </r>
  <r>
    <x v="1740"/>
    <x v="1"/>
    <x v="5"/>
    <x v="1"/>
    <d v="2023-04-18T00:00:00"/>
    <d v="2023-04-22T00:00:00"/>
    <n v="29.8"/>
    <n v="248.19"/>
    <s v="Delivered"/>
    <n v="1462"/>
    <n v="4"/>
    <x v="0"/>
    <n v="0.16976060191518469"/>
    <s v="fast"/>
  </r>
  <r>
    <x v="1741"/>
    <x v="3"/>
    <x v="12"/>
    <x v="6"/>
    <d v="2023-01-28T00:00:00"/>
    <d v="2023-02-04T00:00:00"/>
    <n v="15.7"/>
    <n v="199.62"/>
    <s v="Delivered"/>
    <n v="1715"/>
    <n v="7"/>
    <x v="0"/>
    <n v="0.11639650145772595"/>
    <s v="slow"/>
  </r>
  <r>
    <x v="1742"/>
    <x v="8"/>
    <x v="7"/>
    <x v="2"/>
    <d v="2023-02-19T00:00:00"/>
    <d v="2023-02-24T00:00:00"/>
    <n v="55"/>
    <n v="282.54000000000002"/>
    <s v="Delivered"/>
    <n v="2033"/>
    <n v="5"/>
    <x v="0"/>
    <n v="0.13897688145597639"/>
    <s v="slow"/>
  </r>
  <r>
    <x v="1743"/>
    <x v="0"/>
    <x v="10"/>
    <x v="4"/>
    <d v="2023-12-03T00:00:00"/>
    <d v="2023-12-21T00:00:00"/>
    <n v="31.4"/>
    <n v="226.08"/>
    <s v="Delayed"/>
    <n v="1430"/>
    <n v="5"/>
    <x v="1"/>
    <n v="0.15809790209790212"/>
    <s v="not applicabel"/>
  </r>
  <r>
    <x v="1744"/>
    <x v="4"/>
    <x v="4"/>
    <x v="5"/>
    <d v="2023-09-28T00:00:00"/>
    <d v="2023-10-02T00:00:00"/>
    <n v="54.2"/>
    <n v="240.9"/>
    <s v="Delivered"/>
    <n v="1309"/>
    <n v="4"/>
    <x v="0"/>
    <n v="0.18403361344537816"/>
    <s v="fast"/>
  </r>
  <r>
    <x v="1745"/>
    <x v="6"/>
    <x v="9"/>
    <x v="6"/>
    <d v="2023-08-28T00:00:00"/>
    <d v="2023-09-02T00:00:00"/>
    <n v="54.6"/>
    <n v="185.97"/>
    <s v="Delivered"/>
    <n v="942"/>
    <n v="5"/>
    <x v="0"/>
    <n v="0.19742038216560509"/>
    <s v="slow"/>
  </r>
  <r>
    <x v="1746"/>
    <x v="1"/>
    <x v="3"/>
    <x v="6"/>
    <d v="2023-12-26T00:00:00"/>
    <d v="2024-01-03T00:00:00"/>
    <n v="46.8"/>
    <n v="230.72"/>
    <s v="Delayed"/>
    <n v="1135"/>
    <n v="3"/>
    <x v="1"/>
    <n v="0.20327753303964757"/>
    <s v="not applicabel"/>
  </r>
  <r>
    <x v="1747"/>
    <x v="3"/>
    <x v="6"/>
    <x v="6"/>
    <d v="2023-08-26T00:00:00"/>
    <d v="2023-08-30T00:00:00"/>
    <n v="36.700000000000003"/>
    <n v="163.13999999999999"/>
    <s v="Delivered"/>
    <n v="1070"/>
    <n v="4"/>
    <x v="0"/>
    <n v="0.15246728971962614"/>
    <s v="fast"/>
  </r>
  <r>
    <x v="1748"/>
    <x v="4"/>
    <x v="0"/>
    <x v="0"/>
    <d v="2023-05-18T00:00:00"/>
    <d v="2023-05-23T00:00:00"/>
    <n v="20.9"/>
    <n v="267.89"/>
    <s v="Delivered"/>
    <n v="2032"/>
    <n v="5"/>
    <x v="0"/>
    <n v="0.13183562992125983"/>
    <s v="slow"/>
  </r>
  <r>
    <x v="1749"/>
    <x v="8"/>
    <x v="6"/>
    <x v="3"/>
    <d v="2023-04-06T00:00:00"/>
    <d v="2023-04-12T00:00:00"/>
    <n v="6.6"/>
    <n v="297.63"/>
    <s v="Delivered"/>
    <n v="2132"/>
    <n v="6"/>
    <x v="0"/>
    <n v="0.13960131332082551"/>
    <s v="slow"/>
  </r>
  <r>
    <x v="1750"/>
    <x v="4"/>
    <x v="3"/>
    <x v="5"/>
    <d v="2023-11-06T00:00:00"/>
    <d v="2023-11-09T00:00:00"/>
    <n v="12.4"/>
    <n v="167.33"/>
    <s v="Lost"/>
    <n v="1030"/>
    <n v="3"/>
    <x v="2"/>
    <n v="0.16245631067961167"/>
    <s v="not applicabel"/>
  </r>
  <r>
    <x v="1751"/>
    <x v="2"/>
    <x v="4"/>
    <x v="5"/>
    <d v="2023-08-03T00:00:00"/>
    <d v="2023-08-08T00:00:00"/>
    <n v="20.2"/>
    <m/>
    <s v="Delivered"/>
    <n v="1360"/>
    <n v="5"/>
    <x v="0"/>
    <n v="0"/>
    <s v="slow"/>
  </r>
  <r>
    <x v="1752"/>
    <x v="9"/>
    <x v="10"/>
    <x v="4"/>
    <d v="2023-11-03T00:00:00"/>
    <d v="2023-11-06T00:00:00"/>
    <n v="40.299999999999997"/>
    <n v="158.18"/>
    <s v="Delivered"/>
    <n v="645"/>
    <n v="3"/>
    <x v="0"/>
    <n v="0.2452403100775194"/>
    <s v="fast"/>
  </r>
  <r>
    <x v="1753"/>
    <x v="3"/>
    <x v="14"/>
    <x v="6"/>
    <d v="2023-10-20T00:00:00"/>
    <d v="2023-11-06T00:00:00"/>
    <n v="12.4"/>
    <n v="256.57"/>
    <s v="Delayed"/>
    <n v="2179"/>
    <n v="6"/>
    <x v="1"/>
    <n v="0.1177466727856815"/>
    <s v="not applicabel"/>
  </r>
  <r>
    <x v="1754"/>
    <x v="7"/>
    <x v="8"/>
    <x v="1"/>
    <d v="2023-02-18T00:00:00"/>
    <d v="2023-02-20T00:00:00"/>
    <n v="22.2"/>
    <n v="83.4"/>
    <s v="Returned"/>
    <n v="368"/>
    <n v="2"/>
    <x v="3"/>
    <n v="0.22663043478260872"/>
    <s v="not applicabel"/>
  </r>
  <r>
    <x v="1755"/>
    <x v="3"/>
    <x v="10"/>
    <x v="6"/>
    <d v="2023-04-30T00:00:00"/>
    <d v="2023-05-05T00:00:00"/>
    <n v="24.6"/>
    <n v="171.1"/>
    <s v="Delivered"/>
    <n v="1225"/>
    <n v="5"/>
    <x v="0"/>
    <n v="0.1396734693877551"/>
    <s v="slow"/>
  </r>
  <r>
    <x v="1756"/>
    <x v="1"/>
    <x v="10"/>
    <x v="2"/>
    <d v="2023-07-16T00:00:00"/>
    <d v="2023-07-17T00:00:00"/>
    <n v="94"/>
    <n v="143.19999999999999"/>
    <s v="Delivered"/>
    <n v="373"/>
    <n v="1"/>
    <x v="0"/>
    <n v="0.38391420911528146"/>
    <s v="fast"/>
  </r>
  <r>
    <x v="1757"/>
    <x v="4"/>
    <x v="14"/>
    <x v="3"/>
    <d v="2023-10-05T00:00:00"/>
    <d v="2023-10-10T00:00:00"/>
    <n v="59.3"/>
    <n v="388.44"/>
    <s v="Delivered"/>
    <n v="2161"/>
    <n v="5"/>
    <x v="0"/>
    <n v="0.17975011568718186"/>
    <s v="slow"/>
  </r>
  <r>
    <x v="1758"/>
    <x v="2"/>
    <x v="3"/>
    <x v="0"/>
    <d v="2023-06-05T00:00:00"/>
    <d v="2023-06-07T00:00:00"/>
    <n v="13.1"/>
    <n v="85.44"/>
    <s v="Delivered"/>
    <n v="610"/>
    <n v="2"/>
    <x v="0"/>
    <n v="0.14006557377049181"/>
    <s v="fast"/>
  </r>
  <r>
    <x v="1759"/>
    <x v="7"/>
    <x v="13"/>
    <x v="3"/>
    <d v="2023-07-15T00:00:00"/>
    <d v="2023-07-18T00:00:00"/>
    <n v="20"/>
    <n v="140.66"/>
    <s v="Delivered"/>
    <n v="847"/>
    <n v="3"/>
    <x v="0"/>
    <n v="0.16606847697756788"/>
    <s v="fast"/>
  </r>
  <r>
    <x v="1760"/>
    <x v="7"/>
    <x v="12"/>
    <x v="4"/>
    <d v="2023-06-28T00:00:00"/>
    <d v="2023-07-06T00:00:00"/>
    <n v="49.4"/>
    <n v="333.09"/>
    <s v="Delivered"/>
    <n v="2256"/>
    <n v="8"/>
    <x v="0"/>
    <n v="0.14764627659574467"/>
    <s v="slow"/>
  </r>
  <r>
    <x v="1761"/>
    <x v="9"/>
    <x v="12"/>
    <x v="2"/>
    <d v="2023-10-20T00:00:00"/>
    <d v="2023-10-24T00:00:00"/>
    <n v="23.5"/>
    <n v="194.11"/>
    <s v="Delivered"/>
    <n v="1324"/>
    <n v="4"/>
    <x v="0"/>
    <n v="0.14660876132930514"/>
    <s v="fast"/>
  </r>
  <r>
    <x v="1762"/>
    <x v="5"/>
    <x v="8"/>
    <x v="6"/>
    <d v="2023-05-31T00:00:00"/>
    <d v="2023-06-05T00:00:00"/>
    <n v="85.1"/>
    <n v="391.46"/>
    <s v="Delivered"/>
    <n v="2467"/>
    <n v="5"/>
    <x v="0"/>
    <n v="0.15867855695176328"/>
    <s v="slow"/>
  </r>
  <r>
    <x v="1763"/>
    <x v="1"/>
    <x v="14"/>
    <x v="5"/>
    <d v="2023-05-24T00:00:00"/>
    <d v="2023-05-28T00:00:00"/>
    <n v="41.4"/>
    <n v="251.14"/>
    <s v="Delivered"/>
    <n v="1801"/>
    <n v="4"/>
    <x v="0"/>
    <n v="0.13944475291504718"/>
    <s v="fast"/>
  </r>
  <r>
    <x v="1764"/>
    <x v="3"/>
    <x v="3"/>
    <x v="3"/>
    <d v="2023-09-12T00:00:00"/>
    <d v="2023-09-15T00:00:00"/>
    <n v="5.3"/>
    <n v="76.55"/>
    <s v="Delivered"/>
    <n v="559"/>
    <n v="3"/>
    <x v="0"/>
    <n v="0.13694096601073344"/>
    <s v="fast"/>
  </r>
  <r>
    <x v="1765"/>
    <x v="5"/>
    <x v="8"/>
    <x v="0"/>
    <d v="2023-02-26T00:00:00"/>
    <d v="2023-02-28T00:00:00"/>
    <n v="122.7"/>
    <n v="288.29000000000002"/>
    <s v="Delivered"/>
    <n v="962"/>
    <n v="2"/>
    <x v="0"/>
    <n v="0.2996777546777547"/>
    <s v="fast"/>
  </r>
  <r>
    <x v="1766"/>
    <x v="2"/>
    <x v="13"/>
    <x v="2"/>
    <d v="2023-05-13T00:00:00"/>
    <d v="2023-05-18T00:00:00"/>
    <n v="24.4"/>
    <n v="321.82"/>
    <s v="Delivered"/>
    <n v="2429"/>
    <n v="5"/>
    <x v="0"/>
    <n v="0.13249073692877728"/>
    <s v="slow"/>
  </r>
  <r>
    <x v="1767"/>
    <x v="3"/>
    <x v="7"/>
    <x v="0"/>
    <d v="2023-06-07T00:00:00"/>
    <d v="2023-06-12T00:00:00"/>
    <n v="6.1"/>
    <n v="279.81"/>
    <s v="Delivered"/>
    <n v="2102"/>
    <n v="5"/>
    <x v="0"/>
    <n v="0.13311607992388202"/>
    <s v="slow"/>
  </r>
  <r>
    <x v="1768"/>
    <x v="6"/>
    <x v="5"/>
    <x v="1"/>
    <d v="2023-10-15T00:00:00"/>
    <d v="2023-10-18T00:00:00"/>
    <n v="18.100000000000001"/>
    <n v="148.79"/>
    <s v="Delivered"/>
    <n v="914"/>
    <n v="3"/>
    <x v="0"/>
    <n v="0.16278993435448577"/>
    <s v="fast"/>
  </r>
  <r>
    <x v="1769"/>
    <x v="9"/>
    <x v="11"/>
    <x v="2"/>
    <d v="2023-03-19T00:00:00"/>
    <d v="2023-03-24T00:00:00"/>
    <n v="3.5"/>
    <n v="215.07"/>
    <s v="Delivered"/>
    <n v="1843"/>
    <n v="5"/>
    <x v="0"/>
    <n v="0.11669560499186109"/>
    <s v="slow"/>
  </r>
  <r>
    <x v="1770"/>
    <x v="1"/>
    <x v="7"/>
    <x v="0"/>
    <d v="2023-03-21T00:00:00"/>
    <d v="2023-03-23T00:00:00"/>
    <n v="15.8"/>
    <n v="132.30000000000001"/>
    <s v="Delivered"/>
    <n v="878"/>
    <n v="2"/>
    <x v="0"/>
    <n v="0.15068337129840548"/>
    <s v="fast"/>
  </r>
  <r>
    <x v="1771"/>
    <x v="7"/>
    <x v="6"/>
    <x v="3"/>
    <d v="2023-06-19T00:00:00"/>
    <d v="2023-06-24T00:00:00"/>
    <n v="40.700000000000003"/>
    <n v="168.17"/>
    <s v="Delivered"/>
    <n v="816"/>
    <n v="5"/>
    <x v="0"/>
    <n v="0.2060906862745098"/>
    <s v="slow"/>
  </r>
  <r>
    <x v="1772"/>
    <x v="4"/>
    <x v="11"/>
    <x v="1"/>
    <d v="2023-10-22T00:00:00"/>
    <d v="2023-10-30T00:00:00"/>
    <n v="33.700000000000003"/>
    <n v="402.35"/>
    <s v="Delivered"/>
    <n v="2414"/>
    <n v="8"/>
    <x v="0"/>
    <n v="0.16667357083678544"/>
    <s v="slow"/>
  </r>
  <r>
    <x v="1773"/>
    <x v="1"/>
    <x v="8"/>
    <x v="2"/>
    <d v="2023-04-30T00:00:00"/>
    <d v="2023-05-01T00:00:00"/>
    <n v="27"/>
    <n v="79.510000000000005"/>
    <s v="Delivered"/>
    <n v="391"/>
    <n v="1"/>
    <x v="0"/>
    <n v="0.20335038363171357"/>
    <s v="fast"/>
  </r>
  <r>
    <x v="1774"/>
    <x v="2"/>
    <x v="3"/>
    <x v="3"/>
    <d v="2023-06-19T00:00:00"/>
    <d v="2023-06-25T00:00:00"/>
    <n v="9.6999999999999993"/>
    <n v="119.44"/>
    <s v="Delivered"/>
    <n v="757"/>
    <n v="6"/>
    <x v="0"/>
    <n v="0.15778071334214003"/>
    <s v="slow"/>
  </r>
  <r>
    <x v="1775"/>
    <x v="0"/>
    <x v="6"/>
    <x v="3"/>
    <d v="2023-03-27T00:00:00"/>
    <d v="2023-04-05T00:00:00"/>
    <n v="12.8"/>
    <n v="331.5"/>
    <s v="Delivered"/>
    <n v="2488"/>
    <n v="9"/>
    <x v="0"/>
    <n v="0.13323954983922828"/>
    <s v="slow"/>
  </r>
  <r>
    <x v="1776"/>
    <x v="9"/>
    <x v="7"/>
    <x v="2"/>
    <d v="2023-10-21T00:00:00"/>
    <d v="2023-10-26T00:00:00"/>
    <n v="6.3"/>
    <n v="282.62"/>
    <s v="Delivered"/>
    <n v="2188"/>
    <n v="5"/>
    <x v="0"/>
    <n v="0.12916819012797076"/>
    <s v="slow"/>
  </r>
  <r>
    <x v="1777"/>
    <x v="5"/>
    <x v="12"/>
    <x v="6"/>
    <d v="2023-07-12T00:00:00"/>
    <d v="2023-07-15T00:00:00"/>
    <n v="23.1"/>
    <n v="204.7"/>
    <s v="Delivered"/>
    <n v="1547"/>
    <n v="3"/>
    <x v="0"/>
    <n v="0.13232062055591468"/>
    <s v="fast"/>
  </r>
  <r>
    <x v="1778"/>
    <x v="7"/>
    <x v="1"/>
    <x v="3"/>
    <d v="2023-08-01T00:00:00"/>
    <d v="2023-08-03T00:00:00"/>
    <n v="10.3"/>
    <n v="47.05"/>
    <s v="Delivered"/>
    <n v="224"/>
    <n v="2"/>
    <x v="0"/>
    <n v="0.21004464285714283"/>
    <s v="fast"/>
  </r>
  <r>
    <x v="1779"/>
    <x v="2"/>
    <x v="2"/>
    <x v="1"/>
    <d v="2023-11-07T00:00:00"/>
    <d v="2023-11-10T00:00:00"/>
    <n v="73.900000000000006"/>
    <n v="268.7"/>
    <s v="Delivered"/>
    <n v="747"/>
    <n v="3"/>
    <x v="0"/>
    <n v="0.35970548862115126"/>
    <s v="fast"/>
  </r>
  <r>
    <x v="1780"/>
    <x v="9"/>
    <x v="11"/>
    <x v="6"/>
    <d v="2023-08-09T00:00:00"/>
    <d v="2023-08-12T00:00:00"/>
    <n v="47.3"/>
    <n v="215.93"/>
    <s v="Lost"/>
    <n v="1552"/>
    <n v="3"/>
    <x v="2"/>
    <n v="0.13913015463917527"/>
    <s v="not applicabel"/>
  </r>
  <r>
    <x v="1781"/>
    <x v="6"/>
    <x v="7"/>
    <x v="2"/>
    <d v="2023-09-02T00:00:00"/>
    <d v="2023-09-08T00:00:00"/>
    <n v="30.5"/>
    <n v="322.75"/>
    <s v="Delivered"/>
    <n v="2410"/>
    <n v="6"/>
    <x v="0"/>
    <n v="0.13392116182572614"/>
    <s v="slow"/>
  </r>
  <r>
    <x v="1782"/>
    <x v="3"/>
    <x v="14"/>
    <x v="0"/>
    <d v="2023-11-02T00:00:00"/>
    <d v="2023-11-03T00:00:00"/>
    <n v="14.7"/>
    <n v="81.27"/>
    <s v="Delivered"/>
    <n v="395"/>
    <n v="1"/>
    <x v="0"/>
    <n v="0.20574683544303796"/>
    <s v="fast"/>
  </r>
  <r>
    <x v="1783"/>
    <x v="7"/>
    <x v="0"/>
    <x v="1"/>
    <d v="2023-01-21T00:00:00"/>
    <d v="2023-01-24T00:00:00"/>
    <n v="12.6"/>
    <n v="201.27"/>
    <s v="Delivered"/>
    <n v="1462"/>
    <n v="3"/>
    <x v="0"/>
    <n v="0.13766757865937074"/>
    <s v="fast"/>
  </r>
  <r>
    <x v="1784"/>
    <x v="8"/>
    <x v="6"/>
    <x v="2"/>
    <d v="2023-03-22T00:00:00"/>
    <d v="2023-03-26T00:00:00"/>
    <n v="28.8"/>
    <n v="183.25"/>
    <s v="Delivered"/>
    <n v="1399"/>
    <n v="4"/>
    <x v="0"/>
    <n v="0.13098641887062187"/>
    <s v="fast"/>
  </r>
  <r>
    <x v="1785"/>
    <x v="8"/>
    <x v="3"/>
    <x v="3"/>
    <d v="2023-05-01T00:00:00"/>
    <d v="2023-05-06T00:00:00"/>
    <n v="45.7"/>
    <n v="206.4"/>
    <s v="Delivered"/>
    <n v="1025"/>
    <n v="5"/>
    <x v="0"/>
    <n v="0.2013658536585366"/>
    <s v="slow"/>
  </r>
  <r>
    <x v="1786"/>
    <x v="7"/>
    <x v="5"/>
    <x v="2"/>
    <d v="2023-03-14T00:00:00"/>
    <d v="2023-03-15T00:00:00"/>
    <n v="24.3"/>
    <n v="45.64"/>
    <s v="Delivered"/>
    <n v="118"/>
    <n v="1"/>
    <x v="0"/>
    <n v="0.38677966101694916"/>
    <s v="fast"/>
  </r>
  <r>
    <x v="1787"/>
    <x v="9"/>
    <x v="10"/>
    <x v="4"/>
    <d v="2023-12-26T00:00:00"/>
    <d v="2023-12-29T00:00:00"/>
    <n v="22.5"/>
    <n v="199.07"/>
    <s v="Delivered"/>
    <n v="1226"/>
    <n v="3"/>
    <x v="0"/>
    <n v="0.16237357259380097"/>
    <s v="fast"/>
  </r>
  <r>
    <x v="1788"/>
    <x v="1"/>
    <x v="6"/>
    <x v="2"/>
    <d v="2023-12-07T00:00:00"/>
    <d v="2023-12-21T00:00:00"/>
    <n v="48.8"/>
    <n v="347.95"/>
    <s v="Delayed"/>
    <n v="2192"/>
    <n v="6"/>
    <x v="1"/>
    <n v="0.15873631386861314"/>
    <s v="not applicabel"/>
  </r>
  <r>
    <x v="1789"/>
    <x v="8"/>
    <x v="8"/>
    <x v="0"/>
    <d v="2023-04-29T00:00:00"/>
    <d v="2023-05-01T00:00:00"/>
    <n v="7.9"/>
    <n v="99.83"/>
    <s v="Delivered"/>
    <n v="790"/>
    <n v="2"/>
    <x v="0"/>
    <n v="0.12636708860759494"/>
    <s v="fast"/>
  </r>
  <r>
    <x v="1790"/>
    <x v="3"/>
    <x v="14"/>
    <x v="0"/>
    <d v="2023-10-26T00:00:00"/>
    <d v="2023-11-05T00:00:00"/>
    <n v="34"/>
    <n v="316.69"/>
    <s v="Delayed"/>
    <n v="2072"/>
    <n v="6"/>
    <x v="1"/>
    <n v="0.15284266409266409"/>
    <s v="not applicabel"/>
  </r>
  <r>
    <x v="1791"/>
    <x v="4"/>
    <x v="5"/>
    <x v="0"/>
    <d v="2023-03-02T00:00:00"/>
    <d v="2023-03-05T00:00:00"/>
    <n v="21.9"/>
    <n v="174.25"/>
    <s v="Delivered"/>
    <n v="1073"/>
    <n v="3"/>
    <x v="0"/>
    <n v="0.16239515377446412"/>
    <s v="fast"/>
  </r>
  <r>
    <x v="1792"/>
    <x v="9"/>
    <x v="0"/>
    <x v="4"/>
    <d v="2023-02-04T00:00:00"/>
    <d v="2023-02-07T00:00:00"/>
    <n v="17.899999999999999"/>
    <n v="54.51"/>
    <s v="Delivered"/>
    <n v="255"/>
    <n v="3"/>
    <x v="0"/>
    <n v="0.21376470588235294"/>
    <s v="fast"/>
  </r>
  <r>
    <x v="1793"/>
    <x v="9"/>
    <x v="7"/>
    <x v="0"/>
    <d v="2023-10-27T00:00:00"/>
    <d v="2023-10-30T00:00:00"/>
    <n v="7.9"/>
    <n v="111.49"/>
    <s v="Delivered"/>
    <n v="865"/>
    <n v="3"/>
    <x v="0"/>
    <n v="0.12889017341040462"/>
    <s v="fast"/>
  </r>
  <r>
    <x v="1794"/>
    <x v="1"/>
    <x v="12"/>
    <x v="2"/>
    <d v="2023-04-19T00:00:00"/>
    <d v="2023-04-26T00:00:00"/>
    <n v="6.7"/>
    <n v="213.54"/>
    <s v="In Transit"/>
    <n v="1694"/>
    <n v="7"/>
    <x v="0"/>
    <n v="0.12605667060212514"/>
    <s v="slow"/>
  </r>
  <r>
    <x v="1795"/>
    <x v="4"/>
    <x v="13"/>
    <x v="3"/>
    <d v="2023-04-17T00:00:00"/>
    <d v="2023-04-23T00:00:00"/>
    <n v="5.0999999999999996"/>
    <n v="175.6"/>
    <s v="Delivered"/>
    <n v="1317"/>
    <n v="6"/>
    <x v="0"/>
    <n v="0.13333333333333333"/>
    <s v="slow"/>
  </r>
  <r>
    <x v="1796"/>
    <x v="0"/>
    <x v="6"/>
    <x v="6"/>
    <d v="2023-05-30T00:00:00"/>
    <d v="2023-06-01T00:00:00"/>
    <n v="13.1"/>
    <n v="82.17"/>
    <s v="Delivered"/>
    <n v="645"/>
    <n v="2"/>
    <x v="0"/>
    <n v="0.12739534883720929"/>
    <s v="fast"/>
  </r>
  <r>
    <x v="1797"/>
    <x v="8"/>
    <x v="8"/>
    <x v="6"/>
    <d v="2023-05-28T00:00:00"/>
    <d v="2023-05-30T00:00:00"/>
    <n v="19.5"/>
    <n v="122.68"/>
    <s v="Delivered"/>
    <n v="790"/>
    <n v="2"/>
    <x v="0"/>
    <n v="0.15529113924050633"/>
    <s v="fast"/>
  </r>
  <r>
    <x v="1798"/>
    <x v="7"/>
    <x v="5"/>
    <x v="2"/>
    <d v="2023-04-23T00:00:00"/>
    <d v="2023-04-26T00:00:00"/>
    <n v="12.1"/>
    <n v="147.53"/>
    <s v="Delivered"/>
    <n v="1172"/>
    <n v="3"/>
    <x v="0"/>
    <n v="0.12587883959044369"/>
    <s v="fast"/>
  </r>
  <r>
    <x v="1799"/>
    <x v="5"/>
    <x v="1"/>
    <x v="2"/>
    <d v="2023-07-31T00:00:00"/>
    <d v="2023-08-04T00:00:00"/>
    <n v="24.6"/>
    <n v="231.44"/>
    <s v="Delivered"/>
    <n v="1711"/>
    <n v="4"/>
    <x v="0"/>
    <n v="0.13526592635885448"/>
    <s v="fast"/>
  </r>
  <r>
    <x v="1800"/>
    <x v="6"/>
    <x v="4"/>
    <x v="2"/>
    <d v="2023-03-13T00:00:00"/>
    <d v="2023-03-18T00:00:00"/>
    <n v="17.7"/>
    <n v="325.61"/>
    <s v="Delivered"/>
    <n v="2345"/>
    <n v="5"/>
    <x v="0"/>
    <n v="0.13885287846481878"/>
    <s v="slow"/>
  </r>
  <r>
    <x v="1801"/>
    <x v="1"/>
    <x v="13"/>
    <x v="1"/>
    <d v="2023-07-08T00:00:00"/>
    <d v="2023-07-10T00:00:00"/>
    <n v="61.4"/>
    <n v="111.25"/>
    <s v="Delivered"/>
    <n v="128"/>
    <n v="2"/>
    <x v="0"/>
    <n v="0.869140625"/>
    <s v="fast"/>
  </r>
  <r>
    <x v="1802"/>
    <x v="3"/>
    <x v="0"/>
    <x v="3"/>
    <d v="2023-01-18T00:00:00"/>
    <d v="2023-01-24T00:00:00"/>
    <n v="13.6"/>
    <n v="260.64999999999998"/>
    <s v="Delivered"/>
    <n v="2044"/>
    <n v="6"/>
    <x v="0"/>
    <n v="0.12751956947162427"/>
    <s v="slow"/>
  </r>
  <r>
    <x v="1803"/>
    <x v="1"/>
    <x v="4"/>
    <x v="6"/>
    <d v="2023-08-03T00:00:00"/>
    <d v="2023-08-09T00:00:00"/>
    <n v="29.4"/>
    <n v="212.9"/>
    <s v="In Transit"/>
    <n v="1435"/>
    <n v="6"/>
    <x v="0"/>
    <n v="0.14836236933797911"/>
    <s v="slow"/>
  </r>
  <r>
    <x v="1804"/>
    <x v="6"/>
    <x v="11"/>
    <x v="3"/>
    <d v="2023-10-28T00:00:00"/>
    <d v="2023-11-13T00:00:00"/>
    <n v="14.7"/>
    <n v="224.05"/>
    <s v="Delayed"/>
    <n v="1715"/>
    <n v="5"/>
    <x v="1"/>
    <n v="0.13064139941690964"/>
    <s v="not applicabel"/>
  </r>
  <r>
    <x v="1805"/>
    <x v="4"/>
    <x v="10"/>
    <x v="1"/>
    <d v="2023-12-19T00:00:00"/>
    <d v="2023-12-23T00:00:00"/>
    <n v="7.4"/>
    <n v="323.36"/>
    <s v="Delivered"/>
    <n v="1880"/>
    <n v="4"/>
    <x v="0"/>
    <n v="0.17200000000000001"/>
    <s v="fast"/>
  </r>
  <r>
    <x v="1806"/>
    <x v="8"/>
    <x v="2"/>
    <x v="2"/>
    <d v="2023-07-04T00:00:00"/>
    <d v="2023-07-10T00:00:00"/>
    <n v="16.2"/>
    <n v="245.98"/>
    <s v="Delivered"/>
    <n v="1870"/>
    <n v="6"/>
    <x v="0"/>
    <n v="0.13154010695187165"/>
    <s v="slow"/>
  </r>
  <r>
    <x v="1807"/>
    <x v="8"/>
    <x v="6"/>
    <x v="5"/>
    <d v="2023-07-06T00:00:00"/>
    <d v="2023-07-10T00:00:00"/>
    <n v="6.2"/>
    <n v="139.44"/>
    <s v="Delivered"/>
    <n v="1227"/>
    <n v="4"/>
    <x v="0"/>
    <n v="0.11364303178484107"/>
    <s v="fast"/>
  </r>
  <r>
    <x v="1808"/>
    <x v="6"/>
    <x v="0"/>
    <x v="2"/>
    <d v="2023-05-16T00:00:00"/>
    <d v="2023-05-23T00:00:00"/>
    <n v="15.7"/>
    <n v="318.83999999999997"/>
    <s v="Delivered"/>
    <n v="2321"/>
    <n v="7"/>
    <x v="0"/>
    <n v="0.13737182249030588"/>
    <s v="slow"/>
  </r>
  <r>
    <x v="1809"/>
    <x v="9"/>
    <x v="1"/>
    <x v="6"/>
    <d v="2023-07-12T00:00:00"/>
    <d v="2023-07-16T00:00:00"/>
    <n v="30.2"/>
    <m/>
    <s v="Delivered"/>
    <n v="1393"/>
    <n v="4"/>
    <x v="0"/>
    <n v="0"/>
    <s v="fast"/>
  </r>
  <r>
    <x v="1810"/>
    <x v="4"/>
    <x v="1"/>
    <x v="3"/>
    <d v="2023-07-21T00:00:00"/>
    <d v="2023-07-29T00:00:00"/>
    <n v="32.799999999999997"/>
    <n v="360.03"/>
    <s v="Delivered"/>
    <n v="2464"/>
    <n v="8"/>
    <x v="0"/>
    <n v="0.14611607142857141"/>
    <s v="slow"/>
  </r>
  <r>
    <x v="1811"/>
    <x v="0"/>
    <x v="7"/>
    <x v="1"/>
    <d v="2023-04-16T00:00:00"/>
    <d v="2023-04-18T00:00:00"/>
    <n v="29.5"/>
    <n v="110.42"/>
    <s v="Delivered"/>
    <n v="476"/>
    <n v="2"/>
    <x v="0"/>
    <n v="0.2319747899159664"/>
    <s v="fast"/>
  </r>
  <r>
    <x v="1812"/>
    <x v="8"/>
    <x v="10"/>
    <x v="2"/>
    <d v="2023-09-01T00:00:00"/>
    <d v="2023-09-05T00:00:00"/>
    <n v="16.7"/>
    <n v="203.66"/>
    <s v="Delivered"/>
    <n v="1423"/>
    <n v="4"/>
    <x v="0"/>
    <n v="0.14312016865776528"/>
    <s v="fast"/>
  </r>
  <r>
    <x v="1813"/>
    <x v="7"/>
    <x v="0"/>
    <x v="3"/>
    <d v="2023-05-09T00:00:00"/>
    <d v="2023-05-24T00:00:00"/>
    <n v="16.600000000000001"/>
    <n v="285.36"/>
    <s v="Delayed"/>
    <n v="2126"/>
    <n v="7"/>
    <x v="1"/>
    <n v="0.1342238946378175"/>
    <s v="not applicabel"/>
  </r>
  <r>
    <x v="1814"/>
    <x v="9"/>
    <x v="0"/>
    <x v="5"/>
    <d v="2023-10-13T00:00:00"/>
    <d v="2023-10-17T00:00:00"/>
    <n v="17"/>
    <n v="245.26"/>
    <s v="Delivered"/>
    <n v="1731"/>
    <n v="4"/>
    <x v="0"/>
    <n v="0.14168688619295206"/>
    <s v="fast"/>
  </r>
  <r>
    <x v="1815"/>
    <x v="1"/>
    <x v="14"/>
    <x v="4"/>
    <d v="2023-09-20T00:00:00"/>
    <d v="2023-09-22T00:00:00"/>
    <n v="30.5"/>
    <n v="115.38"/>
    <s v="Delivered"/>
    <n v="619"/>
    <n v="2"/>
    <x v="0"/>
    <n v="0.18639741518578351"/>
    <s v="fast"/>
  </r>
  <r>
    <x v="1816"/>
    <x v="0"/>
    <x v="12"/>
    <x v="1"/>
    <d v="2023-05-25T00:00:00"/>
    <d v="2023-05-30T00:00:00"/>
    <n v="17.7"/>
    <n v="326.89999999999998"/>
    <s v="Delivered"/>
    <n v="2208"/>
    <n v="5"/>
    <x v="0"/>
    <n v="0.14805253623188405"/>
    <s v="slow"/>
  </r>
  <r>
    <x v="1817"/>
    <x v="5"/>
    <x v="4"/>
    <x v="6"/>
    <d v="2023-04-23T00:00:00"/>
    <d v="2023-04-27T00:00:00"/>
    <n v="11.6"/>
    <n v="135.55000000000001"/>
    <s v="Delivered"/>
    <n v="1021"/>
    <n v="4"/>
    <x v="0"/>
    <n v="0.13276199804113614"/>
    <s v="fast"/>
  </r>
  <r>
    <x v="1818"/>
    <x v="2"/>
    <x v="7"/>
    <x v="2"/>
    <d v="2023-05-11T00:00:00"/>
    <d v="2023-05-19T00:00:00"/>
    <n v="34.6"/>
    <n v="319.66000000000003"/>
    <s v="Delivered"/>
    <n v="2216"/>
    <n v="8"/>
    <x v="0"/>
    <n v="0.14425090252707581"/>
    <s v="slow"/>
  </r>
  <r>
    <x v="1819"/>
    <x v="2"/>
    <x v="14"/>
    <x v="1"/>
    <d v="2023-02-23T00:00:00"/>
    <d v="2023-03-01T00:00:00"/>
    <n v="35.299999999999997"/>
    <n v="314.52"/>
    <s v="Delivered"/>
    <n v="1724"/>
    <n v="6"/>
    <x v="0"/>
    <n v="0.18243619489559162"/>
    <s v="slow"/>
  </r>
  <r>
    <x v="1820"/>
    <x v="3"/>
    <x v="13"/>
    <x v="6"/>
    <d v="2023-04-21T00:00:00"/>
    <d v="2023-04-27T00:00:00"/>
    <n v="5.3"/>
    <n v="263.08"/>
    <s v="Delivered"/>
    <n v="2362"/>
    <n v="6"/>
    <x v="0"/>
    <n v="0.11138018628281117"/>
    <s v="slow"/>
  </r>
  <r>
    <x v="1821"/>
    <x v="0"/>
    <x v="7"/>
    <x v="2"/>
    <d v="2023-03-27T00:00:00"/>
    <d v="2023-04-01T00:00:00"/>
    <n v="32.1"/>
    <n v="323.02999999999997"/>
    <s v="Delivered"/>
    <n v="2360"/>
    <n v="5"/>
    <x v="0"/>
    <n v="0.13687711864406779"/>
    <s v="slow"/>
  </r>
  <r>
    <x v="1822"/>
    <x v="4"/>
    <x v="9"/>
    <x v="2"/>
    <d v="2023-03-04T00:00:00"/>
    <d v="2023-03-10T00:00:00"/>
    <n v="17.100000000000001"/>
    <n v="302.85000000000002"/>
    <s v="Delivered"/>
    <n v="2450"/>
    <n v="6"/>
    <x v="0"/>
    <n v="0.12361224489795919"/>
    <s v="slow"/>
  </r>
  <r>
    <x v="1823"/>
    <x v="6"/>
    <x v="9"/>
    <x v="4"/>
    <d v="2023-05-01T00:00:00"/>
    <d v="2023-05-05T00:00:00"/>
    <n v="7.5"/>
    <n v="208.84"/>
    <s v="Delivered"/>
    <n v="1642"/>
    <n v="4"/>
    <x v="0"/>
    <n v="0.12718635809987819"/>
    <s v="fast"/>
  </r>
  <r>
    <x v="1824"/>
    <x v="6"/>
    <x v="5"/>
    <x v="6"/>
    <d v="2023-02-20T00:00:00"/>
    <d v="2023-02-27T00:00:00"/>
    <n v="89.4"/>
    <n v="267.14"/>
    <s v="Delivered"/>
    <n v="1548"/>
    <n v="7"/>
    <x v="0"/>
    <n v="0.17257105943152454"/>
    <s v="slow"/>
  </r>
  <r>
    <x v="1825"/>
    <x v="6"/>
    <x v="3"/>
    <x v="4"/>
    <d v="2023-12-27T00:00:00"/>
    <d v="2024-01-08T00:00:00"/>
    <n v="16.7"/>
    <n v="336.83"/>
    <s v="Delayed"/>
    <n v="2305"/>
    <n v="8"/>
    <x v="1"/>
    <n v="0.14613015184381778"/>
    <s v="not applicabel"/>
  </r>
  <r>
    <x v="1826"/>
    <x v="0"/>
    <x v="8"/>
    <x v="3"/>
    <d v="2023-05-11T00:00:00"/>
    <d v="2023-05-15T00:00:00"/>
    <n v="17.8"/>
    <n v="263.77"/>
    <s v="Delivered"/>
    <n v="1657"/>
    <n v="4"/>
    <x v="0"/>
    <n v="0.15918527459263729"/>
    <s v="fast"/>
  </r>
  <r>
    <x v="1827"/>
    <x v="8"/>
    <x v="12"/>
    <x v="0"/>
    <d v="2023-09-28T00:00:00"/>
    <d v="2023-10-03T00:00:00"/>
    <n v="19.8"/>
    <n v="253.63"/>
    <s v="Delivered"/>
    <n v="1855"/>
    <n v="5"/>
    <x v="0"/>
    <n v="0.13672776280323451"/>
    <s v="slow"/>
  </r>
  <r>
    <x v="1828"/>
    <x v="8"/>
    <x v="3"/>
    <x v="6"/>
    <d v="2023-11-18T00:00:00"/>
    <d v="2023-11-22T00:00:00"/>
    <n v="35.9"/>
    <n v="220.77"/>
    <s v="Delivered"/>
    <n v="1360"/>
    <n v="4"/>
    <x v="0"/>
    <n v="0.16233088235294119"/>
    <s v="fast"/>
  </r>
  <r>
    <x v="1829"/>
    <x v="3"/>
    <x v="6"/>
    <x v="3"/>
    <d v="2023-08-09T00:00:00"/>
    <d v="2023-08-10T00:00:00"/>
    <n v="27.9"/>
    <n v="59.52"/>
    <s v="Delivered"/>
    <n v="139"/>
    <n v="1"/>
    <x v="0"/>
    <n v="0.42820143884892087"/>
    <s v="fast"/>
  </r>
  <r>
    <x v="1830"/>
    <x v="1"/>
    <x v="6"/>
    <x v="6"/>
    <d v="2023-11-21T00:00:00"/>
    <d v="2023-11-24T00:00:00"/>
    <n v="82.7"/>
    <n v="243.19"/>
    <s v="Delivered"/>
    <n v="1023"/>
    <n v="3"/>
    <x v="0"/>
    <n v="0.23772238514173999"/>
    <s v="fast"/>
  </r>
  <r>
    <x v="1831"/>
    <x v="7"/>
    <x v="11"/>
    <x v="4"/>
    <d v="2023-06-25T00:00:00"/>
    <d v="2023-07-01T00:00:00"/>
    <n v="39.1"/>
    <n v="273.41000000000003"/>
    <s v="Delivered"/>
    <n v="2104"/>
    <n v="6"/>
    <x v="0"/>
    <n v="0.12994771863117871"/>
    <s v="slow"/>
  </r>
  <r>
    <x v="1832"/>
    <x v="3"/>
    <x v="4"/>
    <x v="4"/>
    <d v="2023-01-06T00:00:00"/>
    <d v="2023-01-08T00:00:00"/>
    <n v="26.2"/>
    <n v="48.64"/>
    <s v="Lost"/>
    <n v="116"/>
    <n v="2"/>
    <x v="2"/>
    <n v="0.41931034482758622"/>
    <s v="not applicabel"/>
  </r>
  <r>
    <x v="1833"/>
    <x v="0"/>
    <x v="14"/>
    <x v="5"/>
    <d v="2023-12-25T00:00:00"/>
    <d v="2023-12-30T00:00:00"/>
    <n v="20.399999999999999"/>
    <n v="281.08"/>
    <s v="Delivered"/>
    <n v="1809"/>
    <n v="5"/>
    <x v="0"/>
    <n v="0.15537866224433389"/>
    <s v="slow"/>
  </r>
  <r>
    <x v="1834"/>
    <x v="2"/>
    <x v="7"/>
    <x v="6"/>
    <d v="2023-10-15T00:00:00"/>
    <d v="2023-10-18T00:00:00"/>
    <n v="4.8"/>
    <n v="173.28"/>
    <s v="Delivered"/>
    <n v="1478"/>
    <n v="3"/>
    <x v="0"/>
    <n v="0.11723951285520974"/>
    <s v="fast"/>
  </r>
  <r>
    <x v="1835"/>
    <x v="2"/>
    <x v="6"/>
    <x v="6"/>
    <d v="2023-04-20T00:00:00"/>
    <d v="2023-04-26T00:00:00"/>
    <n v="6.4"/>
    <n v="219.55"/>
    <s v="Delivered"/>
    <n v="1811"/>
    <n v="6"/>
    <x v="0"/>
    <n v="0.12123136388735506"/>
    <s v="slow"/>
  </r>
  <r>
    <x v="1836"/>
    <x v="6"/>
    <x v="11"/>
    <x v="5"/>
    <d v="2023-06-28T00:00:00"/>
    <d v="2023-07-02T00:00:00"/>
    <n v="25.4"/>
    <n v="171.77"/>
    <s v="Delivered"/>
    <n v="1145"/>
    <n v="4"/>
    <x v="0"/>
    <n v="0.1500174672489083"/>
    <s v="fast"/>
  </r>
  <r>
    <x v="1837"/>
    <x v="3"/>
    <x v="13"/>
    <x v="5"/>
    <d v="2023-11-02T00:00:00"/>
    <d v="2023-11-07T00:00:00"/>
    <n v="15.2"/>
    <n v="322.73"/>
    <s v="Delivered"/>
    <n v="2106"/>
    <n v="5"/>
    <x v="0"/>
    <n v="0.1532431149097816"/>
    <s v="slow"/>
  </r>
  <r>
    <x v="1838"/>
    <x v="3"/>
    <x v="2"/>
    <x v="0"/>
    <d v="2023-11-04T00:00:00"/>
    <d v="2023-11-06T00:00:00"/>
    <n v="19.5"/>
    <n v="123.49"/>
    <s v="Delivered"/>
    <n v="629"/>
    <n v="2"/>
    <x v="0"/>
    <n v="0.19632750397456278"/>
    <s v="fast"/>
  </r>
  <r>
    <x v="1839"/>
    <x v="4"/>
    <x v="6"/>
    <x v="3"/>
    <d v="2023-08-08T00:00:00"/>
    <d v="2023-08-12T00:00:00"/>
    <n v="25.1"/>
    <n v="296.48"/>
    <s v="Delivered"/>
    <n v="1809"/>
    <n v="4"/>
    <x v="0"/>
    <n v="0.16389165284687673"/>
    <s v="fast"/>
  </r>
  <r>
    <x v="1840"/>
    <x v="2"/>
    <x v="13"/>
    <x v="4"/>
    <d v="2023-11-24T00:00:00"/>
    <d v="2023-11-28T00:00:00"/>
    <n v="34"/>
    <n v="63.15"/>
    <s v="In Transit"/>
    <n v="113"/>
    <n v="4"/>
    <x v="0"/>
    <n v="0.55884955752212384"/>
    <s v="fast"/>
  </r>
  <r>
    <x v="1841"/>
    <x v="4"/>
    <x v="4"/>
    <x v="1"/>
    <d v="2023-02-27T00:00:00"/>
    <d v="2023-03-17T00:00:00"/>
    <n v="25"/>
    <n v="381.58"/>
    <s v="Delayed"/>
    <n v="2462"/>
    <n v="5"/>
    <x v="1"/>
    <n v="0.15498781478472787"/>
    <s v="not applicabel"/>
  </r>
  <r>
    <x v="1842"/>
    <x v="6"/>
    <x v="7"/>
    <x v="2"/>
    <d v="2023-08-27T00:00:00"/>
    <d v="2023-08-30T00:00:00"/>
    <n v="5.3"/>
    <n v="73"/>
    <s v="Delivered"/>
    <n v="503"/>
    <n v="3"/>
    <x v="0"/>
    <n v="0.14512922465208747"/>
    <s v="fast"/>
  </r>
  <r>
    <x v="1843"/>
    <x v="6"/>
    <x v="2"/>
    <x v="6"/>
    <d v="2023-03-16T00:00:00"/>
    <d v="2023-03-20T00:00:00"/>
    <n v="52"/>
    <n v="229.42"/>
    <s v="Delivered"/>
    <n v="1460"/>
    <n v="4"/>
    <x v="0"/>
    <n v="0.15713698630136985"/>
    <s v="fast"/>
  </r>
  <r>
    <x v="1844"/>
    <x v="8"/>
    <x v="4"/>
    <x v="4"/>
    <d v="2023-01-15T00:00:00"/>
    <d v="2023-01-21T00:00:00"/>
    <n v="27.4"/>
    <m/>
    <s v="Delivered"/>
    <n v="1518"/>
    <n v="6"/>
    <x v="0"/>
    <n v="0"/>
    <s v="slow"/>
  </r>
  <r>
    <x v="1845"/>
    <x v="8"/>
    <x v="0"/>
    <x v="4"/>
    <d v="2023-01-15T00:00:00"/>
    <d v="2023-01-19T00:00:00"/>
    <n v="17.3"/>
    <n v="73.25"/>
    <s v="In Transit"/>
    <n v="489"/>
    <n v="4"/>
    <x v="0"/>
    <n v="0.14979550102249489"/>
    <s v="fast"/>
  </r>
  <r>
    <x v="1846"/>
    <x v="9"/>
    <x v="14"/>
    <x v="4"/>
    <d v="2023-09-07T00:00:00"/>
    <d v="2023-09-09T00:00:00"/>
    <n v="38.9"/>
    <n v="101.69"/>
    <s v="Delivered"/>
    <n v="491"/>
    <n v="2"/>
    <x v="0"/>
    <n v="0.20710794297352342"/>
    <s v="fast"/>
  </r>
  <r>
    <x v="1847"/>
    <x v="0"/>
    <x v="7"/>
    <x v="2"/>
    <d v="2023-02-18T00:00:00"/>
    <d v="2023-02-28T00:00:00"/>
    <n v="12.6"/>
    <n v="77.290000000000006"/>
    <s v="Delayed"/>
    <n v="464"/>
    <n v="3"/>
    <x v="1"/>
    <n v="0.16657327586206899"/>
    <s v="not applicabel"/>
  </r>
  <r>
    <x v="1848"/>
    <x v="4"/>
    <x v="12"/>
    <x v="4"/>
    <d v="2023-08-01T00:00:00"/>
    <d v="2023-08-15T00:00:00"/>
    <n v="79.599999999999994"/>
    <m/>
    <s v="Delayed"/>
    <n v="1521"/>
    <n v="6"/>
    <x v="1"/>
    <n v="0"/>
    <s v="not applicabel"/>
  </r>
  <r>
    <x v="1849"/>
    <x v="5"/>
    <x v="1"/>
    <x v="1"/>
    <d v="2023-07-19T00:00:00"/>
    <d v="2023-07-24T00:00:00"/>
    <n v="7.7"/>
    <n v="272.22000000000003"/>
    <s v="Delivered"/>
    <n v="1814"/>
    <n v="5"/>
    <x v="0"/>
    <n v="0.1500661521499449"/>
    <s v="slow"/>
  </r>
  <r>
    <x v="1850"/>
    <x v="7"/>
    <x v="6"/>
    <x v="5"/>
    <d v="2023-05-17T00:00:00"/>
    <d v="2023-05-23T00:00:00"/>
    <n v="16.600000000000001"/>
    <n v="261.31"/>
    <s v="Delivered"/>
    <n v="2220"/>
    <n v="6"/>
    <x v="0"/>
    <n v="0.1177072072072072"/>
    <s v="slow"/>
  </r>
  <r>
    <x v="1851"/>
    <x v="8"/>
    <x v="6"/>
    <x v="6"/>
    <d v="2023-04-07T00:00:00"/>
    <d v="2023-04-13T00:00:00"/>
    <n v="20.8"/>
    <n v="289.2"/>
    <s v="Delivered"/>
    <n v="2420"/>
    <n v="6"/>
    <x v="0"/>
    <n v="0.11950413223140495"/>
    <s v="slow"/>
  </r>
  <r>
    <x v="1852"/>
    <x v="3"/>
    <x v="1"/>
    <x v="4"/>
    <d v="2023-02-23T00:00:00"/>
    <d v="2023-03-02T00:00:00"/>
    <n v="6.6"/>
    <n v="81.819999999999993"/>
    <s v="Delayed"/>
    <n v="613"/>
    <n v="5"/>
    <x v="1"/>
    <n v="0.1334747145187602"/>
    <s v="not applicabel"/>
  </r>
  <r>
    <x v="1853"/>
    <x v="2"/>
    <x v="0"/>
    <x v="5"/>
    <d v="2023-08-07T00:00:00"/>
    <d v="2023-08-13T00:00:00"/>
    <n v="21.5"/>
    <n v="293.41000000000003"/>
    <s v="Delivered"/>
    <n v="2170"/>
    <n v="6"/>
    <x v="0"/>
    <n v="0.13521198156682029"/>
    <s v="slow"/>
  </r>
  <r>
    <x v="1854"/>
    <x v="0"/>
    <x v="13"/>
    <x v="1"/>
    <d v="2023-07-27T00:00:00"/>
    <d v="2023-07-29T00:00:00"/>
    <n v="13.7"/>
    <n v="87.28"/>
    <s v="Delivered"/>
    <n v="451"/>
    <n v="2"/>
    <x v="0"/>
    <n v="0.19352549889135257"/>
    <s v="fast"/>
  </r>
  <r>
    <x v="1855"/>
    <x v="8"/>
    <x v="4"/>
    <x v="4"/>
    <d v="2023-12-21T00:00:00"/>
    <d v="2024-01-08T00:00:00"/>
    <n v="16"/>
    <n v="158.75"/>
    <s v="Delayed"/>
    <n v="1052"/>
    <n v="7"/>
    <x v="1"/>
    <n v="0.15090304182509506"/>
    <s v="not applicabel"/>
  </r>
  <r>
    <x v="1856"/>
    <x v="7"/>
    <x v="6"/>
    <x v="6"/>
    <d v="2023-01-27T00:00:00"/>
    <d v="2023-02-08T00:00:00"/>
    <n v="20"/>
    <n v="63.36"/>
    <s v="Delayed"/>
    <n v="379"/>
    <n v="2"/>
    <x v="1"/>
    <n v="0.16717678100263852"/>
    <s v="not applicabel"/>
  </r>
  <r>
    <x v="1857"/>
    <x v="4"/>
    <x v="10"/>
    <x v="1"/>
    <d v="2023-03-12T00:00:00"/>
    <d v="2023-03-17T00:00:00"/>
    <n v="4.2"/>
    <n v="266.62"/>
    <s v="Delivered"/>
    <n v="1931"/>
    <n v="5"/>
    <x v="0"/>
    <n v="0.13807353702744693"/>
    <s v="slow"/>
  </r>
  <r>
    <x v="1858"/>
    <x v="4"/>
    <x v="12"/>
    <x v="0"/>
    <d v="2023-05-22T00:00:00"/>
    <d v="2023-05-30T00:00:00"/>
    <n v="12.4"/>
    <n v="345.97"/>
    <s v="Delivered"/>
    <n v="2449"/>
    <n v="8"/>
    <x v="0"/>
    <n v="0.14126990608411596"/>
    <s v="slow"/>
  </r>
  <r>
    <x v="1859"/>
    <x v="6"/>
    <x v="1"/>
    <x v="6"/>
    <d v="2023-02-07T00:00:00"/>
    <d v="2023-02-11T00:00:00"/>
    <n v="15.6"/>
    <n v="116.02"/>
    <s v="Delivered"/>
    <n v="800"/>
    <n v="4"/>
    <x v="0"/>
    <n v="0.14502499999999999"/>
    <s v="fast"/>
  </r>
  <r>
    <x v="1860"/>
    <x v="3"/>
    <x v="4"/>
    <x v="6"/>
    <d v="2023-07-23T00:00:00"/>
    <d v="2023-07-26T00:00:00"/>
    <n v="43.4"/>
    <n v="196.44"/>
    <s v="Delivered"/>
    <n v="1323"/>
    <n v="3"/>
    <x v="0"/>
    <n v="0.14848072562358278"/>
    <s v="fast"/>
  </r>
  <r>
    <x v="1861"/>
    <x v="7"/>
    <x v="7"/>
    <x v="2"/>
    <d v="2023-05-31T00:00:00"/>
    <d v="2023-06-05T00:00:00"/>
    <n v="46.6"/>
    <n v="122.94"/>
    <s v="Delivered"/>
    <n v="510"/>
    <n v="5"/>
    <x v="0"/>
    <n v="0.24105882352941177"/>
    <s v="slow"/>
  </r>
  <r>
    <x v="1862"/>
    <x v="8"/>
    <x v="0"/>
    <x v="6"/>
    <d v="2023-11-24T00:00:00"/>
    <d v="2023-11-27T00:00:00"/>
    <n v="9.5"/>
    <n v="76.52"/>
    <s v="Delivered"/>
    <n v="465"/>
    <n v="3"/>
    <x v="0"/>
    <n v="0.16455913978494624"/>
    <s v="fast"/>
  </r>
  <r>
    <x v="1863"/>
    <x v="1"/>
    <x v="8"/>
    <x v="2"/>
    <d v="2023-01-14T00:00:00"/>
    <d v="2023-01-18T00:00:00"/>
    <n v="16.100000000000001"/>
    <n v="105.58"/>
    <s v="Delivered"/>
    <n v="664"/>
    <n v="4"/>
    <x v="0"/>
    <n v="0.15900602409638553"/>
    <s v="fast"/>
  </r>
  <r>
    <x v="1864"/>
    <x v="3"/>
    <x v="5"/>
    <x v="3"/>
    <d v="2023-07-11T00:00:00"/>
    <d v="2023-07-17T00:00:00"/>
    <n v="88.9"/>
    <n v="424.24"/>
    <s v="Delivered"/>
    <n v="2356"/>
    <n v="6"/>
    <x v="0"/>
    <n v="0.1800679117147708"/>
    <s v="slow"/>
  </r>
  <r>
    <x v="1865"/>
    <x v="0"/>
    <x v="5"/>
    <x v="6"/>
    <d v="2023-06-04T00:00:00"/>
    <d v="2023-06-07T00:00:00"/>
    <n v="24.8"/>
    <n v="140.88"/>
    <s v="Lost"/>
    <n v="944"/>
    <n v="3"/>
    <x v="2"/>
    <n v="0.14923728813559323"/>
    <s v="not applicabel"/>
  </r>
  <r>
    <x v="1866"/>
    <x v="1"/>
    <x v="14"/>
    <x v="4"/>
    <d v="2023-10-28T00:00:00"/>
    <d v="2023-11-05T00:00:00"/>
    <n v="18.100000000000001"/>
    <n v="242.86"/>
    <s v="Delivered"/>
    <n v="1746"/>
    <n v="8"/>
    <x v="0"/>
    <n v="0.13909507445589919"/>
    <s v="slow"/>
  </r>
  <r>
    <x v="1867"/>
    <x v="6"/>
    <x v="6"/>
    <x v="5"/>
    <d v="2023-03-07T00:00:00"/>
    <d v="2023-03-11T00:00:00"/>
    <n v="29.7"/>
    <n v="271.76"/>
    <s v="Delivered"/>
    <n v="2067"/>
    <n v="4"/>
    <x v="0"/>
    <n v="0.13147556845670053"/>
    <s v="fast"/>
  </r>
  <r>
    <x v="1868"/>
    <x v="2"/>
    <x v="9"/>
    <x v="3"/>
    <d v="2023-05-01T00:00:00"/>
    <d v="2023-05-05T00:00:00"/>
    <n v="5404.2"/>
    <n v="226.51"/>
    <s v="Delivered"/>
    <n v="1053"/>
    <n v="4"/>
    <x v="0"/>
    <n v="0.21510921177587844"/>
    <s v="fast"/>
  </r>
  <r>
    <x v="1869"/>
    <x v="5"/>
    <x v="13"/>
    <x v="2"/>
    <d v="2023-10-03T00:00:00"/>
    <d v="2023-10-05T00:00:00"/>
    <n v="32.200000000000003"/>
    <n v="96.92"/>
    <s v="Delivered"/>
    <n v="447"/>
    <n v="2"/>
    <x v="0"/>
    <n v="0.21682326621923939"/>
    <s v="fast"/>
  </r>
  <r>
    <x v="1870"/>
    <x v="9"/>
    <x v="2"/>
    <x v="2"/>
    <d v="2023-01-06T00:00:00"/>
    <d v="2023-01-10T00:00:00"/>
    <n v="119.7"/>
    <n v="390.46"/>
    <s v="Delivered"/>
    <n v="1834"/>
    <n v="4"/>
    <x v="0"/>
    <n v="0.21290076335877861"/>
    <s v="fast"/>
  </r>
  <r>
    <x v="1871"/>
    <x v="2"/>
    <x v="8"/>
    <x v="2"/>
    <d v="2023-08-21T00:00:00"/>
    <d v="2023-08-24T00:00:00"/>
    <n v="28.4"/>
    <n v="117.74"/>
    <s v="In Transit"/>
    <n v="677"/>
    <n v="3"/>
    <x v="0"/>
    <n v="0.17391432791728212"/>
    <s v="fast"/>
  </r>
  <r>
    <x v="1872"/>
    <x v="1"/>
    <x v="5"/>
    <x v="5"/>
    <d v="2023-11-05T00:00:00"/>
    <d v="2023-11-11T00:00:00"/>
    <n v="17.3"/>
    <n v="309.39"/>
    <s v="Delivered"/>
    <n v="1780"/>
    <n v="6"/>
    <x v="0"/>
    <n v="0.17381460674157304"/>
    <s v="slow"/>
  </r>
  <r>
    <x v="1873"/>
    <x v="5"/>
    <x v="7"/>
    <x v="0"/>
    <d v="2023-12-01T00:00:00"/>
    <d v="2023-12-03T00:00:00"/>
    <n v="13.8"/>
    <n v="63.06"/>
    <s v="Delivered"/>
    <n v="283"/>
    <n v="2"/>
    <x v="0"/>
    <n v="0.22282685512367492"/>
    <s v="fast"/>
  </r>
  <r>
    <x v="1874"/>
    <x v="4"/>
    <x v="2"/>
    <x v="2"/>
    <d v="2023-07-19T00:00:00"/>
    <d v="2023-07-24T00:00:00"/>
    <n v="79.3"/>
    <n v="348.67"/>
    <s v="Delivered"/>
    <n v="2393"/>
    <n v="5"/>
    <x v="0"/>
    <n v="0.14570413706644381"/>
    <s v="slow"/>
  </r>
  <r>
    <x v="1875"/>
    <x v="5"/>
    <x v="14"/>
    <x v="0"/>
    <d v="2023-10-25T00:00:00"/>
    <d v="2023-10-30T00:00:00"/>
    <n v="5.9"/>
    <n v="145.47"/>
    <s v="Delivered"/>
    <n v="1000"/>
    <n v="5"/>
    <x v="0"/>
    <n v="0.14546999999999999"/>
    <s v="slow"/>
  </r>
  <r>
    <x v="1876"/>
    <x v="8"/>
    <x v="4"/>
    <x v="1"/>
    <d v="2023-04-17T00:00:00"/>
    <d v="2023-04-18T00:00:00"/>
    <n v="26.2"/>
    <n v="86.35"/>
    <s v="Delivered"/>
    <n v="351"/>
    <n v="1"/>
    <x v="0"/>
    <n v="0.24601139601139599"/>
    <s v="fast"/>
  </r>
  <r>
    <x v="1877"/>
    <x v="1"/>
    <x v="3"/>
    <x v="0"/>
    <d v="2023-01-03T00:00:00"/>
    <d v="2023-01-08T00:00:00"/>
    <n v="16.8"/>
    <n v="174.76"/>
    <s v="Delivered"/>
    <n v="1135"/>
    <n v="5"/>
    <x v="0"/>
    <n v="0.15397356828193831"/>
    <s v="slow"/>
  </r>
  <r>
    <x v="1878"/>
    <x v="2"/>
    <x v="3"/>
    <x v="6"/>
    <d v="2023-03-04T00:00:00"/>
    <d v="2023-03-08T00:00:00"/>
    <n v="24.1"/>
    <n v="213.6"/>
    <s v="Delivered"/>
    <n v="1794"/>
    <n v="4"/>
    <x v="0"/>
    <n v="0.11906354515050167"/>
    <s v="fast"/>
  </r>
  <r>
    <x v="1879"/>
    <x v="8"/>
    <x v="3"/>
    <x v="1"/>
    <d v="2023-08-17T00:00:00"/>
    <d v="2023-08-21T00:00:00"/>
    <n v="10.199999999999999"/>
    <n v="286.07"/>
    <s v="Delivered"/>
    <n v="1919"/>
    <n v="4"/>
    <x v="0"/>
    <n v="0.14907243355914537"/>
    <s v="fast"/>
  </r>
  <r>
    <x v="1880"/>
    <x v="8"/>
    <x v="12"/>
    <x v="2"/>
    <d v="2023-08-03T00:00:00"/>
    <d v="2023-08-06T00:00:00"/>
    <n v="25.6"/>
    <n v="114.68"/>
    <s v="Delivered"/>
    <n v="801"/>
    <n v="3"/>
    <x v="0"/>
    <n v="0.14317103620474408"/>
    <s v="fast"/>
  </r>
  <r>
    <x v="1881"/>
    <x v="0"/>
    <x v="11"/>
    <x v="3"/>
    <d v="2023-11-12T00:00:00"/>
    <d v="2023-11-14T00:00:00"/>
    <n v="6.1"/>
    <n v="39.840000000000003"/>
    <s v="Delivered"/>
    <n v="218"/>
    <n v="2"/>
    <x v="0"/>
    <n v="0.18275229357798167"/>
    <s v="fast"/>
  </r>
  <r>
    <x v="1882"/>
    <x v="1"/>
    <x v="10"/>
    <x v="0"/>
    <d v="2023-07-31T00:00:00"/>
    <d v="2023-08-04T00:00:00"/>
    <n v="29.9"/>
    <n v="84.58"/>
    <s v="Delivered"/>
    <n v="373"/>
    <n v="4"/>
    <x v="0"/>
    <n v="0.22675603217158177"/>
    <s v="fast"/>
  </r>
  <r>
    <x v="1883"/>
    <x v="4"/>
    <x v="9"/>
    <x v="2"/>
    <d v="2023-11-25T00:00:00"/>
    <d v="2023-11-29T00:00:00"/>
    <n v="7.2"/>
    <n v="212.11"/>
    <s v="Delivered"/>
    <n v="1306"/>
    <n v="4"/>
    <x v="0"/>
    <n v="0.16241194486983157"/>
    <s v="fast"/>
  </r>
  <r>
    <x v="1884"/>
    <x v="5"/>
    <x v="12"/>
    <x v="4"/>
    <d v="2023-07-24T00:00:00"/>
    <d v="2023-07-31T00:00:00"/>
    <n v="40.700000000000003"/>
    <n v="292.44"/>
    <s v="Delivered"/>
    <n v="2247"/>
    <n v="7"/>
    <x v="0"/>
    <n v="0.13014686248331109"/>
    <s v="slow"/>
  </r>
  <r>
    <x v="1885"/>
    <x v="5"/>
    <x v="13"/>
    <x v="4"/>
    <d v="2023-09-10T00:00:00"/>
    <d v="2023-09-14T00:00:00"/>
    <n v="34.700000000000003"/>
    <n v="252.26"/>
    <s v="Delivered"/>
    <n v="1603"/>
    <n v="4"/>
    <x v="0"/>
    <n v="0.1573674360573924"/>
    <s v="fast"/>
  </r>
  <r>
    <x v="1886"/>
    <x v="3"/>
    <x v="7"/>
    <x v="5"/>
    <d v="2023-11-12T00:00:00"/>
    <d v="2023-11-15T00:00:00"/>
    <n v="24.8"/>
    <n v="206.07"/>
    <s v="Delivered"/>
    <n v="1099"/>
    <n v="3"/>
    <x v="0"/>
    <n v="0.18750682438580527"/>
    <s v="fast"/>
  </r>
  <r>
    <x v="1887"/>
    <x v="6"/>
    <x v="11"/>
    <x v="2"/>
    <d v="2023-11-27T00:00:00"/>
    <d v="2023-12-02T00:00:00"/>
    <n v="28.1"/>
    <n v="195.61"/>
    <s v="Returned"/>
    <n v="1012"/>
    <n v="5"/>
    <x v="3"/>
    <n v="0.19329051383399209"/>
    <s v="not applicabel"/>
  </r>
  <r>
    <x v="1888"/>
    <x v="8"/>
    <x v="0"/>
    <x v="4"/>
    <d v="2023-09-01T00:00:00"/>
    <d v="2023-09-03T00:00:00"/>
    <n v="10.7"/>
    <m/>
    <s v="Delivered"/>
    <n v="392"/>
    <n v="2"/>
    <x v="0"/>
    <n v="0"/>
    <s v="fast"/>
  </r>
  <r>
    <x v="1889"/>
    <x v="0"/>
    <x v="7"/>
    <x v="1"/>
    <d v="2023-05-25T00:00:00"/>
    <d v="2023-06-01T00:00:00"/>
    <n v="32.799999999999997"/>
    <n v="303.32"/>
    <s v="Delivered"/>
    <n v="2012"/>
    <n v="7"/>
    <x v="0"/>
    <n v="0.15075546719681909"/>
    <s v="slow"/>
  </r>
  <r>
    <x v="1890"/>
    <x v="3"/>
    <x v="3"/>
    <x v="1"/>
    <d v="2023-05-21T00:00:00"/>
    <d v="2023-05-28T00:00:00"/>
    <n v="29.5"/>
    <n v="326.18"/>
    <s v="Delivered"/>
    <n v="2273"/>
    <n v="7"/>
    <x v="0"/>
    <n v="0.14350197976242851"/>
    <s v="slow"/>
  </r>
  <r>
    <x v="1891"/>
    <x v="1"/>
    <x v="5"/>
    <x v="2"/>
    <d v="2023-12-21T00:00:00"/>
    <d v="2023-12-26T00:00:00"/>
    <n v="66.3"/>
    <n v="337.55"/>
    <s v="In Transit"/>
    <n v="1743"/>
    <n v="5"/>
    <x v="0"/>
    <n v="0.19366035570854848"/>
    <s v="slow"/>
  </r>
  <r>
    <x v="1892"/>
    <x v="7"/>
    <x v="1"/>
    <x v="0"/>
    <d v="2023-06-24T00:00:00"/>
    <d v="2023-06-28T00:00:00"/>
    <n v="21.7"/>
    <n v="291.81"/>
    <s v="Delivered"/>
    <n v="1919"/>
    <n v="4"/>
    <x v="0"/>
    <n v="0.1520635747785305"/>
    <s v="fast"/>
  </r>
  <r>
    <x v="1893"/>
    <x v="4"/>
    <x v="8"/>
    <x v="1"/>
    <d v="2023-06-13T00:00:00"/>
    <d v="2023-06-17T00:00:00"/>
    <n v="37"/>
    <n v="279.2"/>
    <s v="Delivered"/>
    <n v="1506"/>
    <n v="4"/>
    <x v="0"/>
    <n v="0.18539176626826029"/>
    <s v="fast"/>
  </r>
  <r>
    <x v="1894"/>
    <x v="6"/>
    <x v="11"/>
    <x v="1"/>
    <d v="2023-10-14T00:00:00"/>
    <d v="2023-10-20T00:00:00"/>
    <n v="21.6"/>
    <n v="334.73"/>
    <s v="Delivered"/>
    <n v="2053"/>
    <n v="6"/>
    <x v="0"/>
    <n v="0.16304432537749636"/>
    <s v="slow"/>
  </r>
  <r>
    <x v="1895"/>
    <x v="5"/>
    <x v="14"/>
    <x v="0"/>
    <d v="2023-08-28T00:00:00"/>
    <d v="2023-08-31T00:00:00"/>
    <n v="40.700000000000003"/>
    <n v="175.45"/>
    <s v="Delivered"/>
    <n v="1000"/>
    <n v="3"/>
    <x v="0"/>
    <n v="0.17544999999999999"/>
    <s v="fast"/>
  </r>
  <r>
    <x v="1896"/>
    <x v="8"/>
    <x v="12"/>
    <x v="3"/>
    <d v="2023-08-30T00:00:00"/>
    <d v="2023-09-07T00:00:00"/>
    <n v="84.8"/>
    <n v="383.33"/>
    <s v="Delivered"/>
    <n v="2141"/>
    <n v="8"/>
    <x v="0"/>
    <n v="0.17904250350303597"/>
    <s v="slow"/>
  </r>
  <r>
    <x v="1897"/>
    <x v="6"/>
    <x v="3"/>
    <x v="4"/>
    <d v="2023-12-24T00:00:00"/>
    <d v="2023-12-29T00:00:00"/>
    <n v="13.7"/>
    <n v="328.21"/>
    <s v="Delivered"/>
    <n v="2225"/>
    <n v="5"/>
    <x v="0"/>
    <n v="0.14751011235955055"/>
    <s v="slow"/>
  </r>
  <r>
    <x v="1898"/>
    <x v="5"/>
    <x v="11"/>
    <x v="5"/>
    <d v="2023-05-02T00:00:00"/>
    <d v="2023-05-05T00:00:00"/>
    <n v="20.5"/>
    <n v="171.02"/>
    <s v="Delivered"/>
    <n v="1350"/>
    <n v="3"/>
    <x v="0"/>
    <n v="0.12668148148148148"/>
    <s v="fast"/>
  </r>
  <r>
    <x v="1899"/>
    <x v="7"/>
    <x v="13"/>
    <x v="6"/>
    <d v="2023-11-16T00:00:00"/>
    <d v="2023-11-22T00:00:00"/>
    <n v="9.1999999999999993"/>
    <m/>
    <s v="Delivered"/>
    <n v="2393"/>
    <n v="6"/>
    <x v="0"/>
    <n v="0"/>
    <s v="slow"/>
  </r>
  <r>
    <x v="1900"/>
    <x v="7"/>
    <x v="1"/>
    <x v="1"/>
    <d v="2023-12-12T00:00:00"/>
    <d v="2023-12-22T00:00:00"/>
    <n v="78.2"/>
    <n v="211.42"/>
    <s v="Delayed"/>
    <n v="620"/>
    <n v="2"/>
    <x v="1"/>
    <n v="0.34099999999999997"/>
    <s v="not applicabel"/>
  </r>
  <r>
    <x v="1901"/>
    <x v="4"/>
    <x v="3"/>
    <x v="4"/>
    <d v="2023-05-13T00:00:00"/>
    <d v="2023-05-18T00:00:00"/>
    <n v="17.2"/>
    <n v="247.67"/>
    <s v="Delivered"/>
    <n v="2018"/>
    <n v="5"/>
    <x v="0"/>
    <n v="0.12273042616451932"/>
    <s v="slow"/>
  </r>
  <r>
    <x v="1902"/>
    <x v="9"/>
    <x v="12"/>
    <x v="4"/>
    <d v="2023-07-08T00:00:00"/>
    <d v="2023-07-12T00:00:00"/>
    <n v="14.7"/>
    <n v="243.7"/>
    <s v="Delivered"/>
    <n v="1949"/>
    <n v="4"/>
    <x v="0"/>
    <n v="0.1250384812724474"/>
    <s v="fast"/>
  </r>
  <r>
    <x v="1903"/>
    <x v="6"/>
    <x v="1"/>
    <x v="3"/>
    <d v="2023-05-12T00:00:00"/>
    <d v="2023-05-15T00:00:00"/>
    <n v="18.899999999999999"/>
    <n v="122.95"/>
    <s v="Delivered"/>
    <n v="800"/>
    <n v="3"/>
    <x v="0"/>
    <n v="0.1536875"/>
    <s v="fast"/>
  </r>
  <r>
    <x v="1904"/>
    <x v="6"/>
    <x v="7"/>
    <x v="3"/>
    <d v="2023-03-08T00:00:00"/>
    <d v="2023-03-13T00:00:00"/>
    <n v="8.1"/>
    <n v="290.02"/>
    <s v="Delivered"/>
    <n v="2307"/>
    <n v="5"/>
    <x v="0"/>
    <n v="0.12571304724750756"/>
    <s v="slow"/>
  </r>
  <r>
    <x v="1905"/>
    <x v="7"/>
    <x v="7"/>
    <x v="5"/>
    <d v="2023-01-12T00:00:00"/>
    <d v="2023-01-18T00:00:00"/>
    <n v="44.3"/>
    <n v="311.3"/>
    <s v="Delivered"/>
    <n v="2041"/>
    <n v="6"/>
    <x v="0"/>
    <n v="0.15252327290543852"/>
    <s v="slow"/>
  </r>
  <r>
    <x v="1906"/>
    <x v="5"/>
    <x v="5"/>
    <x v="1"/>
    <d v="2023-06-19T00:00:00"/>
    <d v="2023-06-22T00:00:00"/>
    <n v="59.9"/>
    <n v="183.69"/>
    <s v="Delivered"/>
    <n v="628"/>
    <n v="3"/>
    <x v="0"/>
    <n v="0.29249999999999998"/>
    <s v="fast"/>
  </r>
  <r>
    <x v="1907"/>
    <x v="9"/>
    <x v="6"/>
    <x v="5"/>
    <d v="2023-01-15T00:00:00"/>
    <d v="2023-01-22T00:00:00"/>
    <n v="8.8000000000000007"/>
    <n v="210.56"/>
    <s v="Lost"/>
    <n v="1852"/>
    <n v="7"/>
    <x v="2"/>
    <n v="0.11369330453563715"/>
    <s v="not applicabel"/>
  </r>
  <r>
    <x v="1908"/>
    <x v="5"/>
    <x v="13"/>
    <x v="3"/>
    <d v="2023-03-02T00:00:00"/>
    <d v="2023-03-04T00:00:00"/>
    <n v="10.5"/>
    <n v="33.67"/>
    <s v="Delivered"/>
    <n v="162"/>
    <n v="2"/>
    <x v="0"/>
    <n v="0.20783950617283953"/>
    <s v="fast"/>
  </r>
  <r>
    <x v="1909"/>
    <x v="5"/>
    <x v="8"/>
    <x v="4"/>
    <d v="2023-05-17T00:00:00"/>
    <d v="2023-05-23T00:00:00"/>
    <n v="16.600000000000001"/>
    <n v="256.68"/>
    <s v="Returned"/>
    <n v="1995"/>
    <n v="6"/>
    <x v="3"/>
    <n v="0.12866165413533834"/>
    <s v="not applicabel"/>
  </r>
  <r>
    <x v="1910"/>
    <x v="0"/>
    <x v="12"/>
    <x v="1"/>
    <d v="2023-09-15T00:00:00"/>
    <d v="2023-09-24T00:00:00"/>
    <n v="23.5"/>
    <n v="213.18"/>
    <s v="Delivered"/>
    <n v="1469"/>
    <n v="9"/>
    <x v="0"/>
    <n v="0.14511912865895168"/>
    <s v="slow"/>
  </r>
  <r>
    <x v="1911"/>
    <x v="5"/>
    <x v="14"/>
    <x v="3"/>
    <d v="2023-01-29T00:00:00"/>
    <d v="2023-02-02T00:00:00"/>
    <n v="34.9"/>
    <n v="162.44"/>
    <s v="Delivered"/>
    <n v="1000"/>
    <n v="4"/>
    <x v="0"/>
    <n v="0.16244"/>
    <s v="fast"/>
  </r>
  <r>
    <x v="1912"/>
    <x v="1"/>
    <x v="6"/>
    <x v="0"/>
    <d v="2023-05-21T00:00:00"/>
    <d v="2023-05-28T00:00:00"/>
    <n v="14.6"/>
    <n v="1597.99"/>
    <s v="Delivered"/>
    <n v="2187"/>
    <n v="7"/>
    <x v="0"/>
    <n v="0.73067672610882484"/>
    <s v="slow"/>
  </r>
  <r>
    <x v="1913"/>
    <x v="8"/>
    <x v="11"/>
    <x v="5"/>
    <d v="2023-02-06T00:00:00"/>
    <d v="2023-02-10T00:00:00"/>
    <n v="49"/>
    <n v="265.52"/>
    <s v="Delivered"/>
    <n v="1875"/>
    <n v="4"/>
    <x v="0"/>
    <n v="0.14161066666666666"/>
    <s v="fast"/>
  </r>
  <r>
    <x v="1914"/>
    <x v="6"/>
    <x v="2"/>
    <x v="4"/>
    <d v="2023-10-06T00:00:00"/>
    <d v="2023-10-10T00:00:00"/>
    <n v="82.4"/>
    <n v="279.42"/>
    <s v="Delivered"/>
    <n v="1705"/>
    <n v="4"/>
    <x v="0"/>
    <n v="0.16388269794721408"/>
    <s v="fast"/>
  </r>
  <r>
    <x v="1915"/>
    <x v="3"/>
    <x v="5"/>
    <x v="6"/>
    <d v="2023-08-09T00:00:00"/>
    <d v="2023-08-13T00:00:00"/>
    <n v="23.5"/>
    <n v="79.709999999999994"/>
    <s v="Delivered"/>
    <n v="409"/>
    <n v="4"/>
    <x v="0"/>
    <n v="0.19488997555012225"/>
    <s v="fast"/>
  </r>
  <r>
    <x v="1916"/>
    <x v="7"/>
    <x v="3"/>
    <x v="6"/>
    <d v="2023-06-15T00:00:00"/>
    <d v="2023-06-17T00:00:00"/>
    <n v="17.2"/>
    <n v="84.6"/>
    <s v="Delivered"/>
    <n v="513"/>
    <n v="2"/>
    <x v="0"/>
    <n v="0.16491228070175437"/>
    <s v="fast"/>
  </r>
  <r>
    <x v="1917"/>
    <x v="2"/>
    <x v="14"/>
    <x v="5"/>
    <d v="2023-04-17T00:00:00"/>
    <d v="2023-04-24T00:00:00"/>
    <n v="21.1"/>
    <n v="256.12"/>
    <s v="Delivered"/>
    <n v="1974"/>
    <n v="7"/>
    <x v="0"/>
    <n v="0.12974670719351572"/>
    <s v="slow"/>
  </r>
  <r>
    <x v="1918"/>
    <x v="8"/>
    <x v="9"/>
    <x v="6"/>
    <d v="2023-12-08T00:00:00"/>
    <d v="2023-12-11T00:00:00"/>
    <n v="6.7"/>
    <n v="42.11"/>
    <s v="Delayed"/>
    <n v="215"/>
    <n v="1"/>
    <x v="1"/>
    <n v="0.19586046511627905"/>
    <s v="not applicabel"/>
  </r>
  <r>
    <x v="1919"/>
    <x v="9"/>
    <x v="3"/>
    <x v="2"/>
    <d v="2023-04-21T00:00:00"/>
    <d v="2023-04-23T00:00:00"/>
    <n v="17.399999999999999"/>
    <n v="59.13"/>
    <s v="Delivered"/>
    <n v="284"/>
    <n v="2"/>
    <x v="0"/>
    <n v="0.20820422535211269"/>
    <s v="fast"/>
  </r>
  <r>
    <x v="1920"/>
    <x v="1"/>
    <x v="6"/>
    <x v="3"/>
    <d v="2023-11-01T00:00:00"/>
    <d v="2023-11-04T00:00:00"/>
    <n v="31.2"/>
    <n v="228.61"/>
    <s v="Lost"/>
    <n v="1128"/>
    <n v="3"/>
    <x v="2"/>
    <n v="0.20266843971631207"/>
    <s v="not applicabel"/>
  </r>
  <r>
    <x v="1921"/>
    <x v="6"/>
    <x v="0"/>
    <x v="5"/>
    <d v="2023-09-10T00:00:00"/>
    <d v="2023-09-11T00:00:00"/>
    <n v="25.7"/>
    <n v="55.3"/>
    <s v="Delivered"/>
    <n v="231"/>
    <n v="1"/>
    <x v="0"/>
    <n v="0.23939393939393938"/>
    <s v="fast"/>
  </r>
  <r>
    <x v="1922"/>
    <x v="0"/>
    <x v="14"/>
    <x v="2"/>
    <d v="2023-01-29T00:00:00"/>
    <d v="2023-02-02T00:00:00"/>
    <n v="35.6"/>
    <n v="107.89"/>
    <s v="Delivered"/>
    <n v="542"/>
    <n v="4"/>
    <x v="0"/>
    <n v="0.19905904059040591"/>
    <s v="fast"/>
  </r>
  <r>
    <x v="1923"/>
    <x v="9"/>
    <x v="5"/>
    <x v="2"/>
    <d v="2023-06-15T00:00:00"/>
    <d v="2023-06-16T00:00:00"/>
    <n v="29.4"/>
    <n v="116.46"/>
    <s v="Delivered"/>
    <n v="636"/>
    <n v="1"/>
    <x v="0"/>
    <n v="0.18311320754716981"/>
    <s v="fast"/>
  </r>
  <r>
    <x v="1924"/>
    <x v="8"/>
    <x v="6"/>
    <x v="6"/>
    <d v="2023-08-02T00:00:00"/>
    <d v="2023-08-07T00:00:00"/>
    <n v="16.7"/>
    <n v="179.65"/>
    <s v="Delivered"/>
    <n v="1438"/>
    <n v="5"/>
    <x v="0"/>
    <n v="0.12493045897079277"/>
    <s v="slow"/>
  </r>
  <r>
    <x v="1925"/>
    <x v="2"/>
    <x v="10"/>
    <x v="4"/>
    <d v="2023-06-23T00:00:00"/>
    <d v="2023-06-25T00:00:00"/>
    <n v="7.2"/>
    <n v="97.04"/>
    <s v="Delivered"/>
    <n v="822"/>
    <n v="2"/>
    <x v="0"/>
    <n v="0.11805352798053528"/>
    <s v="fast"/>
  </r>
  <r>
    <x v="1926"/>
    <x v="6"/>
    <x v="10"/>
    <x v="4"/>
    <d v="2023-10-11T00:00:00"/>
    <d v="2023-10-14T00:00:00"/>
    <n v="11.7"/>
    <n v="94.37"/>
    <s v="Delivered"/>
    <n v="744"/>
    <n v="3"/>
    <x v="0"/>
    <n v="0.12684139784946238"/>
    <s v="fast"/>
  </r>
  <r>
    <x v="1927"/>
    <x v="0"/>
    <x v="6"/>
    <x v="0"/>
    <d v="2023-07-26T00:00:00"/>
    <d v="2023-07-31T00:00:00"/>
    <n v="27.6"/>
    <n v="242.8"/>
    <s v="Delivered"/>
    <n v="1549"/>
    <n v="5"/>
    <x v="0"/>
    <n v="0.15674628792769529"/>
    <s v="slow"/>
  </r>
  <r>
    <x v="1928"/>
    <x v="1"/>
    <x v="10"/>
    <x v="5"/>
    <d v="2023-01-31T00:00:00"/>
    <d v="2023-02-03T00:00:00"/>
    <n v="20.5"/>
    <n v="75.98"/>
    <s v="Delivered"/>
    <n v="373"/>
    <n v="3"/>
    <x v="0"/>
    <n v="0.20369973190348525"/>
    <s v="fast"/>
  </r>
  <r>
    <x v="1929"/>
    <x v="3"/>
    <x v="11"/>
    <x v="5"/>
    <d v="2023-04-22T00:00:00"/>
    <d v="2023-04-28T00:00:00"/>
    <n v="41"/>
    <n v="321.14999999999998"/>
    <s v="Delivered"/>
    <n v="2478"/>
    <n v="6"/>
    <x v="0"/>
    <n v="0.1296004842615012"/>
    <s v="slow"/>
  </r>
  <r>
    <x v="1930"/>
    <x v="0"/>
    <x v="3"/>
    <x v="2"/>
    <d v="2023-04-04T00:00:00"/>
    <d v="2023-04-05T00:00:00"/>
    <n v="13.8"/>
    <n v="30.2"/>
    <s v="Delivered"/>
    <n v="142"/>
    <n v="1"/>
    <x v="0"/>
    <n v="0.21267605633802816"/>
    <s v="fast"/>
  </r>
  <r>
    <x v="1931"/>
    <x v="1"/>
    <x v="3"/>
    <x v="6"/>
    <d v="2023-09-11T00:00:00"/>
    <d v="2023-09-14T00:00:00"/>
    <n v="34.200000000000003"/>
    <n v="156.85"/>
    <s v="Delivered"/>
    <n v="1135"/>
    <n v="3"/>
    <x v="0"/>
    <n v="0.13819383259911894"/>
    <s v="fast"/>
  </r>
  <r>
    <x v="1932"/>
    <x v="2"/>
    <x v="14"/>
    <x v="1"/>
    <d v="2023-12-11T00:00:00"/>
    <d v="2023-12-14T00:00:00"/>
    <n v="10.4"/>
    <m/>
    <s v="Delivered"/>
    <n v="1467"/>
    <n v="3"/>
    <x v="0"/>
    <n v="0"/>
    <s v="fast"/>
  </r>
  <r>
    <x v="1933"/>
    <x v="9"/>
    <x v="11"/>
    <x v="6"/>
    <d v="2023-08-04T00:00:00"/>
    <d v="2023-08-10T00:00:00"/>
    <n v="20.3"/>
    <n v="295.36"/>
    <s v="Delivered"/>
    <n v="2353"/>
    <n v="6"/>
    <x v="0"/>
    <n v="0.12552486187845305"/>
    <s v="slow"/>
  </r>
  <r>
    <x v="1934"/>
    <x v="6"/>
    <x v="7"/>
    <x v="5"/>
    <d v="2023-03-03T00:00:00"/>
    <d v="2023-03-06T00:00:00"/>
    <n v="9.9"/>
    <n v="161.25"/>
    <s v="Delivered"/>
    <n v="1163"/>
    <n v="3"/>
    <x v="0"/>
    <n v="0.13865004299226139"/>
    <s v="fast"/>
  </r>
  <r>
    <x v="1935"/>
    <x v="5"/>
    <x v="7"/>
    <x v="4"/>
    <d v="2023-06-26T00:00:00"/>
    <d v="2023-06-27T00:00:00"/>
    <n v="9.5"/>
    <n v="43.35"/>
    <s v="Delivered"/>
    <n v="283"/>
    <n v="1"/>
    <x v="0"/>
    <n v="0.15318021201413429"/>
    <s v="fast"/>
  </r>
  <r>
    <x v="1936"/>
    <x v="4"/>
    <x v="4"/>
    <x v="4"/>
    <d v="2023-11-30T00:00:00"/>
    <d v="2023-12-03T00:00:00"/>
    <n v="27"/>
    <n v="188.63"/>
    <s v="Delivered"/>
    <n v="1068"/>
    <n v="3"/>
    <x v="0"/>
    <n v="0.17661985018726592"/>
    <s v="fast"/>
  </r>
  <r>
    <x v="1937"/>
    <x v="7"/>
    <x v="9"/>
    <x v="4"/>
    <d v="2023-12-16T00:00:00"/>
    <d v="2023-12-21T00:00:00"/>
    <n v="12.9"/>
    <n v="305.45"/>
    <s v="Delivered"/>
    <n v="1875"/>
    <n v="5"/>
    <x v="0"/>
    <n v="0.16290666666666667"/>
    <s v="slow"/>
  </r>
  <r>
    <x v="1938"/>
    <x v="1"/>
    <x v="7"/>
    <x v="3"/>
    <d v="2023-11-21T00:00:00"/>
    <d v="2023-11-28T00:00:00"/>
    <n v="61.7"/>
    <n v="455.69"/>
    <s v="Delivered"/>
    <n v="2430"/>
    <n v="7"/>
    <x v="0"/>
    <n v="0.18752674897119342"/>
    <s v="slow"/>
  </r>
  <r>
    <x v="1939"/>
    <x v="3"/>
    <x v="6"/>
    <x v="5"/>
    <d v="2023-04-14T00:00:00"/>
    <d v="2023-04-16T00:00:00"/>
    <n v="25.3"/>
    <n v="92.95"/>
    <s v="Delivered"/>
    <n v="505"/>
    <n v="2"/>
    <x v="0"/>
    <n v="0.18405940594059406"/>
    <s v="fast"/>
  </r>
  <r>
    <x v="1940"/>
    <x v="1"/>
    <x v="3"/>
    <x v="2"/>
    <d v="2023-07-05T00:00:00"/>
    <d v="2023-07-10T00:00:00"/>
    <n v="26.4"/>
    <n v="161.78"/>
    <s v="Delivered"/>
    <n v="1135"/>
    <n v="5"/>
    <x v="0"/>
    <n v="0.1425374449339207"/>
    <s v="slow"/>
  </r>
  <r>
    <x v="1941"/>
    <x v="4"/>
    <x v="12"/>
    <x v="6"/>
    <d v="2023-06-18T00:00:00"/>
    <d v="2023-06-22T00:00:00"/>
    <n v="69"/>
    <n v="302.62"/>
    <s v="Lost"/>
    <n v="1868"/>
    <n v="4"/>
    <x v="2"/>
    <n v="0.16200214132762314"/>
    <s v="not applicabel"/>
  </r>
  <r>
    <x v="1942"/>
    <x v="4"/>
    <x v="6"/>
    <x v="6"/>
    <d v="2023-10-24T00:00:00"/>
    <d v="2023-10-31T00:00:00"/>
    <n v="17"/>
    <n v="283.07"/>
    <s v="Delivered"/>
    <n v="2191"/>
    <n v="7"/>
    <x v="0"/>
    <n v="0.12919671382930167"/>
    <s v="slow"/>
  </r>
  <r>
    <x v="1943"/>
    <x v="7"/>
    <x v="8"/>
    <x v="6"/>
    <d v="2023-08-31T00:00:00"/>
    <d v="2023-09-02T00:00:00"/>
    <n v="18"/>
    <m/>
    <s v="Delivered"/>
    <n v="971"/>
    <n v="2"/>
    <x v="0"/>
    <n v="0"/>
    <s v="fast"/>
  </r>
  <r>
    <x v="1944"/>
    <x v="1"/>
    <x v="5"/>
    <x v="0"/>
    <d v="2023-12-29T00:00:00"/>
    <d v="2024-01-04T00:00:00"/>
    <n v="15.9"/>
    <n v="329.11"/>
    <s v="Delivered"/>
    <n v="1899"/>
    <n v="6"/>
    <x v="0"/>
    <n v="0.17330700368615062"/>
    <s v="slow"/>
  </r>
  <r>
    <x v="1945"/>
    <x v="3"/>
    <x v="8"/>
    <x v="5"/>
    <d v="2023-02-26T00:00:00"/>
    <d v="2023-03-02T00:00:00"/>
    <n v="9.1"/>
    <n v="210.06"/>
    <s v="Delivered"/>
    <n v="1754"/>
    <n v="4"/>
    <x v="0"/>
    <n v="0.11976054732041048"/>
    <s v="fast"/>
  </r>
  <r>
    <x v="1946"/>
    <x v="8"/>
    <x v="2"/>
    <x v="2"/>
    <d v="2023-09-10T00:00:00"/>
    <d v="2023-09-13T00:00:00"/>
    <n v="17.5"/>
    <n v="138.84"/>
    <s v="In Transit"/>
    <n v="956"/>
    <n v="3"/>
    <x v="0"/>
    <n v="0.14523012552301257"/>
    <s v="fast"/>
  </r>
  <r>
    <x v="1947"/>
    <x v="9"/>
    <x v="13"/>
    <x v="6"/>
    <d v="2023-07-27T00:00:00"/>
    <d v="2023-08-02T00:00:00"/>
    <n v="22.8"/>
    <n v="287.52"/>
    <s v="Delivered"/>
    <n v="2114"/>
    <n v="6"/>
    <x v="0"/>
    <n v="0.13600756859035004"/>
    <s v="slow"/>
  </r>
  <r>
    <x v="1948"/>
    <x v="9"/>
    <x v="6"/>
    <x v="5"/>
    <d v="2023-09-13T00:00:00"/>
    <d v="2023-09-16T00:00:00"/>
    <n v="10.1"/>
    <n v="138.88999999999999"/>
    <s v="Delivered"/>
    <n v="1084"/>
    <n v="3"/>
    <x v="0"/>
    <n v="0.12812730627306271"/>
    <s v="fast"/>
  </r>
  <r>
    <x v="1949"/>
    <x v="6"/>
    <x v="2"/>
    <x v="2"/>
    <d v="2023-04-22T00:00:00"/>
    <d v="2023-04-26T00:00:00"/>
    <n v="22.6"/>
    <n v="208.71"/>
    <s v="Delivered"/>
    <n v="1375"/>
    <n v="4"/>
    <x v="0"/>
    <n v="0.1517890909090909"/>
    <s v="fast"/>
  </r>
  <r>
    <x v="1950"/>
    <x v="6"/>
    <x v="14"/>
    <x v="0"/>
    <d v="2023-06-16T00:00:00"/>
    <d v="2023-06-19T00:00:00"/>
    <n v="6.9"/>
    <n v="133.01"/>
    <s v="Delivered"/>
    <n v="1030"/>
    <n v="3"/>
    <x v="0"/>
    <n v="0.12913592233009707"/>
    <s v="fast"/>
  </r>
  <r>
    <x v="1951"/>
    <x v="5"/>
    <x v="13"/>
    <x v="1"/>
    <d v="2023-12-19T00:00:00"/>
    <d v="2023-12-21T00:00:00"/>
    <n v="10.1"/>
    <n v="42.45"/>
    <s v="Delivered"/>
    <n v="169"/>
    <n v="2"/>
    <x v="0"/>
    <n v="0.25118343195266274"/>
    <s v="fast"/>
  </r>
  <r>
    <x v="1952"/>
    <x v="5"/>
    <x v="5"/>
    <x v="6"/>
    <d v="2023-02-28T00:00:00"/>
    <d v="2023-03-03T00:00:00"/>
    <n v="39"/>
    <n v="112.83"/>
    <s v="Delivered"/>
    <n v="706"/>
    <n v="3"/>
    <x v="0"/>
    <n v="0.15981586402266287"/>
    <s v="fast"/>
  </r>
  <r>
    <x v="1953"/>
    <x v="2"/>
    <x v="13"/>
    <x v="2"/>
    <d v="2023-02-18T00:00:00"/>
    <d v="2023-02-21T00:00:00"/>
    <n v="30"/>
    <n v="143.34"/>
    <s v="Delivered"/>
    <n v="985"/>
    <n v="3"/>
    <x v="0"/>
    <n v="0.14552284263959392"/>
    <s v="fast"/>
  </r>
  <r>
    <x v="1954"/>
    <x v="9"/>
    <x v="14"/>
    <x v="3"/>
    <d v="2023-06-09T00:00:00"/>
    <d v="2023-06-12T00:00:00"/>
    <n v="24"/>
    <n v="103.6"/>
    <s v="Delayed"/>
    <n v="506"/>
    <n v="2"/>
    <x v="1"/>
    <n v="0.20474308300395255"/>
    <s v="not applicabel"/>
  </r>
  <r>
    <x v="1955"/>
    <x v="2"/>
    <x v="1"/>
    <x v="0"/>
    <d v="2023-03-07T00:00:00"/>
    <d v="2023-03-11T00:00:00"/>
    <n v="47.5"/>
    <n v="127.02"/>
    <s v="Delivered"/>
    <n v="545"/>
    <n v="4"/>
    <x v="0"/>
    <n v="0.23306422018348624"/>
    <s v="fast"/>
  </r>
  <r>
    <x v="1956"/>
    <x v="9"/>
    <x v="4"/>
    <x v="3"/>
    <d v="2023-01-25T00:00:00"/>
    <d v="2023-01-28T00:00:00"/>
    <n v="26.5"/>
    <n v="181.68"/>
    <s v="Delivered"/>
    <n v="1116"/>
    <n v="3"/>
    <x v="0"/>
    <n v="0.1627956989247312"/>
    <s v="fast"/>
  </r>
  <r>
    <x v="1957"/>
    <x v="0"/>
    <x v="8"/>
    <x v="1"/>
    <d v="2023-02-25T00:00:00"/>
    <d v="2023-02-28T00:00:00"/>
    <n v="9.8000000000000007"/>
    <n v="157.80000000000001"/>
    <s v="Delivered"/>
    <n v="992"/>
    <n v="3"/>
    <x v="0"/>
    <n v="0.1590725806451613"/>
    <s v="fast"/>
  </r>
  <r>
    <x v="1958"/>
    <x v="9"/>
    <x v="9"/>
    <x v="6"/>
    <d v="2023-08-08T00:00:00"/>
    <d v="2023-08-14T00:00:00"/>
    <n v="23.4"/>
    <n v="226.29"/>
    <s v="In Transit"/>
    <n v="1921"/>
    <n v="6"/>
    <x v="0"/>
    <n v="0.1177980218636127"/>
    <s v="slow"/>
  </r>
  <r>
    <x v="1959"/>
    <x v="7"/>
    <x v="5"/>
    <x v="6"/>
    <d v="2023-01-25T00:00:00"/>
    <d v="2023-01-26T00:00:00"/>
    <n v="6.1"/>
    <n v="38.31"/>
    <s v="Delivered"/>
    <n v="247"/>
    <n v="1"/>
    <x v="0"/>
    <n v="0.15510121457489878"/>
    <s v="fast"/>
  </r>
  <r>
    <x v="1960"/>
    <x v="0"/>
    <x v="9"/>
    <x v="3"/>
    <d v="2023-10-20T00:00:00"/>
    <d v="2023-10-25T00:00:00"/>
    <n v="12.9"/>
    <n v="245.79"/>
    <s v="Delivered"/>
    <n v="1734"/>
    <n v="5"/>
    <x v="0"/>
    <n v="0.14174740484429066"/>
    <s v="slow"/>
  </r>
  <r>
    <x v="1961"/>
    <x v="7"/>
    <x v="8"/>
    <x v="0"/>
    <d v="2023-10-01T00:00:00"/>
    <d v="2023-10-05T00:00:00"/>
    <n v="25.7"/>
    <n v="208.58"/>
    <s v="Delivered"/>
    <n v="1515"/>
    <n v="4"/>
    <x v="0"/>
    <n v="0.1376765676567657"/>
    <s v="fast"/>
  </r>
  <r>
    <x v="1962"/>
    <x v="1"/>
    <x v="10"/>
    <x v="0"/>
    <d v="2023-04-28T00:00:00"/>
    <d v="2023-05-07T00:00:00"/>
    <n v="10.9"/>
    <n v="66.58"/>
    <s v="Delayed"/>
    <n v="373"/>
    <n v="4"/>
    <x v="1"/>
    <n v="0.17849865951742627"/>
    <s v="not applicabel"/>
  </r>
  <r>
    <x v="1963"/>
    <x v="0"/>
    <x v="0"/>
    <x v="5"/>
    <d v="2023-11-21T00:00:00"/>
    <d v="2023-11-27T00:00:00"/>
    <n v="31.5"/>
    <n v="320.88"/>
    <s v="Delivered"/>
    <n v="1900"/>
    <n v="6"/>
    <x v="0"/>
    <n v="0.16888421052631578"/>
    <s v="slow"/>
  </r>
  <r>
    <x v="1964"/>
    <x v="6"/>
    <x v="13"/>
    <x v="0"/>
    <d v="2023-09-07T00:00:00"/>
    <d v="2023-09-15T00:00:00"/>
    <n v="36.700000000000003"/>
    <n v="314.18"/>
    <s v="Delivered"/>
    <n v="2317"/>
    <n v="8"/>
    <x v="0"/>
    <n v="0.13559775571860164"/>
    <s v="slow"/>
  </r>
  <r>
    <x v="1965"/>
    <x v="5"/>
    <x v="2"/>
    <x v="6"/>
    <d v="2023-01-03T00:00:00"/>
    <d v="2023-01-10T00:00:00"/>
    <n v="19.2"/>
    <n v="300.32"/>
    <s v="Delivered"/>
    <n v="2300"/>
    <n v="7"/>
    <x v="0"/>
    <n v="0.13057391304347826"/>
    <s v="slow"/>
  </r>
  <r>
    <x v="1966"/>
    <x v="6"/>
    <x v="4"/>
    <x v="0"/>
    <d v="2023-02-05T00:00:00"/>
    <d v="2023-02-11T00:00:00"/>
    <n v="53.9"/>
    <n v="377.64"/>
    <s v="Delivered"/>
    <n v="2226"/>
    <n v="6"/>
    <x v="0"/>
    <n v="0.16964959568733154"/>
    <s v="slow"/>
  </r>
  <r>
    <x v="1967"/>
    <x v="7"/>
    <x v="14"/>
    <x v="5"/>
    <d v="2023-03-16T00:00:00"/>
    <d v="2023-03-21T00:00:00"/>
    <n v="39.4"/>
    <n v="149.04"/>
    <s v="Delivered"/>
    <n v="826"/>
    <n v="5"/>
    <x v="0"/>
    <n v="0.18043583535108959"/>
    <s v="slow"/>
  </r>
  <r>
    <x v="1968"/>
    <x v="8"/>
    <x v="3"/>
    <x v="5"/>
    <d v="2023-01-27T00:00:00"/>
    <d v="2023-02-03T00:00:00"/>
    <n v="73.2"/>
    <n v="294.41000000000003"/>
    <s v="Delivered"/>
    <n v="1577"/>
    <n v="7"/>
    <x v="0"/>
    <n v="0.18668991756499684"/>
    <s v="slow"/>
  </r>
  <r>
    <x v="1969"/>
    <x v="1"/>
    <x v="4"/>
    <x v="4"/>
    <d v="2023-10-07T00:00:00"/>
    <d v="2023-10-10T00:00:00"/>
    <n v="8.3000000000000007"/>
    <n v="174.8"/>
    <s v="Delivered"/>
    <n v="1435"/>
    <n v="3"/>
    <x v="0"/>
    <n v="0.12181184668989548"/>
    <s v="fast"/>
  </r>
  <r>
    <x v="1970"/>
    <x v="3"/>
    <x v="4"/>
    <x v="2"/>
    <d v="2023-11-10T00:00:00"/>
    <d v="2023-11-13T00:00:00"/>
    <n v="20.399999999999999"/>
    <n v="149.88999999999999"/>
    <s v="Delivered"/>
    <n v="943"/>
    <n v="3"/>
    <x v="0"/>
    <n v="0.15895015906680804"/>
    <s v="fast"/>
  </r>
  <r>
    <x v="1971"/>
    <x v="6"/>
    <x v="8"/>
    <x v="5"/>
    <d v="2023-03-10T00:00:00"/>
    <d v="2023-03-14T00:00:00"/>
    <n v="9.5"/>
    <n v="217.11"/>
    <s v="Delivered"/>
    <n v="1843"/>
    <n v="4"/>
    <x v="0"/>
    <n v="0.11780249593054802"/>
    <s v="fast"/>
  </r>
  <r>
    <x v="1972"/>
    <x v="4"/>
    <x v="2"/>
    <x v="6"/>
    <d v="2023-06-29T00:00:00"/>
    <d v="2023-06-30T00:00:00"/>
    <n v="9.5"/>
    <n v="31.25"/>
    <s v="Delivered"/>
    <n v="209"/>
    <n v="1"/>
    <x v="0"/>
    <n v="0.14952153110047847"/>
    <s v="fast"/>
  </r>
  <r>
    <x v="1973"/>
    <x v="8"/>
    <x v="2"/>
    <x v="3"/>
    <d v="2023-05-23T00:00:00"/>
    <d v="2023-05-27T00:00:00"/>
    <n v="16.100000000000001"/>
    <n v="252.26"/>
    <s v="Delivered"/>
    <n v="1711"/>
    <n v="4"/>
    <x v="0"/>
    <n v="0.14743424897720631"/>
    <s v="fast"/>
  </r>
  <r>
    <x v="1974"/>
    <x v="1"/>
    <x v="2"/>
    <x v="1"/>
    <d v="2023-08-09T00:00:00"/>
    <d v="2023-08-13T00:00:00"/>
    <n v="14.4"/>
    <n v="125.69"/>
    <s v="Delivered"/>
    <n v="693"/>
    <n v="4"/>
    <x v="0"/>
    <n v="0.18137085137085138"/>
    <s v="fast"/>
  </r>
  <r>
    <x v="1975"/>
    <x v="4"/>
    <x v="2"/>
    <x v="5"/>
    <d v="2023-12-16T00:00:00"/>
    <d v="2023-12-18T00:00:00"/>
    <n v="18.7"/>
    <n v="166.44"/>
    <s v="Delivered"/>
    <n v="998"/>
    <n v="2"/>
    <x v="0"/>
    <n v="0.16677354709418837"/>
    <s v="fast"/>
  </r>
  <r>
    <x v="1976"/>
    <x v="1"/>
    <x v="4"/>
    <x v="4"/>
    <d v="2023-09-07T00:00:00"/>
    <d v="2023-09-11T00:00:00"/>
    <n v="27.8"/>
    <n v="198.3"/>
    <s v="Delivered"/>
    <n v="1435"/>
    <n v="4"/>
    <x v="0"/>
    <n v="0.13818815331010453"/>
    <s v="fast"/>
  </r>
  <r>
    <x v="1977"/>
    <x v="5"/>
    <x v="2"/>
    <x v="0"/>
    <d v="2023-05-10T00:00:00"/>
    <d v="2023-05-23T00:00:00"/>
    <n v="29.6"/>
    <n v="300.77"/>
    <s v="Delayed"/>
    <n v="2345"/>
    <n v="6"/>
    <x v="1"/>
    <n v="0.12826012793176972"/>
    <s v="not applicabel"/>
  </r>
  <r>
    <x v="1978"/>
    <x v="5"/>
    <x v="1"/>
    <x v="6"/>
    <d v="2023-04-24T00:00:00"/>
    <d v="2023-04-29T00:00:00"/>
    <n v="31.3"/>
    <n v="291.05"/>
    <s v="Delivered"/>
    <n v="2030"/>
    <n v="5"/>
    <x v="0"/>
    <n v="0.14337438423645321"/>
    <s v="slow"/>
  </r>
  <r>
    <x v="1979"/>
    <x v="3"/>
    <x v="6"/>
    <x v="3"/>
    <d v="2023-05-05T00:00:00"/>
    <d v="2023-05-10T00:00:00"/>
    <n v="54.6"/>
    <n v="307.89999999999998"/>
    <s v="Delivered"/>
    <n v="1675"/>
    <n v="5"/>
    <x v="0"/>
    <n v="0.18382089552238803"/>
    <s v="slow"/>
  </r>
  <r>
    <x v="1980"/>
    <x v="3"/>
    <x v="7"/>
    <x v="1"/>
    <d v="2023-03-03T00:00:00"/>
    <d v="2023-03-09T00:00:00"/>
    <n v="21.5"/>
    <n v="264.67"/>
    <s v="Delivered"/>
    <n v="1813"/>
    <n v="6"/>
    <x v="0"/>
    <n v="0.14598455598455598"/>
    <s v="slow"/>
  </r>
  <r>
    <x v="1981"/>
    <x v="3"/>
    <x v="5"/>
    <x v="0"/>
    <d v="2023-02-19T00:00:00"/>
    <d v="2023-02-21T00:00:00"/>
    <n v="20.100000000000001"/>
    <n v="100.6"/>
    <s v="Delivered"/>
    <n v="596"/>
    <n v="2"/>
    <x v="0"/>
    <n v="0.16879194630872482"/>
    <s v="fast"/>
  </r>
  <r>
    <x v="1982"/>
    <x v="9"/>
    <x v="12"/>
    <x v="2"/>
    <d v="2023-03-11T00:00:00"/>
    <d v="2023-03-19T00:00:00"/>
    <n v="33.9"/>
    <n v="172.51"/>
    <s v="Delivered"/>
    <n v="1174"/>
    <n v="8"/>
    <x v="0"/>
    <n v="0.14694207836456558"/>
    <s v="slow"/>
  </r>
  <r>
    <x v="1983"/>
    <x v="7"/>
    <x v="1"/>
    <x v="4"/>
    <d v="2023-05-16T00:00:00"/>
    <d v="2023-05-17T00:00:00"/>
    <n v="36.5"/>
    <n v="58.02"/>
    <s v="Delivered"/>
    <n v="145"/>
    <n v="1"/>
    <x v="0"/>
    <n v="0.40013793103448281"/>
    <s v="fast"/>
  </r>
  <r>
    <x v="1984"/>
    <x v="1"/>
    <x v="14"/>
    <x v="0"/>
    <d v="2023-10-29T00:00:00"/>
    <d v="2023-10-30T00:00:00"/>
    <n v="33"/>
    <n v="58.45"/>
    <s v="Delivered"/>
    <n v="111"/>
    <n v="1"/>
    <x v="0"/>
    <n v="0.52657657657657664"/>
    <s v="fast"/>
  </r>
  <r>
    <x v="1985"/>
    <x v="8"/>
    <x v="5"/>
    <x v="1"/>
    <d v="2023-09-28T00:00:00"/>
    <d v="2023-10-03T00:00:00"/>
    <n v="40"/>
    <n v="308.58999999999997"/>
    <s v="Delivered"/>
    <n v="2018"/>
    <n v="5"/>
    <x v="0"/>
    <n v="0.1529187314172448"/>
    <s v="slow"/>
  </r>
  <r>
    <x v="1986"/>
    <x v="0"/>
    <x v="7"/>
    <x v="2"/>
    <d v="2023-10-12T00:00:00"/>
    <d v="2023-10-17T00:00:00"/>
    <n v="4.8"/>
    <n v="31.95"/>
    <s v="Delayed"/>
    <n v="236"/>
    <n v="3"/>
    <x v="1"/>
    <n v="0.13538135593220338"/>
    <s v="not applicabel"/>
  </r>
  <r>
    <x v="1987"/>
    <x v="6"/>
    <x v="11"/>
    <x v="5"/>
    <d v="2023-08-01T00:00:00"/>
    <d v="2023-08-04T00:00:00"/>
    <n v="6.5"/>
    <n v="115.78"/>
    <s v="Delivered"/>
    <n v="948"/>
    <n v="3"/>
    <x v="0"/>
    <n v="0.12213080168776372"/>
    <s v="fast"/>
  </r>
  <r>
    <x v="1988"/>
    <x v="1"/>
    <x v="1"/>
    <x v="4"/>
    <d v="2023-01-18T00:00:00"/>
    <d v="2023-01-26T00:00:00"/>
    <n v="78.2"/>
    <n v="392"/>
    <s v="Delivered"/>
    <n v="2309"/>
    <n v="8"/>
    <x v="0"/>
    <n v="0.16977046340407104"/>
    <s v="slow"/>
  </r>
  <r>
    <x v="1989"/>
    <x v="5"/>
    <x v="11"/>
    <x v="3"/>
    <d v="2023-12-07T00:00:00"/>
    <d v="2023-12-12T00:00:00"/>
    <n v="29.1"/>
    <n v="240.47"/>
    <s v="Delivered"/>
    <n v="1350"/>
    <n v="5"/>
    <x v="0"/>
    <n v="0.17812592592592594"/>
    <s v="slow"/>
  </r>
  <r>
    <x v="1990"/>
    <x v="6"/>
    <x v="8"/>
    <x v="2"/>
    <d v="2023-02-13T00:00:00"/>
    <d v="2023-02-18T00:00:00"/>
    <n v="38.799999999999997"/>
    <n v="248.5"/>
    <s v="Delivered"/>
    <n v="1877"/>
    <n v="5"/>
    <x v="0"/>
    <n v="0.13239211507725093"/>
    <s v="slow"/>
  </r>
  <r>
    <x v="1991"/>
    <x v="7"/>
    <x v="3"/>
    <x v="1"/>
    <d v="2023-06-27T00:00:00"/>
    <d v="2023-07-03T00:00:00"/>
    <n v="17.7"/>
    <n v="368.38"/>
    <s v="Delivered"/>
    <n v="2300"/>
    <n v="6"/>
    <x v="0"/>
    <n v="0.16016521739130435"/>
    <s v="slow"/>
  </r>
  <r>
    <x v="1992"/>
    <x v="4"/>
    <x v="6"/>
    <x v="2"/>
    <d v="2023-10-04T00:00:00"/>
    <d v="2023-10-05T00:00:00"/>
    <n v="43.2"/>
    <n v="73.03"/>
    <s v="Delivered"/>
    <n v="177"/>
    <n v="1"/>
    <x v="0"/>
    <n v="0.4125988700564972"/>
    <s v="fast"/>
  </r>
  <r>
    <x v="1993"/>
    <x v="5"/>
    <x v="9"/>
    <x v="1"/>
    <d v="2023-06-09T00:00:00"/>
    <d v="2023-06-15T00:00:00"/>
    <n v="10.3"/>
    <n v="355.32"/>
    <s v="Delivered"/>
    <n v="2350"/>
    <n v="6"/>
    <x v="0"/>
    <n v="0.1512"/>
    <s v="slow"/>
  </r>
  <r>
    <x v="1994"/>
    <x v="3"/>
    <x v="3"/>
    <x v="4"/>
    <d v="2023-11-10T00:00:00"/>
    <d v="2023-11-12T00:00:00"/>
    <n v="59.7"/>
    <n v="130"/>
    <s v="Delivered"/>
    <n v="237"/>
    <n v="2"/>
    <x v="0"/>
    <n v="0.54852320675105481"/>
    <s v="fast"/>
  </r>
  <r>
    <x v="1995"/>
    <x v="2"/>
    <x v="0"/>
    <x v="3"/>
    <d v="2023-01-18T00:00:00"/>
    <d v="2023-01-23T00:00:00"/>
    <n v="7.9"/>
    <n v="217.78"/>
    <s v="Delivered"/>
    <n v="1616"/>
    <n v="5"/>
    <x v="0"/>
    <n v="0.13476485148514852"/>
    <s v="slow"/>
  </r>
  <r>
    <x v="1996"/>
    <x v="6"/>
    <x v="10"/>
    <x v="0"/>
    <d v="2023-10-27T00:00:00"/>
    <d v="2023-11-01T00:00:00"/>
    <n v="36.5"/>
    <n v="279.47000000000003"/>
    <s v="Delivered"/>
    <n v="1708"/>
    <n v="5"/>
    <x v="0"/>
    <n v="0.16362412177985949"/>
    <s v="slow"/>
  </r>
  <r>
    <x v="1997"/>
    <x v="6"/>
    <x v="6"/>
    <x v="5"/>
    <d v="2023-02-13T00:00:00"/>
    <d v="2023-02-19T00:00:00"/>
    <n v="11.4"/>
    <n v="250.32"/>
    <s v="Delivered"/>
    <n v="1912"/>
    <n v="6"/>
    <x v="0"/>
    <n v="0.13092050209205019"/>
    <s v="slow"/>
  </r>
  <r>
    <x v="1998"/>
    <x v="7"/>
    <x v="7"/>
    <x v="6"/>
    <d v="2023-10-17T00:00:00"/>
    <d v="2023-10-22T00:00:00"/>
    <n v="10.9"/>
    <n v="272.31"/>
    <s v="Delivered"/>
    <n v="2188"/>
    <n v="5"/>
    <x v="0"/>
    <n v="0.12445612431444242"/>
    <s v="slow"/>
  </r>
  <r>
    <x v="1999"/>
    <x v="0"/>
    <x v="6"/>
    <x v="2"/>
    <d v="2023-07-08T00:00:00"/>
    <m/>
    <n v="49.5"/>
    <n v="360.74"/>
    <s v="Delivered"/>
    <n v="2321"/>
    <n v="7"/>
    <x v="4"/>
    <n v="0.1554243860404998"/>
    <s v="not applicab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CD06D-354F-4630-A8D2-A3503B13766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showAll="0">
      <items count="11">
        <item x="4"/>
        <item x="2"/>
        <item x="5"/>
        <item x="9"/>
        <item x="6"/>
        <item x="1"/>
        <item x="0"/>
        <item x="8"/>
        <item x="7"/>
        <item x="3"/>
        <item t="default"/>
      </items>
    </pivotField>
    <pivotField showAll="0"/>
    <pivotField axis="axisRow" showAll="0" avgSubtotal="1">
      <items count="8">
        <item x="4"/>
        <item x="1"/>
        <item x="3"/>
        <item x="5"/>
        <item x="2"/>
        <item x="0"/>
        <item x="6"/>
        <item t="avg"/>
      </items>
    </pivotField>
    <pivotField numFmtId="14" showAll="0"/>
    <pivotField showAll="0"/>
    <pivotField showAll="0"/>
    <pivotField showAll="0"/>
    <pivotField showAll="0"/>
    <pivotField showAll="0"/>
    <pivotField dataField="1" showAll="0"/>
    <pivotField showAll="0"/>
    <pivotField numFmtId="2" showAll="0"/>
    <pivotField showAll="0"/>
  </pivotFields>
  <rowFields count="1">
    <field x="3"/>
  </rowFields>
  <rowItems count="8">
    <i>
      <x/>
    </i>
    <i>
      <x v="1"/>
    </i>
    <i>
      <x v="2"/>
    </i>
    <i>
      <x v="3"/>
    </i>
    <i>
      <x v="4"/>
    </i>
    <i>
      <x v="5"/>
    </i>
    <i>
      <x v="6"/>
    </i>
    <i t="grand">
      <x/>
    </i>
  </rowItems>
  <colItems count="1">
    <i/>
  </colItems>
  <dataFields count="1">
    <dataField name="Average of Transit_Days" fld="10" subtotal="average" baseField="3" baseItem="0"/>
  </dataFields>
  <formats count="1">
    <format dxfId="0">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C433F-9F68-4F48-AF48-B132707D6EF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dataField="1" showAll="0"/>
    <pivotField showAll="0"/>
    <pivotField showAll="0"/>
    <pivotField showAll="0"/>
    <pivotField numFmtId="14" showAll="0"/>
    <pivotField showAll="0"/>
    <pivotField showAll="0"/>
    <pivotField showAll="0"/>
    <pivotField showAll="0"/>
    <pivotField showAll="0"/>
    <pivotField showAll="0"/>
    <pivotField axis="axisRow" showAll="0">
      <items count="6">
        <item x="1"/>
        <item x="0"/>
        <item x="4"/>
        <item x="2"/>
        <item x="3"/>
        <item t="default"/>
      </items>
    </pivotField>
    <pivotField numFmtId="2" showAll="0"/>
    <pivotField showAll="0"/>
  </pivotFields>
  <rowFields count="1">
    <field x="11"/>
  </rowFields>
  <rowItems count="6">
    <i>
      <x/>
    </i>
    <i>
      <x v="1"/>
    </i>
    <i>
      <x v="2"/>
    </i>
    <i>
      <x v="3"/>
    </i>
    <i>
      <x v="4"/>
    </i>
    <i t="grand">
      <x/>
    </i>
  </rowItems>
  <colItems count="1">
    <i/>
  </colItems>
  <dataFields count="1">
    <dataField name="Count of Ship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4DCF3A-91BC-4FEB-97EA-1CCEA82B816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dataField="1" showAll="0"/>
    <pivotField showAll="0"/>
    <pivotField showAll="0"/>
    <pivotField axis="axisRow" showAll="0">
      <items count="8">
        <item x="4"/>
        <item x="1"/>
        <item x="3"/>
        <item x="5"/>
        <item x="2"/>
        <item x="0"/>
        <item x="6"/>
        <item t="default"/>
      </items>
    </pivotField>
    <pivotField numFmtId="14" showAll="0"/>
    <pivotField showAll="0"/>
    <pivotField showAll="0"/>
    <pivotField showAll="0"/>
    <pivotField showAll="0"/>
    <pivotField showAll="0"/>
    <pivotField showAll="0"/>
    <pivotField showAll="0"/>
    <pivotField numFmtId="2" showAll="0"/>
    <pivotField showAll="0"/>
  </pivotFields>
  <rowFields count="1">
    <field x="3"/>
  </rowFields>
  <rowItems count="8">
    <i>
      <x/>
    </i>
    <i>
      <x v="1"/>
    </i>
    <i>
      <x v="2"/>
    </i>
    <i>
      <x v="3"/>
    </i>
    <i>
      <x v="4"/>
    </i>
    <i>
      <x v="5"/>
    </i>
    <i>
      <x v="6"/>
    </i>
    <i t="grand">
      <x/>
    </i>
  </rowItems>
  <colItems count="1">
    <i/>
  </colItems>
  <dataFields count="1">
    <dataField name="Count of Ship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EC285-269D-4F35-996B-027182F9E19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items count="16">
        <item x="1"/>
        <item x="9"/>
        <item x="8"/>
        <item x="4"/>
        <item x="14"/>
        <item x="7"/>
        <item x="2"/>
        <item x="13"/>
        <item x="11"/>
        <item x="12"/>
        <item x="5"/>
        <item x="10"/>
        <item x="6"/>
        <item x="0"/>
        <item x="3"/>
        <item t="default"/>
      </items>
    </pivotField>
    <pivotField showAll="0"/>
    <pivotField numFmtId="14" showAll="0"/>
    <pivotField showAll="0"/>
    <pivotField showAll="0"/>
    <pivotField dataField="1" showAll="0"/>
    <pivotField showAll="0"/>
    <pivotField showAll="0"/>
    <pivotField showAll="0"/>
    <pivotField showAll="0"/>
    <pivotField numFmtId="2"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C87CB750-8F5B-454E-82F7-BDB754DD4F70}" sourceName="Carrier">
  <pivotTables>
    <pivotTable tabId="6" name="PivotTable4"/>
  </pivotTables>
  <data>
    <tabular pivotCacheId="1095332619">
      <items count="7">
        <i x="4" s="1"/>
        <i x="1" s="1"/>
        <i x="3" s="1"/>
        <i x="5"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17E21D7B-53BC-4147-961A-72C8DD908682}" cache="Slicer_Carrier" caption="Carr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D869BD-6260-45C4-9674-EC66F04A2B57}" name="logistics_data" displayName="logistics_data" ref="A1:N2001" totalsRowShown="0">
  <autoFilter ref="A1:N2001" xr:uid="{06D869BD-6260-45C4-9674-EC66F04A2B57}"/>
  <tableColumns count="14">
    <tableColumn id="1" xr3:uid="{B3CDCE64-CAC6-4ED0-9FE9-FAEDB406F76F}" name="Shipment_ID"/>
    <tableColumn id="2" xr3:uid="{9B95F228-18B5-4D61-88E2-B33296C23ED6}" name="Origin_Warehouse"/>
    <tableColumn id="3" xr3:uid="{1C66114C-B1E0-487F-9D56-0B3BB1AADBF2}" name="Destination"/>
    <tableColumn id="4" xr3:uid="{B8ED4CC3-3B47-4060-98E1-8A260DAE8793}" name="Carrier"/>
    <tableColumn id="5" xr3:uid="{D9EF74C6-510A-4206-AFFB-45AA687ED255}" name="Shipment_Date" dataDxfId="5"/>
    <tableColumn id="6" xr3:uid="{AAEB64D7-021E-4209-AD48-864034776C93}" name="Delivery_Date" dataDxfId="4"/>
    <tableColumn id="7" xr3:uid="{EC46C473-CB1A-453E-B199-418E4CFF563D}" name="Weight_kg"/>
    <tableColumn id="8" xr3:uid="{A4FA7D10-A2A6-4821-A0D4-4F6142E168B5}" name="Cost"/>
    <tableColumn id="9" xr3:uid="{F8C45F41-AAEA-4D5A-8D1C-7D860E9961E1}" name="Status"/>
    <tableColumn id="10" xr3:uid="{807588A7-3364-4037-9B3E-993B49FCC811}" name="Distance_miles"/>
    <tableColumn id="11" xr3:uid="{FF761A50-68BB-46CF-8258-32EB072245C6}" name="Transit_Days"/>
    <tableColumn id="13" xr3:uid="{0DBDA0D8-C4E4-4555-AB6B-472A1AC90ABC}" name="Orginal staus of shipment" dataDxfId="3">
      <calculatedColumnFormula>IF(logistics_data[[#This Row],[Delivery_Date]]="","In Transit",
 IF(logistics_data[[#This Row],[Status]]="Lost","Lost",
 IF(logistics_data[[#This Row],[Status]]="Returned","Returned",
 IF(logistics_data[[#This Row],[Status]]="Delayed","Delayed",
 "Delivered"))))</calculatedColumnFormula>
    </tableColumn>
    <tableColumn id="14" xr3:uid="{83E703F2-8644-405E-A4EA-CF783F43D98D}" name="cost per mile" dataDxfId="2">
      <calculatedColumnFormula>logistics_data[[#This Row],[Cost]]/logistics_data[[#This Row],[Distance_miles]]</calculatedColumnFormula>
    </tableColumn>
    <tableColumn id="15" xr3:uid="{BD457A66-52AC-4E77-861A-99B0E8BE6B49}" name="delivery effciency" dataDxfId="1">
      <calculatedColumnFormula>IF(logistics_data[[#This Row],[Orginal staus of shipment]]&lt;&gt;"Delivered","not applicabel", IF(logistics_data[[#This Row],[Transit_Days]]&gt;=5,"slow","fast"))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45F7-6013-4F2A-BFB2-F7556420218A}">
  <dimension ref="A1:N2001"/>
  <sheetViews>
    <sheetView zoomScale="74" workbookViewId="0">
      <selection activeCell="B7" sqref="B7"/>
    </sheetView>
  </sheetViews>
  <sheetFormatPr defaultRowHeight="14.4" x14ac:dyDescent="0.3"/>
  <cols>
    <col min="1" max="1" width="13.77734375" customWidth="1"/>
    <col min="2" max="2" width="18.44140625" customWidth="1"/>
    <col min="3" max="3" width="14.33203125" bestFit="1" customWidth="1"/>
    <col min="4" max="4" width="15" bestFit="1" customWidth="1"/>
    <col min="5" max="5" width="18" bestFit="1" customWidth="1"/>
    <col min="6" max="6" width="16.44140625" bestFit="1" customWidth="1"/>
    <col min="7" max="7" width="13.6640625" bestFit="1" customWidth="1"/>
    <col min="8" max="8" width="8.33203125" bestFit="1" customWidth="1"/>
    <col min="9" max="9" width="9.6640625" bestFit="1" customWidth="1"/>
    <col min="10" max="10" width="17.33203125" bestFit="1" customWidth="1"/>
    <col min="11" max="11" width="15.5546875" bestFit="1" customWidth="1"/>
    <col min="12" max="12" width="24.88671875" bestFit="1" customWidth="1"/>
    <col min="13" max="13" width="14.6640625" bestFit="1" customWidth="1"/>
    <col min="14" max="14" width="18.109375" bestFit="1" customWidth="1"/>
  </cols>
  <sheetData>
    <row r="1" spans="1:14" x14ac:dyDescent="0.3">
      <c r="A1" t="s">
        <v>0</v>
      </c>
      <c r="B1" t="s">
        <v>1</v>
      </c>
      <c r="C1" t="s">
        <v>2</v>
      </c>
      <c r="D1" t="s">
        <v>3</v>
      </c>
      <c r="E1" t="s">
        <v>4</v>
      </c>
      <c r="F1" t="s">
        <v>5</v>
      </c>
      <c r="G1" t="s">
        <v>6</v>
      </c>
      <c r="H1" t="s">
        <v>7</v>
      </c>
      <c r="I1" t="s">
        <v>8</v>
      </c>
      <c r="J1" t="s">
        <v>9</v>
      </c>
      <c r="K1" t="s">
        <v>10</v>
      </c>
      <c r="L1" t="s">
        <v>2048</v>
      </c>
      <c r="M1" t="s">
        <v>2049</v>
      </c>
      <c r="N1" t="s">
        <v>2050</v>
      </c>
    </row>
    <row r="2" spans="1:14" x14ac:dyDescent="0.3">
      <c r="A2" t="s">
        <v>11</v>
      </c>
      <c r="B2" t="s">
        <v>12</v>
      </c>
      <c r="C2" t="s">
        <v>13</v>
      </c>
      <c r="D2" t="s">
        <v>14</v>
      </c>
      <c r="E2" s="1">
        <v>45201</v>
      </c>
      <c r="F2" s="1">
        <v>45203</v>
      </c>
      <c r="G2">
        <v>25.7</v>
      </c>
      <c r="H2">
        <v>67.459999999999994</v>
      </c>
      <c r="I2" t="s">
        <v>15</v>
      </c>
      <c r="J2">
        <v>291</v>
      </c>
      <c r="K2">
        <v>2</v>
      </c>
      <c r="L2" t="str">
        <f>IF(logistics_data[[#This Row],[Delivery_Date]]="","In Transit",
 IF(logistics_data[[#This Row],[Status]]="Lost","Lost",
 IF(logistics_data[[#This Row],[Status]]="Returned","Returned",
 IF(logistics_data[[#This Row],[Status]]="Delayed","Delayed",
 "Delivered"))))</f>
        <v>Delivered</v>
      </c>
      <c r="M2" s="2">
        <f>logistics_data[[#This Row],[Cost]]/logistics_data[[#This Row],[Distance_miles]]</f>
        <v>0.23182130584192437</v>
      </c>
      <c r="N2" t="str">
        <f>IF(logistics_data[[#This Row],[Orginal staus of shipment]]&lt;&gt;"Delivered","not applicabel", IF(logistics_data[[#This Row],[Transit_Days]]&gt;=5,"slow","fast"))</f>
        <v>fast</v>
      </c>
    </row>
    <row r="3" spans="1:14" x14ac:dyDescent="0.3">
      <c r="A3" t="s">
        <v>16</v>
      </c>
      <c r="B3" t="s">
        <v>12</v>
      </c>
      <c r="C3" t="s">
        <v>17</v>
      </c>
      <c r="D3" t="s">
        <v>18</v>
      </c>
      <c r="E3" s="1">
        <v>45266</v>
      </c>
      <c r="F3" s="1">
        <v>45269</v>
      </c>
      <c r="G3">
        <v>38.9</v>
      </c>
      <c r="H3">
        <v>268.85000000000002</v>
      </c>
      <c r="I3" t="s">
        <v>15</v>
      </c>
      <c r="J3">
        <v>1225</v>
      </c>
      <c r="K3">
        <v>3</v>
      </c>
      <c r="L3" t="str">
        <f>IF(logistics_data[[#This Row],[Delivery_Date]]="","In Transit",
 IF(logistics_data[[#This Row],[Status]]="Lost","Lost",
 IF(logistics_data[[#This Row],[Status]]="Returned","Returned",
 IF(logistics_data[[#This Row],[Status]]="Delayed","Delayed",
 "Delivered"))))</f>
        <v>Delivered</v>
      </c>
      <c r="M3" s="2">
        <f>logistics_data[[#This Row],[Cost]]/logistics_data[[#This Row],[Distance_miles]]</f>
        <v>0.21946938775510205</v>
      </c>
      <c r="N3" t="str">
        <f>IF(logistics_data[[#This Row],[Orginal staus of shipment]]&lt;&gt;"Delivered","not applicabel", IF(logistics_data[[#This Row],[Transit_Days]]&gt;=5,"slow","fast"))</f>
        <v>fast</v>
      </c>
    </row>
    <row r="4" spans="1:14" x14ac:dyDescent="0.3">
      <c r="A4" t="s">
        <v>19</v>
      </c>
      <c r="B4" t="s">
        <v>20</v>
      </c>
      <c r="C4" t="s">
        <v>21</v>
      </c>
      <c r="D4" t="s">
        <v>18</v>
      </c>
      <c r="E4" s="1">
        <v>45187</v>
      </c>
      <c r="F4" s="1">
        <v>45189</v>
      </c>
      <c r="G4">
        <v>37.200000000000003</v>
      </c>
      <c r="H4">
        <v>74.349999999999994</v>
      </c>
      <c r="I4" t="s">
        <v>15</v>
      </c>
      <c r="J4">
        <v>220</v>
      </c>
      <c r="K4">
        <v>2</v>
      </c>
      <c r="L4" t="str">
        <f>IF(logistics_data[[#This Row],[Delivery_Date]]="","In Transit",
 IF(logistics_data[[#This Row],[Status]]="Lost","Lost",
 IF(logistics_data[[#This Row],[Status]]="Returned","Returned",
 IF(logistics_data[[#This Row],[Status]]="Delayed","Delayed",
 "Delivered"))))</f>
        <v>Delivered</v>
      </c>
      <c r="M4" s="2">
        <f>logistics_data[[#This Row],[Cost]]/logistics_data[[#This Row],[Distance_miles]]</f>
        <v>0.33795454545454545</v>
      </c>
      <c r="N4" t="str">
        <f>IF(logistics_data[[#This Row],[Orginal staus of shipment]]&lt;&gt;"Delivered","not applicabel", IF(logistics_data[[#This Row],[Transit_Days]]&gt;=5,"slow","fast"))</f>
        <v>fast</v>
      </c>
    </row>
    <row r="5" spans="1:14" x14ac:dyDescent="0.3">
      <c r="A5" t="s">
        <v>22</v>
      </c>
      <c r="B5" t="s">
        <v>23</v>
      </c>
      <c r="C5" t="s">
        <v>24</v>
      </c>
      <c r="D5" t="s">
        <v>25</v>
      </c>
      <c r="E5" s="1">
        <v>44952</v>
      </c>
      <c r="F5" s="1">
        <v>44961</v>
      </c>
      <c r="G5">
        <v>42.6</v>
      </c>
      <c r="H5">
        <v>187.04</v>
      </c>
      <c r="I5" t="s">
        <v>15</v>
      </c>
      <c r="J5">
        <v>1156</v>
      </c>
      <c r="K5">
        <v>9</v>
      </c>
      <c r="L5" t="str">
        <f>IF(logistics_data[[#This Row],[Delivery_Date]]="","In Transit",
 IF(logistics_data[[#This Row],[Status]]="Lost","Lost",
 IF(logistics_data[[#This Row],[Status]]="Returned","Returned",
 IF(logistics_data[[#This Row],[Status]]="Delayed","Delayed",
 "Delivered"))))</f>
        <v>Delivered</v>
      </c>
      <c r="M5" s="2">
        <f>logistics_data[[#This Row],[Cost]]/logistics_data[[#This Row],[Distance_miles]]</f>
        <v>0.1617993079584775</v>
      </c>
      <c r="N5" t="str">
        <f>IF(logistics_data[[#This Row],[Orginal staus of shipment]]&lt;&gt;"Delivered","not applicabel", IF(logistics_data[[#This Row],[Transit_Days]]&gt;=5,"slow","fast"))</f>
        <v>slow</v>
      </c>
    </row>
    <row r="6" spans="1:14" x14ac:dyDescent="0.3">
      <c r="A6" t="s">
        <v>26</v>
      </c>
      <c r="B6" t="s">
        <v>27</v>
      </c>
      <c r="C6" t="s">
        <v>28</v>
      </c>
      <c r="D6" t="s">
        <v>25</v>
      </c>
      <c r="E6" s="1">
        <v>45080</v>
      </c>
      <c r="F6" s="1">
        <v>45083</v>
      </c>
      <c r="G6">
        <v>7.9</v>
      </c>
      <c r="H6">
        <v>120.01</v>
      </c>
      <c r="I6" t="s">
        <v>15</v>
      </c>
      <c r="J6">
        <v>1017</v>
      </c>
      <c r="K6">
        <v>3</v>
      </c>
      <c r="L6" t="str">
        <f>IF(logistics_data[[#This Row],[Delivery_Date]]="","In Transit",
 IF(logistics_data[[#This Row],[Status]]="Lost","Lost",
 IF(logistics_data[[#This Row],[Status]]="Returned","Returned",
 IF(logistics_data[[#This Row],[Status]]="Delayed","Delayed",
 "Delivered"))))</f>
        <v>Delivered</v>
      </c>
      <c r="M6" s="2">
        <f>logistics_data[[#This Row],[Cost]]/logistics_data[[#This Row],[Distance_miles]]</f>
        <v>0.11800393313667651</v>
      </c>
      <c r="N6" t="str">
        <f>IF(logistics_data[[#This Row],[Orginal staus of shipment]]&lt;&gt;"Delivered","not applicabel", IF(logistics_data[[#This Row],[Transit_Days]]&gt;=5,"slow","fast"))</f>
        <v>fast</v>
      </c>
    </row>
    <row r="7" spans="1:14" x14ac:dyDescent="0.3">
      <c r="A7" t="s">
        <v>29</v>
      </c>
      <c r="B7" t="s">
        <v>30</v>
      </c>
      <c r="C7" t="s">
        <v>31</v>
      </c>
      <c r="D7" t="s">
        <v>32</v>
      </c>
      <c r="E7" s="1">
        <v>45182</v>
      </c>
      <c r="F7" s="1">
        <v>45185</v>
      </c>
      <c r="G7">
        <v>9.1</v>
      </c>
      <c r="H7">
        <v>143.26</v>
      </c>
      <c r="I7" t="s">
        <v>15</v>
      </c>
      <c r="J7">
        <v>898</v>
      </c>
      <c r="K7">
        <v>3</v>
      </c>
      <c r="L7" t="str">
        <f>IF(logistics_data[[#This Row],[Delivery_Date]]="","In Transit",
 IF(logistics_data[[#This Row],[Status]]="Lost","Lost",
 IF(logistics_data[[#This Row],[Status]]="Returned","Returned",
 IF(logistics_data[[#This Row],[Status]]="Delayed","Delayed",
 "Delivered"))))</f>
        <v>Delivered</v>
      </c>
      <c r="M7" s="2">
        <f>logistics_data[[#This Row],[Cost]]/logistics_data[[#This Row],[Distance_miles]]</f>
        <v>0.15953229398663696</v>
      </c>
      <c r="N7" t="str">
        <f>IF(logistics_data[[#This Row],[Orginal staus of shipment]]&lt;&gt;"Delivered","not applicabel", IF(logistics_data[[#This Row],[Transit_Days]]&gt;=5,"slow","fast"))</f>
        <v>fast</v>
      </c>
    </row>
    <row r="8" spans="1:14" x14ac:dyDescent="0.3">
      <c r="A8" t="s">
        <v>33</v>
      </c>
      <c r="B8" t="s">
        <v>23</v>
      </c>
      <c r="C8" t="s">
        <v>21</v>
      </c>
      <c r="D8" t="s">
        <v>14</v>
      </c>
      <c r="E8" s="1">
        <v>45218</v>
      </c>
      <c r="F8" s="1">
        <v>45222</v>
      </c>
      <c r="G8">
        <v>0.4</v>
      </c>
      <c r="H8">
        <v>225.23</v>
      </c>
      <c r="I8" t="s">
        <v>15</v>
      </c>
      <c r="J8">
        <v>1522</v>
      </c>
      <c r="K8">
        <v>4</v>
      </c>
      <c r="L8" t="str">
        <f>IF(logistics_data[[#This Row],[Delivery_Date]]="","In Transit",
 IF(logistics_data[[#This Row],[Status]]="Lost","Lost",
 IF(logistics_data[[#This Row],[Status]]="Returned","Returned",
 IF(logistics_data[[#This Row],[Status]]="Delayed","Delayed",
 "Delivered"))))</f>
        <v>Delivered</v>
      </c>
      <c r="M8" s="2">
        <f>logistics_data[[#This Row],[Cost]]/logistics_data[[#This Row],[Distance_miles]]</f>
        <v>0.14798291721419185</v>
      </c>
      <c r="N8" t="str">
        <f>IF(logistics_data[[#This Row],[Orginal staus of shipment]]&lt;&gt;"Delivered","not applicabel", IF(logistics_data[[#This Row],[Transit_Days]]&gt;=5,"slow","fast"))</f>
        <v>fast</v>
      </c>
    </row>
    <row r="9" spans="1:14" x14ac:dyDescent="0.3">
      <c r="A9" t="s">
        <v>34</v>
      </c>
      <c r="B9" t="s">
        <v>35</v>
      </c>
      <c r="C9" t="s">
        <v>36</v>
      </c>
      <c r="D9" t="s">
        <v>37</v>
      </c>
      <c r="E9" s="1">
        <v>44984</v>
      </c>
      <c r="F9" s="1">
        <v>44993</v>
      </c>
      <c r="G9">
        <v>16.7</v>
      </c>
      <c r="H9">
        <v>281.23</v>
      </c>
      <c r="I9" t="s">
        <v>15</v>
      </c>
      <c r="J9">
        <v>2013</v>
      </c>
      <c r="K9">
        <v>9</v>
      </c>
      <c r="L9" t="str">
        <f>IF(logistics_data[[#This Row],[Delivery_Date]]="","In Transit",
 IF(logistics_data[[#This Row],[Status]]="Lost","Lost",
 IF(logistics_data[[#This Row],[Status]]="Returned","Returned",
 IF(logistics_data[[#This Row],[Status]]="Delayed","Delayed",
 "Delivered"))))</f>
        <v>Delivered</v>
      </c>
      <c r="M9" s="2">
        <f>logistics_data[[#This Row],[Cost]]/logistics_data[[#This Row],[Distance_miles]]</f>
        <v>0.13970690511674119</v>
      </c>
      <c r="N9" t="str">
        <f>IF(logistics_data[[#This Row],[Orginal staus of shipment]]&lt;&gt;"Delivered","not applicabel", IF(logistics_data[[#This Row],[Transit_Days]]&gt;=5,"slow","fast"))</f>
        <v>slow</v>
      </c>
    </row>
    <row r="10" spans="1:14" x14ac:dyDescent="0.3">
      <c r="A10" t="s">
        <v>38</v>
      </c>
      <c r="B10" t="s">
        <v>39</v>
      </c>
      <c r="C10" t="s">
        <v>40</v>
      </c>
      <c r="D10" t="s">
        <v>37</v>
      </c>
      <c r="E10" s="1">
        <v>45254</v>
      </c>
      <c r="F10" s="1">
        <v>45261</v>
      </c>
      <c r="G10">
        <v>15.1</v>
      </c>
      <c r="H10">
        <v>341.93</v>
      </c>
      <c r="I10" t="s">
        <v>15</v>
      </c>
      <c r="J10">
        <v>2072</v>
      </c>
      <c r="K10">
        <v>7</v>
      </c>
      <c r="L10" t="str">
        <f>IF(logistics_data[[#This Row],[Delivery_Date]]="","In Transit",
 IF(logistics_data[[#This Row],[Status]]="Lost","Lost",
 IF(logistics_data[[#This Row],[Status]]="Returned","Returned",
 IF(logistics_data[[#This Row],[Status]]="Delayed","Delayed",
 "Delivered"))))</f>
        <v>Delivered</v>
      </c>
      <c r="M10" s="2">
        <f>logistics_data[[#This Row],[Cost]]/logistics_data[[#This Row],[Distance_miles]]</f>
        <v>0.16502413127413126</v>
      </c>
      <c r="N10" t="str">
        <f>IF(logistics_data[[#This Row],[Orginal staus of shipment]]&lt;&gt;"Delivered","not applicabel", IF(logistics_data[[#This Row],[Transit_Days]]&gt;=5,"slow","fast"))</f>
        <v>slow</v>
      </c>
    </row>
    <row r="11" spans="1:14" x14ac:dyDescent="0.3">
      <c r="A11" t="s">
        <v>41</v>
      </c>
      <c r="B11" t="s">
        <v>27</v>
      </c>
      <c r="C11" t="s">
        <v>40</v>
      </c>
      <c r="D11" t="s">
        <v>42</v>
      </c>
      <c r="E11" s="1">
        <v>44945</v>
      </c>
      <c r="F11" s="1">
        <v>44947</v>
      </c>
      <c r="G11">
        <v>27.7</v>
      </c>
      <c r="H11">
        <v>55.24</v>
      </c>
      <c r="I11" t="s">
        <v>15</v>
      </c>
      <c r="J11">
        <v>214</v>
      </c>
      <c r="K11">
        <v>2</v>
      </c>
      <c r="L11" t="str">
        <f>IF(logistics_data[[#This Row],[Delivery_Date]]="","In Transit",
 IF(logistics_data[[#This Row],[Status]]="Lost","Lost",
 IF(logistics_data[[#This Row],[Status]]="Returned","Returned",
 IF(logistics_data[[#This Row],[Status]]="Delayed","Delayed",
 "Delivered"))))</f>
        <v>Delivered</v>
      </c>
      <c r="M11" s="2">
        <f>logistics_data[[#This Row],[Cost]]/logistics_data[[#This Row],[Distance_miles]]</f>
        <v>0.25813084112149531</v>
      </c>
      <c r="N11" t="str">
        <f>IF(logistics_data[[#This Row],[Orginal staus of shipment]]&lt;&gt;"Delivered","not applicabel", IF(logistics_data[[#This Row],[Transit_Days]]&gt;=5,"slow","fast"))</f>
        <v>fast</v>
      </c>
    </row>
    <row r="12" spans="1:14" x14ac:dyDescent="0.3">
      <c r="A12" t="s">
        <v>43</v>
      </c>
      <c r="B12" t="s">
        <v>12</v>
      </c>
      <c r="C12" t="s">
        <v>44</v>
      </c>
      <c r="D12" t="s">
        <v>32</v>
      </c>
      <c r="E12" s="1">
        <v>44959</v>
      </c>
      <c r="F12" s="1">
        <v>44964</v>
      </c>
      <c r="G12">
        <v>7.1</v>
      </c>
      <c r="H12">
        <v>251.53</v>
      </c>
      <c r="I12" t="s">
        <v>15</v>
      </c>
      <c r="J12">
        <v>1736</v>
      </c>
      <c r="K12">
        <v>5</v>
      </c>
      <c r="L12" t="str">
        <f>IF(logistics_data[[#This Row],[Delivery_Date]]="","In Transit",
 IF(logistics_data[[#This Row],[Status]]="Lost","Lost",
 IF(logistics_data[[#This Row],[Status]]="Returned","Returned",
 IF(logistics_data[[#This Row],[Status]]="Delayed","Delayed",
 "Delivered"))))</f>
        <v>Delivered</v>
      </c>
      <c r="M12" s="2">
        <f>logistics_data[[#This Row],[Cost]]/logistics_data[[#This Row],[Distance_miles]]</f>
        <v>0.14489055299539172</v>
      </c>
      <c r="N12" t="str">
        <f>IF(logistics_data[[#This Row],[Orginal staus of shipment]]&lt;&gt;"Delivered","not applicabel", IF(logistics_data[[#This Row],[Transit_Days]]&gt;=5,"slow","fast"))</f>
        <v>slow</v>
      </c>
    </row>
    <row r="13" spans="1:14" x14ac:dyDescent="0.3">
      <c r="A13" t="s">
        <v>45</v>
      </c>
      <c r="B13" t="s">
        <v>30</v>
      </c>
      <c r="C13" t="s">
        <v>46</v>
      </c>
      <c r="D13" t="s">
        <v>37</v>
      </c>
      <c r="E13" s="1">
        <v>45074</v>
      </c>
      <c r="F13" s="1">
        <v>45081</v>
      </c>
      <c r="G13">
        <v>38.200000000000003</v>
      </c>
      <c r="H13">
        <v>357.12</v>
      </c>
      <c r="I13" t="s">
        <v>47</v>
      </c>
      <c r="J13">
        <v>2366</v>
      </c>
      <c r="K13">
        <v>6</v>
      </c>
      <c r="L13" t="str">
        <f>IF(logistics_data[[#This Row],[Delivery_Date]]="","In Transit",
 IF(logistics_data[[#This Row],[Status]]="Lost","Lost",
 IF(logistics_data[[#This Row],[Status]]="Returned","Returned",
 IF(logistics_data[[#This Row],[Status]]="Delayed","Delayed",
 "Delivered"))))</f>
        <v>Delayed</v>
      </c>
      <c r="M13" s="2">
        <f>logistics_data[[#This Row],[Cost]]/logistics_data[[#This Row],[Distance_miles]]</f>
        <v>0.15093829247675403</v>
      </c>
      <c r="N13" t="str">
        <f>IF(logistics_data[[#This Row],[Orginal staus of shipment]]&lt;&gt;"Delivered","not applicabel", IF(logistics_data[[#This Row],[Transit_Days]]&gt;=5,"slow","fast"))</f>
        <v>not applicabel</v>
      </c>
    </row>
    <row r="14" spans="1:14" x14ac:dyDescent="0.3">
      <c r="A14" t="s">
        <v>48</v>
      </c>
      <c r="B14" t="s">
        <v>49</v>
      </c>
      <c r="C14" t="s">
        <v>31</v>
      </c>
      <c r="D14" t="s">
        <v>32</v>
      </c>
      <c r="E14" s="1">
        <v>45146</v>
      </c>
      <c r="F14" s="1">
        <v>45151</v>
      </c>
      <c r="G14">
        <v>34.4</v>
      </c>
      <c r="H14">
        <v>121.14</v>
      </c>
      <c r="I14" t="s">
        <v>15</v>
      </c>
      <c r="J14">
        <v>650</v>
      </c>
      <c r="K14">
        <v>5</v>
      </c>
      <c r="L14" t="str">
        <f>IF(logistics_data[[#This Row],[Delivery_Date]]="","In Transit",
 IF(logistics_data[[#This Row],[Status]]="Lost","Lost",
 IF(logistics_data[[#This Row],[Status]]="Returned","Returned",
 IF(logistics_data[[#This Row],[Status]]="Delayed","Delayed",
 "Delivered"))))</f>
        <v>Delivered</v>
      </c>
      <c r="M14" s="2">
        <f>logistics_data[[#This Row],[Cost]]/logistics_data[[#This Row],[Distance_miles]]</f>
        <v>0.18636923076923076</v>
      </c>
      <c r="N14" t="str">
        <f>IF(logistics_data[[#This Row],[Orginal staus of shipment]]&lt;&gt;"Delivered","not applicabel", IF(logistics_data[[#This Row],[Transit_Days]]&gt;=5,"slow","fast"))</f>
        <v>slow</v>
      </c>
    </row>
    <row r="15" spans="1:14" x14ac:dyDescent="0.3">
      <c r="A15" t="s">
        <v>50</v>
      </c>
      <c r="B15" t="s">
        <v>51</v>
      </c>
      <c r="C15" t="s">
        <v>52</v>
      </c>
      <c r="D15" t="s">
        <v>14</v>
      </c>
      <c r="E15" s="1">
        <v>45288</v>
      </c>
      <c r="F15" s="1">
        <v>45294</v>
      </c>
      <c r="G15">
        <v>20.7</v>
      </c>
      <c r="H15">
        <v>272.48</v>
      </c>
      <c r="I15" t="s">
        <v>15</v>
      </c>
      <c r="J15">
        <v>1574</v>
      </c>
      <c r="K15">
        <v>6</v>
      </c>
      <c r="L15" t="str">
        <f>IF(logistics_data[[#This Row],[Delivery_Date]]="","In Transit",
 IF(logistics_data[[#This Row],[Status]]="Lost","Lost",
 IF(logistics_data[[#This Row],[Status]]="Returned","Returned",
 IF(logistics_data[[#This Row],[Status]]="Delayed","Delayed",
 "Delivered"))))</f>
        <v>Delivered</v>
      </c>
      <c r="M15" s="2">
        <f>logistics_data[[#This Row],[Cost]]/logistics_data[[#This Row],[Distance_miles]]</f>
        <v>0.17311308767471412</v>
      </c>
      <c r="N15" t="str">
        <f>IF(logistics_data[[#This Row],[Orginal staus of shipment]]&lt;&gt;"Delivered","not applicabel", IF(logistics_data[[#This Row],[Transit_Days]]&gt;=5,"slow","fast"))</f>
        <v>slow</v>
      </c>
    </row>
    <row r="16" spans="1:14" x14ac:dyDescent="0.3">
      <c r="A16" t="s">
        <v>53</v>
      </c>
      <c r="B16" t="s">
        <v>23</v>
      </c>
      <c r="C16" t="s">
        <v>54</v>
      </c>
      <c r="D16" t="s">
        <v>32</v>
      </c>
      <c r="E16" s="1">
        <v>45131</v>
      </c>
      <c r="F16" s="1">
        <v>45137</v>
      </c>
      <c r="G16">
        <v>12.5</v>
      </c>
      <c r="H16">
        <v>266.08</v>
      </c>
      <c r="I16" t="s">
        <v>15</v>
      </c>
      <c r="J16">
        <v>1849</v>
      </c>
      <c r="K16">
        <v>6</v>
      </c>
      <c r="L16" t="str">
        <f>IF(logistics_data[[#This Row],[Delivery_Date]]="","In Transit",
 IF(logistics_data[[#This Row],[Status]]="Lost","Lost",
 IF(logistics_data[[#This Row],[Status]]="Returned","Returned",
 IF(logistics_data[[#This Row],[Status]]="Delayed","Delayed",
 "Delivered"))))</f>
        <v>Delivered</v>
      </c>
      <c r="M16" s="2">
        <f>logistics_data[[#This Row],[Cost]]/logistics_data[[#This Row],[Distance_miles]]</f>
        <v>0.14390481341265549</v>
      </c>
      <c r="N16" t="str">
        <f>IF(logistics_data[[#This Row],[Orginal staus of shipment]]&lt;&gt;"Delivered","not applicabel", IF(logistics_data[[#This Row],[Transit_Days]]&gt;=5,"slow","fast"))</f>
        <v>slow</v>
      </c>
    </row>
    <row r="17" spans="1:14" x14ac:dyDescent="0.3">
      <c r="A17" t="s">
        <v>55</v>
      </c>
      <c r="B17" t="s">
        <v>56</v>
      </c>
      <c r="C17" t="s">
        <v>57</v>
      </c>
      <c r="D17" t="s">
        <v>25</v>
      </c>
      <c r="E17" s="1">
        <v>45056</v>
      </c>
      <c r="F17" s="1">
        <v>45062</v>
      </c>
      <c r="G17">
        <v>28.6</v>
      </c>
      <c r="H17">
        <v>221.21</v>
      </c>
      <c r="I17" t="s">
        <v>15</v>
      </c>
      <c r="J17">
        <v>1489</v>
      </c>
      <c r="K17">
        <v>6</v>
      </c>
      <c r="L17" t="str">
        <f>IF(logistics_data[[#This Row],[Delivery_Date]]="","In Transit",
 IF(logistics_data[[#This Row],[Status]]="Lost","Lost",
 IF(logistics_data[[#This Row],[Status]]="Returned","Returned",
 IF(logistics_data[[#This Row],[Status]]="Delayed","Delayed",
 "Delivered"))))</f>
        <v>Delivered</v>
      </c>
      <c r="M17" s="2">
        <f>logistics_data[[#This Row],[Cost]]/logistics_data[[#This Row],[Distance_miles]]</f>
        <v>0.14856279382135662</v>
      </c>
      <c r="N17" t="str">
        <f>IF(logistics_data[[#This Row],[Orginal staus of shipment]]&lt;&gt;"Delivered","not applicabel", IF(logistics_data[[#This Row],[Transit_Days]]&gt;=5,"slow","fast"))</f>
        <v>slow</v>
      </c>
    </row>
    <row r="18" spans="1:14" x14ac:dyDescent="0.3">
      <c r="A18" t="s">
        <v>58</v>
      </c>
      <c r="B18" t="s">
        <v>35</v>
      </c>
      <c r="C18" t="s">
        <v>40</v>
      </c>
      <c r="D18" t="s">
        <v>59</v>
      </c>
      <c r="E18" s="1">
        <v>44951</v>
      </c>
      <c r="F18" s="1">
        <v>44952</v>
      </c>
      <c r="G18">
        <v>24.1</v>
      </c>
      <c r="H18">
        <v>60.27</v>
      </c>
      <c r="I18" t="s">
        <v>60</v>
      </c>
      <c r="J18">
        <v>283</v>
      </c>
      <c r="K18">
        <v>1</v>
      </c>
      <c r="L18" t="str">
        <f>IF(logistics_data[[#This Row],[Delivery_Date]]="","In Transit",
 IF(logistics_data[[#This Row],[Status]]="Lost","Lost",
 IF(logistics_data[[#This Row],[Status]]="Returned","Returned",
 IF(logistics_data[[#This Row],[Status]]="Delayed","Delayed",
 "Delivered"))))</f>
        <v>Lost</v>
      </c>
      <c r="M18" s="2">
        <f>logistics_data[[#This Row],[Cost]]/logistics_data[[#This Row],[Distance_miles]]</f>
        <v>0.21296819787985866</v>
      </c>
      <c r="N18" t="str">
        <f>IF(logistics_data[[#This Row],[Orginal staus of shipment]]&lt;&gt;"Delivered","not applicabel", IF(logistics_data[[#This Row],[Transit_Days]]&gt;=5,"slow","fast"))</f>
        <v>not applicabel</v>
      </c>
    </row>
    <row r="19" spans="1:14" x14ac:dyDescent="0.3">
      <c r="A19" t="s">
        <v>61</v>
      </c>
      <c r="B19" t="s">
        <v>20</v>
      </c>
      <c r="C19" t="s">
        <v>13</v>
      </c>
      <c r="D19" t="s">
        <v>25</v>
      </c>
      <c r="E19" s="1">
        <v>45085</v>
      </c>
      <c r="F19" s="1">
        <v>45088</v>
      </c>
      <c r="G19">
        <v>43.2</v>
      </c>
      <c r="H19">
        <v>80.599999999999994</v>
      </c>
      <c r="I19" t="s">
        <v>62</v>
      </c>
      <c r="J19">
        <v>223</v>
      </c>
      <c r="K19">
        <v>3</v>
      </c>
      <c r="L19" t="str">
        <f>IF(logistics_data[[#This Row],[Delivery_Date]]="","In Transit",
 IF(logistics_data[[#This Row],[Status]]="Lost","Lost",
 IF(logistics_data[[#This Row],[Status]]="Returned","Returned",
 IF(logistics_data[[#This Row],[Status]]="Delayed","Delayed",
 "Delivered"))))</f>
        <v>Delivered</v>
      </c>
      <c r="M19" s="2">
        <f>logistics_data[[#This Row],[Cost]]/logistics_data[[#This Row],[Distance_miles]]</f>
        <v>0.36143497757847531</v>
      </c>
      <c r="N19" t="str">
        <f>IF(logistics_data[[#This Row],[Orginal staus of shipment]]&lt;&gt;"Delivered","not applicabel", IF(logistics_data[[#This Row],[Transit_Days]]&gt;=5,"slow","fast"))</f>
        <v>fast</v>
      </c>
    </row>
    <row r="20" spans="1:14" x14ac:dyDescent="0.3">
      <c r="A20" t="s">
        <v>63</v>
      </c>
      <c r="B20" t="s">
        <v>30</v>
      </c>
      <c r="C20" t="s">
        <v>17</v>
      </c>
      <c r="D20" t="s">
        <v>25</v>
      </c>
      <c r="E20" s="1">
        <v>45215</v>
      </c>
      <c r="F20" s="1">
        <v>45224</v>
      </c>
      <c r="G20">
        <v>6.3</v>
      </c>
      <c r="H20">
        <v>124.52</v>
      </c>
      <c r="I20" t="s">
        <v>15</v>
      </c>
      <c r="J20">
        <v>1055</v>
      </c>
      <c r="K20">
        <v>9</v>
      </c>
      <c r="L20" t="str">
        <f>IF(logistics_data[[#This Row],[Delivery_Date]]="","In Transit",
 IF(logistics_data[[#This Row],[Status]]="Lost","Lost",
 IF(logistics_data[[#This Row],[Status]]="Returned","Returned",
 IF(logistics_data[[#This Row],[Status]]="Delayed","Delayed",
 "Delivered"))))</f>
        <v>Delivered</v>
      </c>
      <c r="M20" s="2">
        <f>logistics_data[[#This Row],[Cost]]/logistics_data[[#This Row],[Distance_miles]]</f>
        <v>0.11802843601895734</v>
      </c>
      <c r="N20" t="str">
        <f>IF(logistics_data[[#This Row],[Orginal staus of shipment]]&lt;&gt;"Delivered","not applicabel", IF(logistics_data[[#This Row],[Transit_Days]]&gt;=5,"slow","fast"))</f>
        <v>slow</v>
      </c>
    </row>
    <row r="21" spans="1:14" x14ac:dyDescent="0.3">
      <c r="A21" t="s">
        <v>64</v>
      </c>
      <c r="B21" t="s">
        <v>12</v>
      </c>
      <c r="C21" t="s">
        <v>36</v>
      </c>
      <c r="D21" t="s">
        <v>18</v>
      </c>
      <c r="E21" s="1">
        <v>44942</v>
      </c>
      <c r="F21" s="1">
        <v>44947</v>
      </c>
      <c r="G21">
        <v>51.2</v>
      </c>
      <c r="H21">
        <v>290.72000000000003</v>
      </c>
      <c r="I21" t="s">
        <v>15</v>
      </c>
      <c r="J21">
        <v>1660</v>
      </c>
      <c r="K21">
        <v>5</v>
      </c>
      <c r="L21" t="str">
        <f>IF(logistics_data[[#This Row],[Delivery_Date]]="","In Transit",
 IF(logistics_data[[#This Row],[Status]]="Lost","Lost",
 IF(logistics_data[[#This Row],[Status]]="Returned","Returned",
 IF(logistics_data[[#This Row],[Status]]="Delayed","Delayed",
 "Delivered"))))</f>
        <v>Delivered</v>
      </c>
      <c r="M21" s="2">
        <f>logistics_data[[#This Row],[Cost]]/logistics_data[[#This Row],[Distance_miles]]</f>
        <v>0.17513253012048194</v>
      </c>
      <c r="N21" t="str">
        <f>IF(logistics_data[[#This Row],[Orginal staus of shipment]]&lt;&gt;"Delivered","not applicabel", IF(logistics_data[[#This Row],[Transit_Days]]&gt;=5,"slow","fast"))</f>
        <v>slow</v>
      </c>
    </row>
    <row r="22" spans="1:14" x14ac:dyDescent="0.3">
      <c r="A22" t="s">
        <v>65</v>
      </c>
      <c r="B22" t="s">
        <v>12</v>
      </c>
      <c r="C22" t="s">
        <v>54</v>
      </c>
      <c r="D22" t="s">
        <v>32</v>
      </c>
      <c r="E22" s="1">
        <v>45148</v>
      </c>
      <c r="F22" s="1">
        <v>45118</v>
      </c>
      <c r="G22">
        <v>7.8</v>
      </c>
      <c r="H22">
        <v>216.42</v>
      </c>
      <c r="I22" t="s">
        <v>15</v>
      </c>
      <c r="J22">
        <v>1696</v>
      </c>
      <c r="K22">
        <v>5</v>
      </c>
      <c r="L22" t="str">
        <f>IF(logistics_data[[#This Row],[Delivery_Date]]="","In Transit",
 IF(logistics_data[[#This Row],[Status]]="Lost","Lost",
 IF(logistics_data[[#This Row],[Status]]="Returned","Returned",
 IF(logistics_data[[#This Row],[Status]]="Delayed","Delayed",
 "Delivered"))))</f>
        <v>Delivered</v>
      </c>
      <c r="M22" s="2">
        <f>logistics_data[[#This Row],[Cost]]/logistics_data[[#This Row],[Distance_miles]]</f>
        <v>0.1276061320754717</v>
      </c>
      <c r="N22" t="str">
        <f>IF(logistics_data[[#This Row],[Orginal staus of shipment]]&lt;&gt;"Delivered","not applicabel", IF(logistics_data[[#This Row],[Transit_Days]]&gt;=5,"slow","fast"))</f>
        <v>slow</v>
      </c>
    </row>
    <row r="23" spans="1:14" x14ac:dyDescent="0.3">
      <c r="A23" t="s">
        <v>66</v>
      </c>
      <c r="B23" t="s">
        <v>49</v>
      </c>
      <c r="C23" t="s">
        <v>21</v>
      </c>
      <c r="D23" t="s">
        <v>42</v>
      </c>
      <c r="E23" s="1">
        <v>45161</v>
      </c>
      <c r="F23" s="1">
        <v>45165</v>
      </c>
      <c r="G23">
        <v>29.6</v>
      </c>
      <c r="H23">
        <v>216.63</v>
      </c>
      <c r="I23" t="s">
        <v>67</v>
      </c>
      <c r="J23">
        <v>1407</v>
      </c>
      <c r="K23">
        <v>4</v>
      </c>
      <c r="L23" t="str">
        <f>IF(logistics_data[[#This Row],[Delivery_Date]]="","In Transit",
 IF(logistics_data[[#This Row],[Status]]="Lost","Lost",
 IF(logistics_data[[#This Row],[Status]]="Returned","Returned",
 IF(logistics_data[[#This Row],[Status]]="Delayed","Delayed",
 "Delivered"))))</f>
        <v>Returned</v>
      </c>
      <c r="M23" s="2">
        <f>logistics_data[[#This Row],[Cost]]/logistics_data[[#This Row],[Distance_miles]]</f>
        <v>0.15396588486140725</v>
      </c>
      <c r="N23" t="str">
        <f>IF(logistics_data[[#This Row],[Orginal staus of shipment]]&lt;&gt;"Delivered","not applicabel", IF(logistics_data[[#This Row],[Transit_Days]]&gt;=5,"slow","fast"))</f>
        <v>not applicabel</v>
      </c>
    </row>
    <row r="24" spans="1:14" x14ac:dyDescent="0.3">
      <c r="A24" t="s">
        <v>68</v>
      </c>
      <c r="B24" t="s">
        <v>35</v>
      </c>
      <c r="C24" t="s">
        <v>13</v>
      </c>
      <c r="D24" t="s">
        <v>59</v>
      </c>
      <c r="E24" s="1">
        <v>45128</v>
      </c>
      <c r="F24" s="1">
        <v>45130</v>
      </c>
      <c r="G24">
        <v>15.2</v>
      </c>
      <c r="H24">
        <v>67.11</v>
      </c>
      <c r="I24" t="s">
        <v>15</v>
      </c>
      <c r="J24">
        <v>440</v>
      </c>
      <c r="K24">
        <v>2</v>
      </c>
      <c r="L24" t="str">
        <f>IF(logistics_data[[#This Row],[Delivery_Date]]="","In Transit",
 IF(logistics_data[[#This Row],[Status]]="Lost","Lost",
 IF(logistics_data[[#This Row],[Status]]="Returned","Returned",
 IF(logistics_data[[#This Row],[Status]]="Delayed","Delayed",
 "Delivered"))))</f>
        <v>Delivered</v>
      </c>
      <c r="M24" s="2">
        <f>logistics_data[[#This Row],[Cost]]/logistics_data[[#This Row],[Distance_miles]]</f>
        <v>0.15252272727272728</v>
      </c>
      <c r="N24" t="str">
        <f>IF(logistics_data[[#This Row],[Orginal staus of shipment]]&lt;&gt;"Delivered","not applicabel", IF(logistics_data[[#This Row],[Transit_Days]]&gt;=5,"slow","fast"))</f>
        <v>fast</v>
      </c>
    </row>
    <row r="25" spans="1:14" x14ac:dyDescent="0.3">
      <c r="A25" t="s">
        <v>69</v>
      </c>
      <c r="B25" t="s">
        <v>49</v>
      </c>
      <c r="C25" t="s">
        <v>70</v>
      </c>
      <c r="D25" t="s">
        <v>18</v>
      </c>
      <c r="E25" s="1">
        <v>45225</v>
      </c>
      <c r="F25" s="1">
        <v>45228</v>
      </c>
      <c r="G25">
        <v>22.2</v>
      </c>
      <c r="H25">
        <v>228.57</v>
      </c>
      <c r="I25" t="s">
        <v>15</v>
      </c>
      <c r="J25">
        <v>1402</v>
      </c>
      <c r="K25">
        <v>3</v>
      </c>
      <c r="L25" t="str">
        <f>IF(logistics_data[[#This Row],[Delivery_Date]]="","In Transit",
 IF(logistics_data[[#This Row],[Status]]="Lost","Lost",
 IF(logistics_data[[#This Row],[Status]]="Returned","Returned",
 IF(logistics_data[[#This Row],[Status]]="Delayed","Delayed",
 "Delivered"))))</f>
        <v>Delivered</v>
      </c>
      <c r="M25" s="2">
        <f>logistics_data[[#This Row],[Cost]]/logistics_data[[#This Row],[Distance_miles]]</f>
        <v>0.16303138373751783</v>
      </c>
      <c r="N25" t="str">
        <f>IF(logistics_data[[#This Row],[Orginal staus of shipment]]&lt;&gt;"Delivered","not applicabel", IF(logistics_data[[#This Row],[Transit_Days]]&gt;=5,"slow","fast"))</f>
        <v>fast</v>
      </c>
    </row>
    <row r="26" spans="1:14" x14ac:dyDescent="0.3">
      <c r="A26" t="s">
        <v>71</v>
      </c>
      <c r="B26" t="s">
        <v>56</v>
      </c>
      <c r="C26" t="s">
        <v>52</v>
      </c>
      <c r="D26" t="s">
        <v>59</v>
      </c>
      <c r="E26" s="1">
        <v>45149</v>
      </c>
      <c r="F26" s="1">
        <v>45153</v>
      </c>
      <c r="G26">
        <v>5.3</v>
      </c>
      <c r="H26">
        <v>37.32</v>
      </c>
      <c r="I26" t="s">
        <v>15</v>
      </c>
      <c r="J26">
        <v>256</v>
      </c>
      <c r="K26">
        <v>4</v>
      </c>
      <c r="L26" t="str">
        <f>IF(logistics_data[[#This Row],[Delivery_Date]]="","In Transit",
 IF(logistics_data[[#This Row],[Status]]="Lost","Lost",
 IF(logistics_data[[#This Row],[Status]]="Returned","Returned",
 IF(logistics_data[[#This Row],[Status]]="Delayed","Delayed",
 "Delivered"))))</f>
        <v>Delivered</v>
      </c>
      <c r="M26" s="2">
        <f>logistics_data[[#This Row],[Cost]]/logistics_data[[#This Row],[Distance_miles]]</f>
        <v>0.14578125</v>
      </c>
      <c r="N26" t="str">
        <f>IF(logistics_data[[#This Row],[Orginal staus of shipment]]&lt;&gt;"Delivered","not applicabel", IF(logistics_data[[#This Row],[Transit_Days]]&gt;=5,"slow","fast"))</f>
        <v>fast</v>
      </c>
    </row>
    <row r="27" spans="1:14" x14ac:dyDescent="0.3">
      <c r="A27" t="s">
        <v>72</v>
      </c>
      <c r="B27" t="s">
        <v>51</v>
      </c>
      <c r="C27" t="s">
        <v>36</v>
      </c>
      <c r="D27" t="s">
        <v>14</v>
      </c>
      <c r="E27" s="1">
        <v>45043</v>
      </c>
      <c r="F27" s="1">
        <v>45045</v>
      </c>
      <c r="G27">
        <v>40</v>
      </c>
      <c r="H27">
        <v>124.29</v>
      </c>
      <c r="I27" t="s">
        <v>15</v>
      </c>
      <c r="J27">
        <v>519</v>
      </c>
      <c r="K27">
        <v>2</v>
      </c>
      <c r="L27" t="str">
        <f>IF(logistics_data[[#This Row],[Delivery_Date]]="","In Transit",
 IF(logistics_data[[#This Row],[Status]]="Lost","Lost",
 IF(logistics_data[[#This Row],[Status]]="Returned","Returned",
 IF(logistics_data[[#This Row],[Status]]="Delayed","Delayed",
 "Delivered"))))</f>
        <v>Delivered</v>
      </c>
      <c r="M27" s="2">
        <f>logistics_data[[#This Row],[Cost]]/logistics_data[[#This Row],[Distance_miles]]</f>
        <v>0.23947976878612717</v>
      </c>
      <c r="N27" t="str">
        <f>IF(logistics_data[[#This Row],[Orginal staus of shipment]]&lt;&gt;"Delivered","not applicabel", IF(logistics_data[[#This Row],[Transit_Days]]&gt;=5,"slow","fast"))</f>
        <v>fast</v>
      </c>
    </row>
    <row r="28" spans="1:14" x14ac:dyDescent="0.3">
      <c r="A28" t="s">
        <v>73</v>
      </c>
      <c r="B28" t="s">
        <v>56</v>
      </c>
      <c r="C28" t="s">
        <v>54</v>
      </c>
      <c r="D28" t="s">
        <v>14</v>
      </c>
      <c r="E28" s="1">
        <v>45290</v>
      </c>
      <c r="F28" s="1">
        <v>45292</v>
      </c>
      <c r="G28">
        <v>8.6999999999999993</v>
      </c>
      <c r="H28">
        <v>73.52</v>
      </c>
      <c r="I28" t="s">
        <v>15</v>
      </c>
      <c r="J28">
        <v>386</v>
      </c>
      <c r="K28">
        <v>2</v>
      </c>
      <c r="L28" t="str">
        <f>IF(logistics_data[[#This Row],[Delivery_Date]]="","In Transit",
 IF(logistics_data[[#This Row],[Status]]="Lost","Lost",
 IF(logistics_data[[#This Row],[Status]]="Returned","Returned",
 IF(logistics_data[[#This Row],[Status]]="Delayed","Delayed",
 "Delivered"))))</f>
        <v>Delivered</v>
      </c>
      <c r="M28" s="2">
        <f>logistics_data[[#This Row],[Cost]]/logistics_data[[#This Row],[Distance_miles]]</f>
        <v>0.19046632124352331</v>
      </c>
      <c r="N28" t="str">
        <f>IF(logistics_data[[#This Row],[Orginal staus of shipment]]&lt;&gt;"Delivered","not applicabel", IF(logistics_data[[#This Row],[Transit_Days]]&gt;=5,"slow","fast"))</f>
        <v>fast</v>
      </c>
    </row>
    <row r="29" spans="1:14" x14ac:dyDescent="0.3">
      <c r="A29" t="s">
        <v>74</v>
      </c>
      <c r="B29" t="s">
        <v>56</v>
      </c>
      <c r="C29" t="s">
        <v>46</v>
      </c>
      <c r="D29" t="s">
        <v>59</v>
      </c>
      <c r="E29" s="1">
        <v>45290</v>
      </c>
      <c r="F29" s="1">
        <v>45296</v>
      </c>
      <c r="G29">
        <v>10.1</v>
      </c>
      <c r="H29">
        <v>309.58999999999997</v>
      </c>
      <c r="I29" t="s">
        <v>47</v>
      </c>
      <c r="J29">
        <v>1986</v>
      </c>
      <c r="K29">
        <v>5</v>
      </c>
      <c r="L29" t="str">
        <f>IF(logistics_data[[#This Row],[Delivery_Date]]="","In Transit",
 IF(logistics_data[[#This Row],[Status]]="Lost","Lost",
 IF(logistics_data[[#This Row],[Status]]="Returned","Returned",
 IF(logistics_data[[#This Row],[Status]]="Delayed","Delayed",
 "Delivered"))))</f>
        <v>Delayed</v>
      </c>
      <c r="M29" s="2">
        <f>logistics_data[[#This Row],[Cost]]/logistics_data[[#This Row],[Distance_miles]]</f>
        <v>0.15588620342396775</v>
      </c>
      <c r="N29" t="str">
        <f>IF(logistics_data[[#This Row],[Orginal staus of shipment]]&lt;&gt;"Delivered","not applicabel", IF(logistics_data[[#This Row],[Transit_Days]]&gt;=5,"slow","fast"))</f>
        <v>not applicabel</v>
      </c>
    </row>
    <row r="30" spans="1:14" x14ac:dyDescent="0.3">
      <c r="A30" t="s">
        <v>75</v>
      </c>
      <c r="B30" t="s">
        <v>27</v>
      </c>
      <c r="C30" t="s">
        <v>28</v>
      </c>
      <c r="D30" t="s">
        <v>42</v>
      </c>
      <c r="E30" s="1">
        <v>45275</v>
      </c>
      <c r="F30" s="1">
        <v>45280</v>
      </c>
      <c r="G30">
        <v>22.8</v>
      </c>
      <c r="H30">
        <v>373.64</v>
      </c>
      <c r="I30" t="s">
        <v>15</v>
      </c>
      <c r="J30">
        <v>2229</v>
      </c>
      <c r="K30">
        <v>5</v>
      </c>
      <c r="L30" t="str">
        <f>IF(logistics_data[[#This Row],[Delivery_Date]]="","In Transit",
 IF(logistics_data[[#This Row],[Status]]="Lost","Lost",
 IF(logistics_data[[#This Row],[Status]]="Returned","Returned",
 IF(logistics_data[[#This Row],[Status]]="Delayed","Delayed",
 "Delivered"))))</f>
        <v>Delivered</v>
      </c>
      <c r="M30" s="2">
        <f>logistics_data[[#This Row],[Cost]]/logistics_data[[#This Row],[Distance_miles]]</f>
        <v>0.1676267384477344</v>
      </c>
      <c r="N30" t="str">
        <f>IF(logistics_data[[#This Row],[Orginal staus of shipment]]&lt;&gt;"Delivered","not applicabel", IF(logistics_data[[#This Row],[Transit_Days]]&gt;=5,"slow","fast"))</f>
        <v>slow</v>
      </c>
    </row>
    <row r="31" spans="1:14" x14ac:dyDescent="0.3">
      <c r="A31" t="s">
        <v>76</v>
      </c>
      <c r="B31" t="s">
        <v>49</v>
      </c>
      <c r="C31" t="s">
        <v>44</v>
      </c>
      <c r="D31" t="s">
        <v>18</v>
      </c>
      <c r="E31" s="1">
        <v>45104</v>
      </c>
      <c r="F31" s="1">
        <v>45110</v>
      </c>
      <c r="G31">
        <v>13</v>
      </c>
      <c r="H31">
        <v>347.94</v>
      </c>
      <c r="I31" t="s">
        <v>15</v>
      </c>
      <c r="J31">
        <v>2310</v>
      </c>
      <c r="K31">
        <v>6</v>
      </c>
      <c r="L31" t="str">
        <f>IF(logistics_data[[#This Row],[Delivery_Date]]="","In Transit",
 IF(logistics_data[[#This Row],[Status]]="Lost","Lost",
 IF(logistics_data[[#This Row],[Status]]="Returned","Returned",
 IF(logistics_data[[#This Row],[Status]]="Delayed","Delayed",
 "Delivered"))))</f>
        <v>Delivered</v>
      </c>
      <c r="M31" s="2">
        <f>logistics_data[[#This Row],[Cost]]/logistics_data[[#This Row],[Distance_miles]]</f>
        <v>0.15062337662337663</v>
      </c>
      <c r="N31" t="str">
        <f>IF(logistics_data[[#This Row],[Orginal staus of shipment]]&lt;&gt;"Delivered","not applicabel", IF(logistics_data[[#This Row],[Transit_Days]]&gt;=5,"slow","fast"))</f>
        <v>slow</v>
      </c>
    </row>
    <row r="32" spans="1:14" x14ac:dyDescent="0.3">
      <c r="A32" t="s">
        <v>77</v>
      </c>
      <c r="B32" t="s">
        <v>27</v>
      </c>
      <c r="C32" t="s">
        <v>13</v>
      </c>
      <c r="D32" t="s">
        <v>42</v>
      </c>
      <c r="E32" s="1">
        <v>45234</v>
      </c>
      <c r="G32">
        <v>28.5</v>
      </c>
      <c r="H32">
        <v>109.33</v>
      </c>
      <c r="I32" t="s">
        <v>15</v>
      </c>
      <c r="J32">
        <v>502</v>
      </c>
      <c r="K32">
        <v>2</v>
      </c>
      <c r="L32" t="str">
        <f>IF(logistics_data[[#This Row],[Delivery_Date]]="","In Transit",
 IF(logistics_data[[#This Row],[Status]]="Lost","Lost",
 IF(logistics_data[[#This Row],[Status]]="Returned","Returned",
 IF(logistics_data[[#This Row],[Status]]="Delayed","Delayed",
 "Delivered"))))</f>
        <v>In Transit</v>
      </c>
      <c r="M32" s="2">
        <f>logistics_data[[#This Row],[Cost]]/logistics_data[[#This Row],[Distance_miles]]</f>
        <v>0.21778884462151393</v>
      </c>
      <c r="N32" t="str">
        <f>IF(logistics_data[[#This Row],[Orginal staus of shipment]]&lt;&gt;"Delivered","not applicabel", IF(logistics_data[[#This Row],[Transit_Days]]&gt;=5,"slow","fast"))</f>
        <v>not applicabel</v>
      </c>
    </row>
    <row r="33" spans="1:14" x14ac:dyDescent="0.3">
      <c r="A33" t="s">
        <v>78</v>
      </c>
      <c r="B33" t="s">
        <v>23</v>
      </c>
      <c r="C33" t="s">
        <v>28</v>
      </c>
      <c r="D33" t="s">
        <v>25</v>
      </c>
      <c r="E33" s="1">
        <v>45111</v>
      </c>
      <c r="F33" s="1">
        <v>45115</v>
      </c>
      <c r="G33">
        <v>30.2</v>
      </c>
      <c r="H33">
        <v>162.68</v>
      </c>
      <c r="I33" t="s">
        <v>15</v>
      </c>
      <c r="J33">
        <v>1048</v>
      </c>
      <c r="K33">
        <v>4</v>
      </c>
      <c r="L33" t="str">
        <f>IF(logistics_data[[#This Row],[Delivery_Date]]="","In Transit",
 IF(logistics_data[[#This Row],[Status]]="Lost","Lost",
 IF(logistics_data[[#This Row],[Status]]="Returned","Returned",
 IF(logistics_data[[#This Row],[Status]]="Delayed","Delayed",
 "Delivered"))))</f>
        <v>Delivered</v>
      </c>
      <c r="M33" s="2">
        <f>logistics_data[[#This Row],[Cost]]/logistics_data[[#This Row],[Distance_miles]]</f>
        <v>0.1552290076335878</v>
      </c>
      <c r="N33" t="str">
        <f>IF(logistics_data[[#This Row],[Orginal staus of shipment]]&lt;&gt;"Delivered","not applicabel", IF(logistics_data[[#This Row],[Transit_Days]]&gt;=5,"slow","fast"))</f>
        <v>fast</v>
      </c>
    </row>
    <row r="34" spans="1:14" x14ac:dyDescent="0.3">
      <c r="A34" t="s">
        <v>79</v>
      </c>
      <c r="B34" t="s">
        <v>35</v>
      </c>
      <c r="C34" t="s">
        <v>31</v>
      </c>
      <c r="D34" t="s">
        <v>32</v>
      </c>
      <c r="E34" s="1">
        <v>45196</v>
      </c>
      <c r="F34" s="1">
        <v>45200</v>
      </c>
      <c r="G34">
        <v>11.3</v>
      </c>
      <c r="H34">
        <v>206.19</v>
      </c>
      <c r="I34" t="s">
        <v>15</v>
      </c>
      <c r="J34">
        <v>1551</v>
      </c>
      <c r="K34">
        <v>4</v>
      </c>
      <c r="L34" t="str">
        <f>IF(logistics_data[[#This Row],[Delivery_Date]]="","In Transit",
 IF(logistics_data[[#This Row],[Status]]="Lost","Lost",
 IF(logistics_data[[#This Row],[Status]]="Returned","Returned",
 IF(logistics_data[[#This Row],[Status]]="Delayed","Delayed",
 "Delivered"))))</f>
        <v>Delivered</v>
      </c>
      <c r="M34" s="2">
        <f>logistics_data[[#This Row],[Cost]]/logistics_data[[#This Row],[Distance_miles]]</f>
        <v>0.13294003868471954</v>
      </c>
      <c r="N34" t="str">
        <f>IF(logistics_data[[#This Row],[Orginal staus of shipment]]&lt;&gt;"Delivered","not applicabel", IF(logistics_data[[#This Row],[Transit_Days]]&gt;=5,"slow","fast"))</f>
        <v>fast</v>
      </c>
    </row>
    <row r="35" spans="1:14" x14ac:dyDescent="0.3">
      <c r="A35" t="s">
        <v>80</v>
      </c>
      <c r="B35" t="s">
        <v>27</v>
      </c>
      <c r="C35" t="s">
        <v>81</v>
      </c>
      <c r="D35" t="s">
        <v>59</v>
      </c>
      <c r="E35" s="1">
        <v>45011</v>
      </c>
      <c r="F35" s="1">
        <v>45018</v>
      </c>
      <c r="G35">
        <v>15.8</v>
      </c>
      <c r="H35">
        <v>66.349999999999994</v>
      </c>
      <c r="I35" t="s">
        <v>47</v>
      </c>
      <c r="J35">
        <v>431</v>
      </c>
      <c r="K35">
        <v>2</v>
      </c>
      <c r="L35" t="str">
        <f>IF(logistics_data[[#This Row],[Delivery_Date]]="","In Transit",
 IF(logistics_data[[#This Row],[Status]]="Lost","Lost",
 IF(logistics_data[[#This Row],[Status]]="Returned","Returned",
 IF(logistics_data[[#This Row],[Status]]="Delayed","Delayed",
 "Delivered"))))</f>
        <v>Delayed</v>
      </c>
      <c r="M35" s="2">
        <f>logistics_data[[#This Row],[Cost]]/logistics_data[[#This Row],[Distance_miles]]</f>
        <v>0.1539443155452436</v>
      </c>
      <c r="N35" t="str">
        <f>IF(logistics_data[[#This Row],[Orginal staus of shipment]]&lt;&gt;"Delivered","not applicabel", IF(logistics_data[[#This Row],[Transit_Days]]&gt;=5,"slow","fast"))</f>
        <v>not applicabel</v>
      </c>
    </row>
    <row r="36" spans="1:14" x14ac:dyDescent="0.3">
      <c r="A36" t="s">
        <v>82</v>
      </c>
      <c r="B36" t="s">
        <v>49</v>
      </c>
      <c r="C36" t="s">
        <v>81</v>
      </c>
      <c r="D36" t="s">
        <v>25</v>
      </c>
      <c r="E36" s="1">
        <v>44978</v>
      </c>
      <c r="F36" s="1">
        <v>44980</v>
      </c>
      <c r="G36">
        <v>10.7</v>
      </c>
      <c r="H36">
        <v>76.52</v>
      </c>
      <c r="I36" t="s">
        <v>15</v>
      </c>
      <c r="J36">
        <v>528</v>
      </c>
      <c r="K36">
        <v>2</v>
      </c>
      <c r="L36" t="str">
        <f>IF(logistics_data[[#This Row],[Delivery_Date]]="","In Transit",
 IF(logistics_data[[#This Row],[Status]]="Lost","Lost",
 IF(logistics_data[[#This Row],[Status]]="Returned","Returned",
 IF(logistics_data[[#This Row],[Status]]="Delayed","Delayed",
 "Delivered"))))</f>
        <v>Delivered</v>
      </c>
      <c r="M36" s="2">
        <f>logistics_data[[#This Row],[Cost]]/logistics_data[[#This Row],[Distance_miles]]</f>
        <v>0.14492424242424243</v>
      </c>
      <c r="N36" t="str">
        <f>IF(logistics_data[[#This Row],[Orginal staus of shipment]]&lt;&gt;"Delivered","not applicabel", IF(logistics_data[[#This Row],[Transit_Days]]&gt;=5,"slow","fast"))</f>
        <v>fast</v>
      </c>
    </row>
    <row r="37" spans="1:14" x14ac:dyDescent="0.3">
      <c r="A37" t="s">
        <v>83</v>
      </c>
      <c r="B37" t="s">
        <v>23</v>
      </c>
      <c r="C37" t="s">
        <v>28</v>
      </c>
      <c r="D37" t="s">
        <v>25</v>
      </c>
      <c r="E37" s="1">
        <v>45123</v>
      </c>
      <c r="F37" s="1">
        <v>45124</v>
      </c>
      <c r="G37">
        <v>37.700000000000003</v>
      </c>
      <c r="H37">
        <v>55.09</v>
      </c>
      <c r="I37" t="s">
        <v>60</v>
      </c>
      <c r="J37">
        <v>131</v>
      </c>
      <c r="K37">
        <v>1</v>
      </c>
      <c r="L37" t="str">
        <f>IF(logistics_data[[#This Row],[Delivery_Date]]="","In Transit",
 IF(logistics_data[[#This Row],[Status]]="Lost","Lost",
 IF(logistics_data[[#This Row],[Status]]="Returned","Returned",
 IF(logistics_data[[#This Row],[Status]]="Delayed","Delayed",
 "Delivered"))))</f>
        <v>Lost</v>
      </c>
      <c r="M37" s="2">
        <f>logistics_data[[#This Row],[Cost]]/logistics_data[[#This Row],[Distance_miles]]</f>
        <v>0.42053435114503818</v>
      </c>
      <c r="N37" t="str">
        <f>IF(logistics_data[[#This Row],[Orginal staus of shipment]]&lt;&gt;"Delivered","not applicabel", IF(logistics_data[[#This Row],[Transit_Days]]&gt;=5,"slow","fast"))</f>
        <v>not applicabel</v>
      </c>
    </row>
    <row r="38" spans="1:14" x14ac:dyDescent="0.3">
      <c r="A38" t="s">
        <v>84</v>
      </c>
      <c r="B38" t="s">
        <v>30</v>
      </c>
      <c r="C38" t="s">
        <v>70</v>
      </c>
      <c r="D38" t="s">
        <v>32</v>
      </c>
      <c r="E38" s="1">
        <v>45079</v>
      </c>
      <c r="F38" s="1">
        <v>45095</v>
      </c>
      <c r="G38">
        <v>27.9</v>
      </c>
      <c r="H38">
        <v>123.81</v>
      </c>
      <c r="I38" t="s">
        <v>47</v>
      </c>
      <c r="J38">
        <v>659</v>
      </c>
      <c r="K38">
        <v>3</v>
      </c>
      <c r="L38" t="str">
        <f>IF(logistics_data[[#This Row],[Delivery_Date]]="","In Transit",
 IF(logistics_data[[#This Row],[Status]]="Lost","Lost",
 IF(logistics_data[[#This Row],[Status]]="Returned","Returned",
 IF(logistics_data[[#This Row],[Status]]="Delayed","Delayed",
 "Delivered"))))</f>
        <v>Delayed</v>
      </c>
      <c r="M38" s="2">
        <f>logistics_data[[#This Row],[Cost]]/logistics_data[[#This Row],[Distance_miles]]</f>
        <v>0.18787556904400607</v>
      </c>
      <c r="N38" t="str">
        <f>IF(logistics_data[[#This Row],[Orginal staus of shipment]]&lt;&gt;"Delivered","not applicabel", IF(logistics_data[[#This Row],[Transit_Days]]&gt;=5,"slow","fast"))</f>
        <v>not applicabel</v>
      </c>
    </row>
    <row r="39" spans="1:14" x14ac:dyDescent="0.3">
      <c r="A39" t="s">
        <v>85</v>
      </c>
      <c r="B39" t="s">
        <v>27</v>
      </c>
      <c r="C39" t="s">
        <v>28</v>
      </c>
      <c r="D39" t="s">
        <v>37</v>
      </c>
      <c r="E39" s="1">
        <v>45236</v>
      </c>
      <c r="F39" s="1">
        <v>45241</v>
      </c>
      <c r="G39">
        <v>26.6</v>
      </c>
      <c r="H39">
        <v>333.35</v>
      </c>
      <c r="I39" t="s">
        <v>15</v>
      </c>
      <c r="J39">
        <v>2209</v>
      </c>
      <c r="K39">
        <v>5</v>
      </c>
      <c r="L39" t="str">
        <f>IF(logistics_data[[#This Row],[Delivery_Date]]="","In Transit",
 IF(logistics_data[[#This Row],[Status]]="Lost","Lost",
 IF(logistics_data[[#This Row],[Status]]="Returned","Returned",
 IF(logistics_data[[#This Row],[Status]]="Delayed","Delayed",
 "Delivered"))))</f>
        <v>Delivered</v>
      </c>
      <c r="M39" s="2">
        <f>logistics_data[[#This Row],[Cost]]/logistics_data[[#This Row],[Distance_miles]]</f>
        <v>0.15090538705296516</v>
      </c>
      <c r="N39" t="str">
        <f>IF(logistics_data[[#This Row],[Orginal staus of shipment]]&lt;&gt;"Delivered","not applicabel", IF(logistics_data[[#This Row],[Transit_Days]]&gt;=5,"slow","fast"))</f>
        <v>slow</v>
      </c>
    </row>
    <row r="40" spans="1:14" x14ac:dyDescent="0.3">
      <c r="A40" t="s">
        <v>86</v>
      </c>
      <c r="B40" t="s">
        <v>27</v>
      </c>
      <c r="C40" t="s">
        <v>40</v>
      </c>
      <c r="D40" t="s">
        <v>42</v>
      </c>
      <c r="E40" s="1">
        <v>45234</v>
      </c>
      <c r="F40" s="1">
        <v>45240</v>
      </c>
      <c r="G40">
        <v>30.7</v>
      </c>
      <c r="H40">
        <v>282.70999999999998</v>
      </c>
      <c r="I40" t="s">
        <v>67</v>
      </c>
      <c r="J40">
        <v>1674</v>
      </c>
      <c r="K40">
        <v>6</v>
      </c>
      <c r="L40" t="str">
        <f>IF(logistics_data[[#This Row],[Delivery_Date]]="","In Transit",
 IF(logistics_data[[#This Row],[Status]]="Lost","Lost",
 IF(logistics_data[[#This Row],[Status]]="Returned","Returned",
 IF(logistics_data[[#This Row],[Status]]="Delayed","Delayed",
 "Delivered"))))</f>
        <v>Returned</v>
      </c>
      <c r="M40" s="2">
        <f>logistics_data[[#This Row],[Cost]]/logistics_data[[#This Row],[Distance_miles]]</f>
        <v>0.16888291517323775</v>
      </c>
      <c r="N40" t="str">
        <f>IF(logistics_data[[#This Row],[Orginal staus of shipment]]&lt;&gt;"Delivered","not applicabel", IF(logistics_data[[#This Row],[Transit_Days]]&gt;=5,"slow","fast"))</f>
        <v>not applicabel</v>
      </c>
    </row>
    <row r="41" spans="1:14" x14ac:dyDescent="0.3">
      <c r="A41" t="s">
        <v>87</v>
      </c>
      <c r="B41" t="s">
        <v>12</v>
      </c>
      <c r="C41" t="s">
        <v>31</v>
      </c>
      <c r="D41" t="s">
        <v>42</v>
      </c>
      <c r="E41" s="1">
        <v>45268</v>
      </c>
      <c r="G41">
        <v>65.2</v>
      </c>
      <c r="H41">
        <v>284.81</v>
      </c>
      <c r="I41" t="s">
        <v>15</v>
      </c>
      <c r="J41">
        <v>1204</v>
      </c>
      <c r="K41">
        <v>3</v>
      </c>
      <c r="L41" t="str">
        <f>IF(logistics_data[[#This Row],[Delivery_Date]]="","In Transit",
 IF(logistics_data[[#This Row],[Status]]="Lost","Lost",
 IF(logistics_data[[#This Row],[Status]]="Returned","Returned",
 IF(logistics_data[[#This Row],[Status]]="Delayed","Delayed",
 "Delivered"))))</f>
        <v>In Transit</v>
      </c>
      <c r="M41" s="2">
        <f>logistics_data[[#This Row],[Cost]]/logistics_data[[#This Row],[Distance_miles]]</f>
        <v>0.23655315614617942</v>
      </c>
      <c r="N41" t="str">
        <f>IF(logistics_data[[#This Row],[Orginal staus of shipment]]&lt;&gt;"Delivered","not applicabel", IF(logistics_data[[#This Row],[Transit_Days]]&gt;=5,"slow","fast"))</f>
        <v>not applicabel</v>
      </c>
    </row>
    <row r="42" spans="1:14" x14ac:dyDescent="0.3">
      <c r="A42" t="s">
        <v>88</v>
      </c>
      <c r="B42" t="s">
        <v>23</v>
      </c>
      <c r="C42" t="s">
        <v>81</v>
      </c>
      <c r="D42" t="s">
        <v>37</v>
      </c>
      <c r="E42" s="1">
        <v>45203</v>
      </c>
      <c r="F42" s="1">
        <v>45209</v>
      </c>
      <c r="G42">
        <v>13.4</v>
      </c>
      <c r="H42">
        <v>209.01</v>
      </c>
      <c r="I42" t="s">
        <v>15</v>
      </c>
      <c r="J42">
        <v>1550</v>
      </c>
      <c r="K42">
        <v>6</v>
      </c>
      <c r="L42" t="str">
        <f>IF(logistics_data[[#This Row],[Delivery_Date]]="","In Transit",
 IF(logistics_data[[#This Row],[Status]]="Lost","Lost",
 IF(logistics_data[[#This Row],[Status]]="Returned","Returned",
 IF(logistics_data[[#This Row],[Status]]="Delayed","Delayed",
 "Delivered"))))</f>
        <v>Delivered</v>
      </c>
      <c r="M42" s="2">
        <f>logistics_data[[#This Row],[Cost]]/logistics_data[[#This Row],[Distance_miles]]</f>
        <v>0.13484516129032256</v>
      </c>
      <c r="N42" t="str">
        <f>IF(logistics_data[[#This Row],[Orginal staus of shipment]]&lt;&gt;"Delivered","not applicabel", IF(logistics_data[[#This Row],[Transit_Days]]&gt;=5,"slow","fast"))</f>
        <v>slow</v>
      </c>
    </row>
    <row r="43" spans="1:14" x14ac:dyDescent="0.3">
      <c r="A43" t="s">
        <v>89</v>
      </c>
      <c r="B43" t="s">
        <v>51</v>
      </c>
      <c r="C43" t="s">
        <v>70</v>
      </c>
      <c r="D43" t="s">
        <v>14</v>
      </c>
      <c r="E43" s="1">
        <v>45059</v>
      </c>
      <c r="F43" s="1">
        <v>45063</v>
      </c>
      <c r="G43">
        <v>31.9</v>
      </c>
      <c r="H43">
        <v>263.06</v>
      </c>
      <c r="I43" t="s">
        <v>15</v>
      </c>
      <c r="J43">
        <v>1696</v>
      </c>
      <c r="K43">
        <v>4</v>
      </c>
      <c r="L43" t="str">
        <f>IF(logistics_data[[#This Row],[Delivery_Date]]="","In Transit",
 IF(logistics_data[[#This Row],[Status]]="Lost","Lost",
 IF(logistics_data[[#This Row],[Status]]="Returned","Returned",
 IF(logistics_data[[#This Row],[Status]]="Delayed","Delayed",
 "Delivered"))))</f>
        <v>Delivered</v>
      </c>
      <c r="M43" s="2">
        <f>logistics_data[[#This Row],[Cost]]/logistics_data[[#This Row],[Distance_miles]]</f>
        <v>0.15510613207547169</v>
      </c>
      <c r="N43" t="str">
        <f>IF(logistics_data[[#This Row],[Orginal staus of shipment]]&lt;&gt;"Delivered","not applicabel", IF(logistics_data[[#This Row],[Transit_Days]]&gt;=5,"slow","fast"))</f>
        <v>fast</v>
      </c>
    </row>
    <row r="44" spans="1:14" x14ac:dyDescent="0.3">
      <c r="A44" t="s">
        <v>90</v>
      </c>
      <c r="B44" t="s">
        <v>51</v>
      </c>
      <c r="C44" t="s">
        <v>70</v>
      </c>
      <c r="D44" t="s">
        <v>59</v>
      </c>
      <c r="E44" s="1">
        <v>45289</v>
      </c>
      <c r="F44" s="1">
        <v>45292</v>
      </c>
      <c r="G44">
        <v>37.799999999999997</v>
      </c>
      <c r="H44">
        <v>129.72999999999999</v>
      </c>
      <c r="I44" t="s">
        <v>15</v>
      </c>
      <c r="J44">
        <v>660</v>
      </c>
      <c r="K44">
        <v>3</v>
      </c>
      <c r="L44" t="str">
        <f>IF(logistics_data[[#This Row],[Delivery_Date]]="","In Transit",
 IF(logistics_data[[#This Row],[Status]]="Lost","Lost",
 IF(logistics_data[[#This Row],[Status]]="Returned","Returned",
 IF(logistics_data[[#This Row],[Status]]="Delayed","Delayed",
 "Delivered"))))</f>
        <v>Delivered</v>
      </c>
      <c r="M44" s="2">
        <f>logistics_data[[#This Row],[Cost]]/logistics_data[[#This Row],[Distance_miles]]</f>
        <v>0.19656060606060605</v>
      </c>
      <c r="N44" t="str">
        <f>IF(logistics_data[[#This Row],[Orginal staus of shipment]]&lt;&gt;"Delivered","not applicabel", IF(logistics_data[[#This Row],[Transit_Days]]&gt;=5,"slow","fast"))</f>
        <v>fast</v>
      </c>
    </row>
    <row r="45" spans="1:14" x14ac:dyDescent="0.3">
      <c r="A45" t="s">
        <v>91</v>
      </c>
      <c r="B45" t="s">
        <v>49</v>
      </c>
      <c r="C45" t="s">
        <v>31</v>
      </c>
      <c r="D45" t="s">
        <v>18</v>
      </c>
      <c r="E45" s="1">
        <v>44994</v>
      </c>
      <c r="F45" s="1">
        <v>44998</v>
      </c>
      <c r="G45">
        <v>17.399999999999999</v>
      </c>
      <c r="H45">
        <v>194.58</v>
      </c>
      <c r="I45" t="s">
        <v>15</v>
      </c>
      <c r="J45">
        <v>1153</v>
      </c>
      <c r="K45">
        <v>4</v>
      </c>
      <c r="L45" t="str">
        <f>IF(logistics_data[[#This Row],[Delivery_Date]]="","In Transit",
 IF(logistics_data[[#This Row],[Status]]="Lost","Lost",
 IF(logistics_data[[#This Row],[Status]]="Returned","Returned",
 IF(logistics_data[[#This Row],[Status]]="Delayed","Delayed",
 "Delivered"))))</f>
        <v>Delivered</v>
      </c>
      <c r="M45" s="2">
        <f>logistics_data[[#This Row],[Cost]]/logistics_data[[#This Row],[Distance_miles]]</f>
        <v>0.16875975715524719</v>
      </c>
      <c r="N45" t="str">
        <f>IF(logistics_data[[#This Row],[Orginal staus of shipment]]&lt;&gt;"Delivered","not applicabel", IF(logistics_data[[#This Row],[Transit_Days]]&gt;=5,"slow","fast"))</f>
        <v>fast</v>
      </c>
    </row>
    <row r="46" spans="1:14" x14ac:dyDescent="0.3">
      <c r="A46" t="s">
        <v>92</v>
      </c>
      <c r="B46" t="s">
        <v>35</v>
      </c>
      <c r="C46" t="s">
        <v>13</v>
      </c>
      <c r="D46" t="s">
        <v>25</v>
      </c>
      <c r="E46" s="1">
        <v>45054</v>
      </c>
      <c r="F46" s="1">
        <v>45057</v>
      </c>
      <c r="G46">
        <v>4.7</v>
      </c>
      <c r="H46">
        <v>49.68</v>
      </c>
      <c r="I46" t="s">
        <v>15</v>
      </c>
      <c r="J46">
        <v>343</v>
      </c>
      <c r="K46">
        <v>3</v>
      </c>
      <c r="L46" t="str">
        <f>IF(logistics_data[[#This Row],[Delivery_Date]]="","In Transit",
 IF(logistics_data[[#This Row],[Status]]="Lost","Lost",
 IF(logistics_data[[#This Row],[Status]]="Returned","Returned",
 IF(logistics_data[[#This Row],[Status]]="Delayed","Delayed",
 "Delivered"))))</f>
        <v>Delivered</v>
      </c>
      <c r="M46" s="2">
        <f>logistics_data[[#This Row],[Cost]]/logistics_data[[#This Row],[Distance_miles]]</f>
        <v>0.1448396501457726</v>
      </c>
      <c r="N46" t="str">
        <f>IF(logistics_data[[#This Row],[Orginal staus of shipment]]&lt;&gt;"Delivered","not applicabel", IF(logistics_data[[#This Row],[Transit_Days]]&gt;=5,"slow","fast"))</f>
        <v>fast</v>
      </c>
    </row>
    <row r="47" spans="1:14" x14ac:dyDescent="0.3">
      <c r="A47" t="s">
        <v>93</v>
      </c>
      <c r="B47" t="s">
        <v>51</v>
      </c>
      <c r="C47" t="s">
        <v>54</v>
      </c>
      <c r="D47" t="s">
        <v>42</v>
      </c>
      <c r="E47" s="1">
        <v>45040</v>
      </c>
      <c r="F47" s="1">
        <v>45045</v>
      </c>
      <c r="G47">
        <v>29.7</v>
      </c>
      <c r="H47">
        <v>245.98</v>
      </c>
      <c r="I47" t="s">
        <v>15</v>
      </c>
      <c r="J47">
        <v>1973</v>
      </c>
      <c r="K47">
        <v>5</v>
      </c>
      <c r="L47" t="str">
        <f>IF(logistics_data[[#This Row],[Delivery_Date]]="","In Transit",
 IF(logistics_data[[#This Row],[Status]]="Lost","Lost",
 IF(logistics_data[[#This Row],[Status]]="Returned","Returned",
 IF(logistics_data[[#This Row],[Status]]="Delayed","Delayed",
 "Delivered"))))</f>
        <v>Delivered</v>
      </c>
      <c r="M47" s="2">
        <f>logistics_data[[#This Row],[Cost]]/logistics_data[[#This Row],[Distance_miles]]</f>
        <v>0.1246730866700456</v>
      </c>
      <c r="N47" t="str">
        <f>IF(logistics_data[[#This Row],[Orginal staus of shipment]]&lt;&gt;"Delivered","not applicabel", IF(logistics_data[[#This Row],[Transit_Days]]&gt;=5,"slow","fast"))</f>
        <v>slow</v>
      </c>
    </row>
    <row r="48" spans="1:14" x14ac:dyDescent="0.3">
      <c r="A48" t="s">
        <v>94</v>
      </c>
      <c r="B48" t="s">
        <v>20</v>
      </c>
      <c r="C48" t="s">
        <v>70</v>
      </c>
      <c r="D48" t="s">
        <v>18</v>
      </c>
      <c r="E48" s="1">
        <v>45174</v>
      </c>
      <c r="F48" s="1">
        <v>45180</v>
      </c>
      <c r="G48">
        <v>9</v>
      </c>
      <c r="H48">
        <v>356.77</v>
      </c>
      <c r="I48" t="s">
        <v>15</v>
      </c>
      <c r="J48">
        <v>2335</v>
      </c>
      <c r="K48">
        <v>6</v>
      </c>
      <c r="L48" t="str">
        <f>IF(logistics_data[[#This Row],[Delivery_Date]]="","In Transit",
 IF(logistics_data[[#This Row],[Status]]="Lost","Lost",
 IF(logistics_data[[#This Row],[Status]]="Returned","Returned",
 IF(logistics_data[[#This Row],[Status]]="Delayed","Delayed",
 "Delivered"))))</f>
        <v>Delivered</v>
      </c>
      <c r="M48" s="2">
        <f>logistics_data[[#This Row],[Cost]]/logistics_data[[#This Row],[Distance_miles]]</f>
        <v>0.15279229122055674</v>
      </c>
      <c r="N48" t="str">
        <f>IF(logistics_data[[#This Row],[Orginal staus of shipment]]&lt;&gt;"Delivered","not applicabel", IF(logistics_data[[#This Row],[Transit_Days]]&gt;=5,"slow","fast"))</f>
        <v>slow</v>
      </c>
    </row>
    <row r="49" spans="1:14" x14ac:dyDescent="0.3">
      <c r="A49" t="s">
        <v>95</v>
      </c>
      <c r="B49" t="s">
        <v>27</v>
      </c>
      <c r="C49" t="s">
        <v>28</v>
      </c>
      <c r="D49" t="s">
        <v>59</v>
      </c>
      <c r="E49" s="1">
        <v>44943</v>
      </c>
      <c r="F49" s="1">
        <v>44946</v>
      </c>
      <c r="G49">
        <v>25.4</v>
      </c>
      <c r="H49">
        <v>127.22</v>
      </c>
      <c r="I49" t="s">
        <v>15</v>
      </c>
      <c r="J49">
        <v>816</v>
      </c>
      <c r="K49">
        <v>3</v>
      </c>
      <c r="L49" t="str">
        <f>IF(logistics_data[[#This Row],[Delivery_Date]]="","In Transit",
 IF(logistics_data[[#This Row],[Status]]="Lost","Lost",
 IF(logistics_data[[#This Row],[Status]]="Returned","Returned",
 IF(logistics_data[[#This Row],[Status]]="Delayed","Delayed",
 "Delivered"))))</f>
        <v>Delivered</v>
      </c>
      <c r="M49" s="2">
        <f>logistics_data[[#This Row],[Cost]]/logistics_data[[#This Row],[Distance_miles]]</f>
        <v>0.15590686274509805</v>
      </c>
      <c r="N49" t="str">
        <f>IF(logistics_data[[#This Row],[Orginal staus of shipment]]&lt;&gt;"Delivered","not applicabel", IF(logistics_data[[#This Row],[Transit_Days]]&gt;=5,"slow","fast"))</f>
        <v>fast</v>
      </c>
    </row>
    <row r="50" spans="1:14" x14ac:dyDescent="0.3">
      <c r="A50" t="s">
        <v>96</v>
      </c>
      <c r="B50" t="s">
        <v>27</v>
      </c>
      <c r="C50" t="s">
        <v>52</v>
      </c>
      <c r="D50" t="s">
        <v>42</v>
      </c>
      <c r="E50" s="1">
        <v>45039</v>
      </c>
      <c r="F50" s="1">
        <v>45046</v>
      </c>
      <c r="G50">
        <v>14.2</v>
      </c>
      <c r="H50">
        <v>248.03</v>
      </c>
      <c r="I50" t="s">
        <v>15</v>
      </c>
      <c r="J50">
        <v>1758</v>
      </c>
      <c r="K50">
        <v>7</v>
      </c>
      <c r="L50" t="str">
        <f>IF(logistics_data[[#This Row],[Delivery_Date]]="","In Transit",
 IF(logistics_data[[#This Row],[Status]]="Lost","Lost",
 IF(logistics_data[[#This Row],[Status]]="Returned","Returned",
 IF(logistics_data[[#This Row],[Status]]="Delayed","Delayed",
 "Delivered"))))</f>
        <v>Delivered</v>
      </c>
      <c r="M50" s="2">
        <f>logistics_data[[#This Row],[Cost]]/logistics_data[[#This Row],[Distance_miles]]</f>
        <v>0.14108646188850968</v>
      </c>
      <c r="N50" t="str">
        <f>IF(logistics_data[[#This Row],[Orginal staus of shipment]]&lt;&gt;"Delivered","not applicabel", IF(logistics_data[[#This Row],[Transit_Days]]&gt;=5,"slow","fast"))</f>
        <v>slow</v>
      </c>
    </row>
    <row r="51" spans="1:14" x14ac:dyDescent="0.3">
      <c r="A51" t="s">
        <v>97</v>
      </c>
      <c r="B51" t="s">
        <v>12</v>
      </c>
      <c r="C51" t="s">
        <v>46</v>
      </c>
      <c r="D51" t="s">
        <v>14</v>
      </c>
      <c r="E51" s="1">
        <v>44933</v>
      </c>
      <c r="F51" s="1">
        <v>44937</v>
      </c>
      <c r="G51">
        <v>84.1</v>
      </c>
      <c r="H51">
        <v>251.24</v>
      </c>
      <c r="I51" t="s">
        <v>15</v>
      </c>
      <c r="J51">
        <v>1010</v>
      </c>
      <c r="K51">
        <v>4</v>
      </c>
      <c r="L51" t="str">
        <f>IF(logistics_data[[#This Row],[Delivery_Date]]="","In Transit",
 IF(logistics_data[[#This Row],[Status]]="Lost","Lost",
 IF(logistics_data[[#This Row],[Status]]="Returned","Returned",
 IF(logistics_data[[#This Row],[Status]]="Delayed","Delayed",
 "Delivered"))))</f>
        <v>Delivered</v>
      </c>
      <c r="M51" s="2">
        <f>logistics_data[[#This Row],[Cost]]/logistics_data[[#This Row],[Distance_miles]]</f>
        <v>0.24875247524752475</v>
      </c>
      <c r="N51" t="str">
        <f>IF(logistics_data[[#This Row],[Orginal staus of shipment]]&lt;&gt;"Delivered","not applicabel", IF(logistics_data[[#This Row],[Transit_Days]]&gt;=5,"slow","fast"))</f>
        <v>fast</v>
      </c>
    </row>
    <row r="52" spans="1:14" x14ac:dyDescent="0.3">
      <c r="A52" t="s">
        <v>98</v>
      </c>
      <c r="B52" t="s">
        <v>12</v>
      </c>
      <c r="C52" t="s">
        <v>31</v>
      </c>
      <c r="D52" t="s">
        <v>32</v>
      </c>
      <c r="E52" s="1">
        <v>45144</v>
      </c>
      <c r="F52" s="1">
        <v>45160</v>
      </c>
      <c r="G52">
        <v>29.5</v>
      </c>
      <c r="H52">
        <v>340.07</v>
      </c>
      <c r="I52" t="s">
        <v>47</v>
      </c>
      <c r="J52">
        <v>2396</v>
      </c>
      <c r="K52">
        <v>6</v>
      </c>
      <c r="L52" t="str">
        <f>IF(logistics_data[[#This Row],[Delivery_Date]]="","In Transit",
 IF(logistics_data[[#This Row],[Status]]="Lost","Lost",
 IF(logistics_data[[#This Row],[Status]]="Returned","Returned",
 IF(logistics_data[[#This Row],[Status]]="Delayed","Delayed",
 "Delivered"))))</f>
        <v>Delayed</v>
      </c>
      <c r="M52" s="2">
        <f>logistics_data[[#This Row],[Cost]]/logistics_data[[#This Row],[Distance_miles]]</f>
        <v>0.14193238731218696</v>
      </c>
      <c r="N52" t="str">
        <f>IF(logistics_data[[#This Row],[Orginal staus of shipment]]&lt;&gt;"Delivered","not applicabel", IF(logistics_data[[#This Row],[Transit_Days]]&gt;=5,"slow","fast"))</f>
        <v>not applicabel</v>
      </c>
    </row>
    <row r="53" spans="1:14" x14ac:dyDescent="0.3">
      <c r="A53" t="s">
        <v>99</v>
      </c>
      <c r="B53" t="s">
        <v>49</v>
      </c>
      <c r="C53" t="s">
        <v>57</v>
      </c>
      <c r="D53" t="s">
        <v>59</v>
      </c>
      <c r="E53" s="1">
        <v>44980</v>
      </c>
      <c r="F53" s="1">
        <v>44985</v>
      </c>
      <c r="G53">
        <v>19.600000000000001</v>
      </c>
      <c r="H53">
        <v>156.03</v>
      </c>
      <c r="I53" t="s">
        <v>15</v>
      </c>
      <c r="J53">
        <v>1267</v>
      </c>
      <c r="K53">
        <v>5</v>
      </c>
      <c r="L53" t="str">
        <f>IF(logistics_data[[#This Row],[Delivery_Date]]="","In Transit",
 IF(logistics_data[[#This Row],[Status]]="Lost","Lost",
 IF(logistics_data[[#This Row],[Status]]="Returned","Returned",
 IF(logistics_data[[#This Row],[Status]]="Delayed","Delayed",
 "Delivered"))))</f>
        <v>Delivered</v>
      </c>
      <c r="M53" s="2">
        <f>logistics_data[[#This Row],[Cost]]/logistics_data[[#This Row],[Distance_miles]]</f>
        <v>0.12314917127071823</v>
      </c>
      <c r="N53" t="str">
        <f>IF(logistics_data[[#This Row],[Orginal staus of shipment]]&lt;&gt;"Delivered","not applicabel", IF(logistics_data[[#This Row],[Transit_Days]]&gt;=5,"slow","fast"))</f>
        <v>slow</v>
      </c>
    </row>
    <row r="54" spans="1:14" x14ac:dyDescent="0.3">
      <c r="A54" t="s">
        <v>100</v>
      </c>
      <c r="B54" t="s">
        <v>23</v>
      </c>
      <c r="C54" t="s">
        <v>44</v>
      </c>
      <c r="D54" t="s">
        <v>37</v>
      </c>
      <c r="E54" s="1">
        <v>44953</v>
      </c>
      <c r="F54" s="1">
        <v>44958</v>
      </c>
      <c r="G54">
        <v>25.9</v>
      </c>
      <c r="H54">
        <v>206.17</v>
      </c>
      <c r="I54" t="s">
        <v>15</v>
      </c>
      <c r="J54">
        <v>1365</v>
      </c>
      <c r="K54">
        <v>5</v>
      </c>
      <c r="L54" t="str">
        <f>IF(logistics_data[[#This Row],[Delivery_Date]]="","In Transit",
 IF(logistics_data[[#This Row],[Status]]="Lost","Lost",
 IF(logistics_data[[#This Row],[Status]]="Returned","Returned",
 IF(logistics_data[[#This Row],[Status]]="Delayed","Delayed",
 "Delivered"))))</f>
        <v>Delivered</v>
      </c>
      <c r="M54" s="2">
        <f>logistics_data[[#This Row],[Cost]]/logistics_data[[#This Row],[Distance_miles]]</f>
        <v>0.15104029304029304</v>
      </c>
      <c r="N54" t="str">
        <f>IF(logistics_data[[#This Row],[Orginal staus of shipment]]&lt;&gt;"Delivered","not applicabel", IF(logistics_data[[#This Row],[Transit_Days]]&gt;=5,"slow","fast"))</f>
        <v>slow</v>
      </c>
    </row>
    <row r="55" spans="1:14" x14ac:dyDescent="0.3">
      <c r="A55" t="s">
        <v>101</v>
      </c>
      <c r="B55" t="s">
        <v>23</v>
      </c>
      <c r="C55" t="s">
        <v>28</v>
      </c>
      <c r="D55" t="s">
        <v>14</v>
      </c>
      <c r="E55" s="1">
        <v>44975</v>
      </c>
      <c r="F55" s="1">
        <v>44980</v>
      </c>
      <c r="G55">
        <v>26.6</v>
      </c>
      <c r="H55">
        <v>277.97000000000003</v>
      </c>
      <c r="I55" t="s">
        <v>15</v>
      </c>
      <c r="J55">
        <v>1847</v>
      </c>
      <c r="K55">
        <v>5</v>
      </c>
      <c r="L55" t="str">
        <f>IF(logistics_data[[#This Row],[Delivery_Date]]="","In Transit",
 IF(logistics_data[[#This Row],[Status]]="Lost","Lost",
 IF(logistics_data[[#This Row],[Status]]="Returned","Returned",
 IF(logistics_data[[#This Row],[Status]]="Delayed","Delayed",
 "Delivered"))))</f>
        <v>Delivered</v>
      </c>
      <c r="M55" s="2">
        <f>logistics_data[[#This Row],[Cost]]/logistics_data[[#This Row],[Distance_miles]]</f>
        <v>0.15049810503519223</v>
      </c>
      <c r="N55" t="str">
        <f>IF(logistics_data[[#This Row],[Orginal staus of shipment]]&lt;&gt;"Delivered","not applicabel", IF(logistics_data[[#This Row],[Transit_Days]]&gt;=5,"slow","fast"))</f>
        <v>slow</v>
      </c>
    </row>
    <row r="56" spans="1:14" x14ac:dyDescent="0.3">
      <c r="A56" t="s">
        <v>102</v>
      </c>
      <c r="B56" t="s">
        <v>56</v>
      </c>
      <c r="C56" t="s">
        <v>57</v>
      </c>
      <c r="D56" t="s">
        <v>42</v>
      </c>
      <c r="E56" s="1">
        <v>45057</v>
      </c>
      <c r="F56" s="1">
        <v>45063</v>
      </c>
      <c r="G56">
        <v>31.6</v>
      </c>
      <c r="H56">
        <v>283.13</v>
      </c>
      <c r="I56" t="s">
        <v>15</v>
      </c>
      <c r="J56">
        <v>2249</v>
      </c>
      <c r="K56">
        <v>6</v>
      </c>
      <c r="L56" t="str">
        <f>IF(logistics_data[[#This Row],[Delivery_Date]]="","In Transit",
 IF(logistics_data[[#This Row],[Status]]="Lost","Lost",
 IF(logistics_data[[#This Row],[Status]]="Returned","Returned",
 IF(logistics_data[[#This Row],[Status]]="Delayed","Delayed",
 "Delivered"))))</f>
        <v>Delivered</v>
      </c>
      <c r="M56" s="2">
        <f>logistics_data[[#This Row],[Cost]]/logistics_data[[#This Row],[Distance_miles]]</f>
        <v>0.12589150733659404</v>
      </c>
      <c r="N56" t="str">
        <f>IF(logistics_data[[#This Row],[Orginal staus of shipment]]&lt;&gt;"Delivered","not applicabel", IF(logistics_data[[#This Row],[Transit_Days]]&gt;=5,"slow","fast"))</f>
        <v>slow</v>
      </c>
    </row>
    <row r="57" spans="1:14" x14ac:dyDescent="0.3">
      <c r="A57" t="s">
        <v>103</v>
      </c>
      <c r="B57" t="s">
        <v>35</v>
      </c>
      <c r="C57" t="s">
        <v>44</v>
      </c>
      <c r="D57" t="s">
        <v>25</v>
      </c>
      <c r="E57" s="1">
        <v>45196</v>
      </c>
      <c r="F57" s="1">
        <v>45199</v>
      </c>
      <c r="G57">
        <v>24.7</v>
      </c>
      <c r="H57">
        <v>68.63</v>
      </c>
      <c r="I57" t="s">
        <v>15</v>
      </c>
      <c r="J57">
        <v>342</v>
      </c>
      <c r="K57">
        <v>3</v>
      </c>
      <c r="L57" t="str">
        <f>IF(logistics_data[[#This Row],[Delivery_Date]]="","In Transit",
 IF(logistics_data[[#This Row],[Status]]="Lost","Lost",
 IF(logistics_data[[#This Row],[Status]]="Returned","Returned",
 IF(logistics_data[[#This Row],[Status]]="Delayed","Delayed",
 "Delivered"))))</f>
        <v>Delivered</v>
      </c>
      <c r="M57" s="2">
        <f>logistics_data[[#This Row],[Cost]]/logistics_data[[#This Row],[Distance_miles]]</f>
        <v>0.20067251461988303</v>
      </c>
      <c r="N57" t="str">
        <f>IF(logistics_data[[#This Row],[Orginal staus of shipment]]&lt;&gt;"Delivered","not applicabel", IF(logistics_data[[#This Row],[Transit_Days]]&gt;=5,"slow","fast"))</f>
        <v>fast</v>
      </c>
    </row>
    <row r="58" spans="1:14" x14ac:dyDescent="0.3">
      <c r="A58" t="s">
        <v>104</v>
      </c>
      <c r="B58" t="s">
        <v>27</v>
      </c>
      <c r="C58" t="s">
        <v>57</v>
      </c>
      <c r="D58" t="s">
        <v>42</v>
      </c>
      <c r="E58" s="1">
        <v>45030</v>
      </c>
      <c r="F58" s="1">
        <v>45035</v>
      </c>
      <c r="G58">
        <v>23.2</v>
      </c>
      <c r="H58">
        <v>231.64</v>
      </c>
      <c r="I58" t="s">
        <v>15</v>
      </c>
      <c r="J58">
        <v>1913</v>
      </c>
      <c r="K58">
        <v>5</v>
      </c>
      <c r="L58" t="str">
        <f>IF(logistics_data[[#This Row],[Delivery_Date]]="","In Transit",
 IF(logistics_data[[#This Row],[Status]]="Lost","Lost",
 IF(logistics_data[[#This Row],[Status]]="Returned","Returned",
 IF(logistics_data[[#This Row],[Status]]="Delayed","Delayed",
 "Delivered"))))</f>
        <v>Delivered</v>
      </c>
      <c r="M58" s="2">
        <f>logistics_data[[#This Row],[Cost]]/logistics_data[[#This Row],[Distance_miles]]</f>
        <v>0.12108729743857814</v>
      </c>
      <c r="N58" t="str">
        <f>IF(logistics_data[[#This Row],[Orginal staus of shipment]]&lt;&gt;"Delivered","not applicabel", IF(logistics_data[[#This Row],[Transit_Days]]&gt;=5,"slow","fast"))</f>
        <v>slow</v>
      </c>
    </row>
    <row r="59" spans="1:14" x14ac:dyDescent="0.3">
      <c r="A59" t="s">
        <v>105</v>
      </c>
      <c r="B59" t="s">
        <v>39</v>
      </c>
      <c r="C59" t="s">
        <v>70</v>
      </c>
      <c r="D59" t="s">
        <v>42</v>
      </c>
      <c r="E59" s="1">
        <v>45225</v>
      </c>
      <c r="F59" s="1">
        <v>45228</v>
      </c>
      <c r="G59">
        <v>6.8</v>
      </c>
      <c r="H59">
        <v>42.06</v>
      </c>
      <c r="I59" t="s">
        <v>60</v>
      </c>
      <c r="J59">
        <v>255</v>
      </c>
      <c r="K59">
        <v>3</v>
      </c>
      <c r="L59" t="str">
        <f>IF(logistics_data[[#This Row],[Delivery_Date]]="","In Transit",
 IF(logistics_data[[#This Row],[Status]]="Lost","Lost",
 IF(logistics_data[[#This Row],[Status]]="Returned","Returned",
 IF(logistics_data[[#This Row],[Status]]="Delayed","Delayed",
 "Delivered"))))</f>
        <v>Lost</v>
      </c>
      <c r="M59" s="2">
        <f>logistics_data[[#This Row],[Cost]]/logistics_data[[#This Row],[Distance_miles]]</f>
        <v>0.16494117647058826</v>
      </c>
      <c r="N59" t="str">
        <f>IF(logistics_data[[#This Row],[Orginal staus of shipment]]&lt;&gt;"Delivered","not applicabel", IF(logistics_data[[#This Row],[Transit_Days]]&gt;=5,"slow","fast"))</f>
        <v>not applicabel</v>
      </c>
    </row>
    <row r="60" spans="1:14" x14ac:dyDescent="0.3">
      <c r="A60" t="s">
        <v>106</v>
      </c>
      <c r="B60" t="s">
        <v>27</v>
      </c>
      <c r="C60" t="s">
        <v>70</v>
      </c>
      <c r="D60" t="s">
        <v>59</v>
      </c>
      <c r="E60" s="1">
        <v>45210</v>
      </c>
      <c r="F60" s="1">
        <v>45212</v>
      </c>
      <c r="G60">
        <v>8.9</v>
      </c>
      <c r="H60">
        <v>78.37</v>
      </c>
      <c r="I60" t="s">
        <v>15</v>
      </c>
      <c r="J60">
        <v>600</v>
      </c>
      <c r="K60">
        <v>2</v>
      </c>
      <c r="L60" t="str">
        <f>IF(logistics_data[[#This Row],[Delivery_Date]]="","In Transit",
 IF(logistics_data[[#This Row],[Status]]="Lost","Lost",
 IF(logistics_data[[#This Row],[Status]]="Returned","Returned",
 IF(logistics_data[[#This Row],[Status]]="Delayed","Delayed",
 "Delivered"))))</f>
        <v>Delivered</v>
      </c>
      <c r="M60" s="2">
        <f>logistics_data[[#This Row],[Cost]]/logistics_data[[#This Row],[Distance_miles]]</f>
        <v>0.13061666666666669</v>
      </c>
      <c r="N60" t="str">
        <f>IF(logistics_data[[#This Row],[Orginal staus of shipment]]&lt;&gt;"Delivered","not applicabel", IF(logistics_data[[#This Row],[Transit_Days]]&gt;=5,"slow","fast"))</f>
        <v>fast</v>
      </c>
    </row>
    <row r="61" spans="1:14" x14ac:dyDescent="0.3">
      <c r="A61" t="s">
        <v>107</v>
      </c>
      <c r="B61" t="s">
        <v>23</v>
      </c>
      <c r="C61" t="s">
        <v>13</v>
      </c>
      <c r="D61" t="s">
        <v>25</v>
      </c>
      <c r="E61" s="1">
        <v>45231</v>
      </c>
      <c r="F61" s="1">
        <v>45236</v>
      </c>
      <c r="G61">
        <v>28.5</v>
      </c>
      <c r="H61">
        <v>128.94</v>
      </c>
      <c r="I61" t="s">
        <v>15</v>
      </c>
      <c r="J61">
        <v>622</v>
      </c>
      <c r="K61">
        <v>5</v>
      </c>
      <c r="L61" t="str">
        <f>IF(logistics_data[[#This Row],[Delivery_Date]]="","In Transit",
 IF(logistics_data[[#This Row],[Status]]="Lost","Lost",
 IF(logistics_data[[#This Row],[Status]]="Returned","Returned",
 IF(logistics_data[[#This Row],[Status]]="Delayed","Delayed",
 "Delivered"))))</f>
        <v>Delivered</v>
      </c>
      <c r="M61" s="2">
        <f>logistics_data[[#This Row],[Cost]]/logistics_data[[#This Row],[Distance_miles]]</f>
        <v>0.20729903536977493</v>
      </c>
      <c r="N61" t="str">
        <f>IF(logistics_data[[#This Row],[Orginal staus of shipment]]&lt;&gt;"Delivered","not applicabel", IF(logistics_data[[#This Row],[Transit_Days]]&gt;=5,"slow","fast"))</f>
        <v>slow</v>
      </c>
    </row>
    <row r="62" spans="1:14" x14ac:dyDescent="0.3">
      <c r="A62" t="s">
        <v>108</v>
      </c>
      <c r="B62" t="s">
        <v>39</v>
      </c>
      <c r="C62" t="s">
        <v>81</v>
      </c>
      <c r="D62" t="s">
        <v>25</v>
      </c>
      <c r="E62" s="1">
        <v>45209</v>
      </c>
      <c r="F62" s="1">
        <v>45212</v>
      </c>
      <c r="G62">
        <v>59.8</v>
      </c>
      <c r="H62">
        <v>196.89</v>
      </c>
      <c r="I62" t="s">
        <v>15</v>
      </c>
      <c r="J62">
        <v>1030</v>
      </c>
      <c r="K62">
        <v>3</v>
      </c>
      <c r="L62" t="str">
        <f>IF(logistics_data[[#This Row],[Delivery_Date]]="","In Transit",
 IF(logistics_data[[#This Row],[Status]]="Lost","Lost",
 IF(logistics_data[[#This Row],[Status]]="Returned","Returned",
 IF(logistics_data[[#This Row],[Status]]="Delayed","Delayed",
 "Delivered"))))</f>
        <v>Delivered</v>
      </c>
      <c r="M62" s="2">
        <f>logistics_data[[#This Row],[Cost]]/logistics_data[[#This Row],[Distance_miles]]</f>
        <v>0.19115533980582522</v>
      </c>
      <c r="N62" t="str">
        <f>IF(logistics_data[[#This Row],[Orginal staus of shipment]]&lt;&gt;"Delivered","not applicabel", IF(logistics_data[[#This Row],[Transit_Days]]&gt;=5,"slow","fast"))</f>
        <v>fast</v>
      </c>
    </row>
    <row r="63" spans="1:14" x14ac:dyDescent="0.3">
      <c r="A63" t="s">
        <v>109</v>
      </c>
      <c r="B63" t="s">
        <v>30</v>
      </c>
      <c r="C63" t="s">
        <v>44</v>
      </c>
      <c r="D63" t="s">
        <v>42</v>
      </c>
      <c r="E63" s="1">
        <v>45142</v>
      </c>
      <c r="F63" s="1">
        <v>45145</v>
      </c>
      <c r="G63">
        <v>9.8000000000000007</v>
      </c>
      <c r="H63">
        <v>93.3</v>
      </c>
      <c r="I63" t="s">
        <v>15</v>
      </c>
      <c r="J63">
        <v>708</v>
      </c>
      <c r="K63">
        <v>3</v>
      </c>
      <c r="L63" t="str">
        <f>IF(logistics_data[[#This Row],[Delivery_Date]]="","In Transit",
 IF(logistics_data[[#This Row],[Status]]="Lost","Lost",
 IF(logistics_data[[#This Row],[Status]]="Returned","Returned",
 IF(logistics_data[[#This Row],[Status]]="Delayed","Delayed",
 "Delivered"))))</f>
        <v>Delivered</v>
      </c>
      <c r="M63" s="2">
        <f>logistics_data[[#This Row],[Cost]]/logistics_data[[#This Row],[Distance_miles]]</f>
        <v>0.13177966101694916</v>
      </c>
      <c r="N63" t="str">
        <f>IF(logistics_data[[#This Row],[Orginal staus of shipment]]&lt;&gt;"Delivered","not applicabel", IF(logistics_data[[#This Row],[Transit_Days]]&gt;=5,"slow","fast"))</f>
        <v>fast</v>
      </c>
    </row>
    <row r="64" spans="1:14" x14ac:dyDescent="0.3">
      <c r="A64" t="s">
        <v>110</v>
      </c>
      <c r="B64" t="s">
        <v>49</v>
      </c>
      <c r="C64" t="s">
        <v>40</v>
      </c>
      <c r="D64" t="s">
        <v>32</v>
      </c>
      <c r="E64" s="1">
        <v>45069</v>
      </c>
      <c r="F64" s="1">
        <v>45087</v>
      </c>
      <c r="G64">
        <v>61.9</v>
      </c>
      <c r="H64">
        <v>316.41000000000003</v>
      </c>
      <c r="I64" t="s">
        <v>47</v>
      </c>
      <c r="J64">
        <v>1914</v>
      </c>
      <c r="K64">
        <v>5</v>
      </c>
      <c r="L64" t="str">
        <f>IF(logistics_data[[#This Row],[Delivery_Date]]="","In Transit",
 IF(logistics_data[[#This Row],[Status]]="Lost","Lost",
 IF(logistics_data[[#This Row],[Status]]="Returned","Returned",
 IF(logistics_data[[#This Row],[Status]]="Delayed","Delayed",
 "Delivered"))))</f>
        <v>Delayed</v>
      </c>
      <c r="M64" s="2">
        <f>logistics_data[[#This Row],[Cost]]/logistics_data[[#This Row],[Distance_miles]]</f>
        <v>0.16531347962382448</v>
      </c>
      <c r="N64" t="str">
        <f>IF(logistics_data[[#This Row],[Orginal staus of shipment]]&lt;&gt;"Delivered","not applicabel", IF(logistics_data[[#This Row],[Transit_Days]]&gt;=5,"slow","fast"))</f>
        <v>not applicabel</v>
      </c>
    </row>
    <row r="65" spans="1:14" x14ac:dyDescent="0.3">
      <c r="A65" t="s">
        <v>111</v>
      </c>
      <c r="B65" t="s">
        <v>23</v>
      </c>
      <c r="C65" t="s">
        <v>70</v>
      </c>
      <c r="D65" t="s">
        <v>14</v>
      </c>
      <c r="E65" s="1">
        <v>45123</v>
      </c>
      <c r="F65" s="1">
        <v>45126</v>
      </c>
      <c r="G65">
        <v>25.6</v>
      </c>
      <c r="H65">
        <v>128.53</v>
      </c>
      <c r="I65" t="s">
        <v>15</v>
      </c>
      <c r="J65">
        <v>740</v>
      </c>
      <c r="K65">
        <v>3</v>
      </c>
      <c r="L65" t="str">
        <f>IF(logistics_data[[#This Row],[Delivery_Date]]="","In Transit",
 IF(logistics_data[[#This Row],[Status]]="Lost","Lost",
 IF(logistics_data[[#This Row],[Status]]="Returned","Returned",
 IF(logistics_data[[#This Row],[Status]]="Delayed","Delayed",
 "Delivered"))))</f>
        <v>Delivered</v>
      </c>
      <c r="M65" s="2">
        <f>logistics_data[[#This Row],[Cost]]/logistics_data[[#This Row],[Distance_miles]]</f>
        <v>0.17368918918918919</v>
      </c>
      <c r="N65" t="str">
        <f>IF(logistics_data[[#This Row],[Orginal staus of shipment]]&lt;&gt;"Delivered","not applicabel", IF(logistics_data[[#This Row],[Transit_Days]]&gt;=5,"slow","fast"))</f>
        <v>fast</v>
      </c>
    </row>
    <row r="66" spans="1:14" x14ac:dyDescent="0.3">
      <c r="A66" t="s">
        <v>112</v>
      </c>
      <c r="B66" t="s">
        <v>35</v>
      </c>
      <c r="C66" t="s">
        <v>70</v>
      </c>
      <c r="D66" t="s">
        <v>14</v>
      </c>
      <c r="E66" s="1">
        <v>45212</v>
      </c>
      <c r="F66" s="1">
        <v>45215</v>
      </c>
      <c r="G66">
        <v>67.599999999999994</v>
      </c>
      <c r="H66">
        <v>232.32</v>
      </c>
      <c r="I66" t="s">
        <v>15</v>
      </c>
      <c r="J66">
        <v>1007</v>
      </c>
      <c r="K66">
        <v>3</v>
      </c>
      <c r="L66" t="str">
        <f>IF(logistics_data[[#This Row],[Delivery_Date]]="","In Transit",
 IF(logistics_data[[#This Row],[Status]]="Lost","Lost",
 IF(logistics_data[[#This Row],[Status]]="Returned","Returned",
 IF(logistics_data[[#This Row],[Status]]="Delayed","Delayed",
 "Delivered"))))</f>
        <v>Delivered</v>
      </c>
      <c r="M66" s="2">
        <f>logistics_data[[#This Row],[Cost]]/logistics_data[[#This Row],[Distance_miles]]</f>
        <v>0.23070506454816286</v>
      </c>
      <c r="N66" t="str">
        <f>IF(logistics_data[[#This Row],[Orginal staus of shipment]]&lt;&gt;"Delivered","not applicabel", IF(logistics_data[[#This Row],[Transit_Days]]&gt;=5,"slow","fast"))</f>
        <v>fast</v>
      </c>
    </row>
    <row r="67" spans="1:14" x14ac:dyDescent="0.3">
      <c r="A67" t="s">
        <v>113</v>
      </c>
      <c r="B67" t="s">
        <v>20</v>
      </c>
      <c r="C67" t="s">
        <v>54</v>
      </c>
      <c r="D67" t="s">
        <v>42</v>
      </c>
      <c r="E67" s="1">
        <v>45039</v>
      </c>
      <c r="F67" s="1">
        <v>45043</v>
      </c>
      <c r="G67">
        <v>50.3</v>
      </c>
      <c r="H67">
        <v>152.13</v>
      </c>
      <c r="I67" t="s">
        <v>15</v>
      </c>
      <c r="J67">
        <v>864</v>
      </c>
      <c r="K67">
        <v>4</v>
      </c>
      <c r="L67" t="str">
        <f>IF(logistics_data[[#This Row],[Delivery_Date]]="","In Transit",
 IF(logistics_data[[#This Row],[Status]]="Lost","Lost",
 IF(logistics_data[[#This Row],[Status]]="Returned","Returned",
 IF(logistics_data[[#This Row],[Status]]="Delayed","Delayed",
 "Delivered"))))</f>
        <v>Delivered</v>
      </c>
      <c r="M67" s="2">
        <f>logistics_data[[#This Row],[Cost]]/logistics_data[[#This Row],[Distance_miles]]</f>
        <v>0.17607638888888888</v>
      </c>
      <c r="N67" t="str">
        <f>IF(logistics_data[[#This Row],[Orginal staus of shipment]]&lt;&gt;"Delivered","not applicabel", IF(logistics_data[[#This Row],[Transit_Days]]&gt;=5,"slow","fast"))</f>
        <v>fast</v>
      </c>
    </row>
    <row r="68" spans="1:14" x14ac:dyDescent="0.3">
      <c r="A68" t="s">
        <v>114</v>
      </c>
      <c r="B68" t="s">
        <v>27</v>
      </c>
      <c r="C68" t="s">
        <v>54</v>
      </c>
      <c r="D68" t="s">
        <v>37</v>
      </c>
      <c r="E68" s="1">
        <v>45019</v>
      </c>
      <c r="F68" s="1">
        <v>45025</v>
      </c>
      <c r="G68">
        <v>15.9</v>
      </c>
      <c r="H68">
        <v>325.16000000000003</v>
      </c>
      <c r="I68" t="s">
        <v>15</v>
      </c>
      <c r="J68">
        <v>2463</v>
      </c>
      <c r="K68">
        <v>6</v>
      </c>
      <c r="L68" t="str">
        <f>IF(logistics_data[[#This Row],[Delivery_Date]]="","In Transit",
 IF(logistics_data[[#This Row],[Status]]="Lost","Lost",
 IF(logistics_data[[#This Row],[Status]]="Returned","Returned",
 IF(logistics_data[[#This Row],[Status]]="Delayed","Delayed",
 "Delivered"))))</f>
        <v>Delivered</v>
      </c>
      <c r="M68" s="2">
        <f>logistics_data[[#This Row],[Cost]]/logistics_data[[#This Row],[Distance_miles]]</f>
        <v>0.13201786439301666</v>
      </c>
      <c r="N68" t="str">
        <f>IF(logistics_data[[#This Row],[Orginal staus of shipment]]&lt;&gt;"Delivered","not applicabel", IF(logistics_data[[#This Row],[Transit_Days]]&gt;=5,"slow","fast"))</f>
        <v>slow</v>
      </c>
    </row>
    <row r="69" spans="1:14" x14ac:dyDescent="0.3">
      <c r="A69" t="s">
        <v>115</v>
      </c>
      <c r="B69" t="s">
        <v>49</v>
      </c>
      <c r="C69" t="s">
        <v>24</v>
      </c>
      <c r="D69" t="s">
        <v>18</v>
      </c>
      <c r="E69" s="1">
        <v>45088</v>
      </c>
      <c r="F69" s="1">
        <v>45091</v>
      </c>
      <c r="G69">
        <v>42.3</v>
      </c>
      <c r="H69">
        <v>195.98</v>
      </c>
      <c r="I69" t="s">
        <v>15</v>
      </c>
      <c r="J69">
        <v>998</v>
      </c>
      <c r="K69">
        <v>3</v>
      </c>
      <c r="L69" t="str">
        <f>IF(logistics_data[[#This Row],[Delivery_Date]]="","In Transit",
 IF(logistics_data[[#This Row],[Status]]="Lost","Lost",
 IF(logistics_data[[#This Row],[Status]]="Returned","Returned",
 IF(logistics_data[[#This Row],[Status]]="Delayed","Delayed",
 "Delivered"))))</f>
        <v>Delivered</v>
      </c>
      <c r="M69" s="2">
        <f>logistics_data[[#This Row],[Cost]]/logistics_data[[#This Row],[Distance_miles]]</f>
        <v>0.19637274549098196</v>
      </c>
      <c r="N69" t="str">
        <f>IF(logistics_data[[#This Row],[Orginal staus of shipment]]&lt;&gt;"Delivered","not applicabel", IF(logistics_data[[#This Row],[Transit_Days]]&gt;=5,"slow","fast"))</f>
        <v>fast</v>
      </c>
    </row>
    <row r="70" spans="1:14" x14ac:dyDescent="0.3">
      <c r="A70" t="s">
        <v>116</v>
      </c>
      <c r="B70" t="s">
        <v>49</v>
      </c>
      <c r="C70" t="s">
        <v>17</v>
      </c>
      <c r="D70" t="s">
        <v>32</v>
      </c>
      <c r="E70" s="1">
        <v>45170</v>
      </c>
      <c r="F70" s="1">
        <v>45178</v>
      </c>
      <c r="G70">
        <v>26.2</v>
      </c>
      <c r="H70">
        <v>261.81</v>
      </c>
      <c r="I70" t="s">
        <v>15</v>
      </c>
      <c r="J70">
        <v>1801</v>
      </c>
      <c r="K70">
        <v>8</v>
      </c>
      <c r="L70" t="str">
        <f>IF(logistics_data[[#This Row],[Delivery_Date]]="","In Transit",
 IF(logistics_data[[#This Row],[Status]]="Lost","Lost",
 IF(logistics_data[[#This Row],[Status]]="Returned","Returned",
 IF(logistics_data[[#This Row],[Status]]="Delayed","Delayed",
 "Delivered"))))</f>
        <v>Delivered</v>
      </c>
      <c r="M70" s="2">
        <f>logistics_data[[#This Row],[Cost]]/logistics_data[[#This Row],[Distance_miles]]</f>
        <v>0.14536923931149362</v>
      </c>
      <c r="N70" t="str">
        <f>IF(logistics_data[[#This Row],[Orginal staus of shipment]]&lt;&gt;"Delivered","not applicabel", IF(logistics_data[[#This Row],[Transit_Days]]&gt;=5,"slow","fast"))</f>
        <v>slow</v>
      </c>
    </row>
    <row r="71" spans="1:14" x14ac:dyDescent="0.3">
      <c r="A71" t="s">
        <v>117</v>
      </c>
      <c r="B71" t="s">
        <v>49</v>
      </c>
      <c r="C71" t="s">
        <v>21</v>
      </c>
      <c r="D71" t="s">
        <v>32</v>
      </c>
      <c r="E71" s="1">
        <v>45077</v>
      </c>
      <c r="F71" s="1">
        <v>45081</v>
      </c>
      <c r="G71">
        <v>35.700000000000003</v>
      </c>
      <c r="H71">
        <v>180.2</v>
      </c>
      <c r="I71" t="s">
        <v>15</v>
      </c>
      <c r="J71">
        <v>989</v>
      </c>
      <c r="K71">
        <v>4</v>
      </c>
      <c r="L71" t="str">
        <f>IF(logistics_data[[#This Row],[Delivery_Date]]="","In Transit",
 IF(logistics_data[[#This Row],[Status]]="Lost","Lost",
 IF(logistics_data[[#This Row],[Status]]="Returned","Returned",
 IF(logistics_data[[#This Row],[Status]]="Delayed","Delayed",
 "Delivered"))))</f>
        <v>Delivered</v>
      </c>
      <c r="M71" s="2">
        <f>logistics_data[[#This Row],[Cost]]/logistics_data[[#This Row],[Distance_miles]]</f>
        <v>0.18220424671385235</v>
      </c>
      <c r="N71" t="str">
        <f>IF(logistics_data[[#This Row],[Orginal staus of shipment]]&lt;&gt;"Delivered","not applicabel", IF(logistics_data[[#This Row],[Transit_Days]]&gt;=5,"slow","fast"))</f>
        <v>fast</v>
      </c>
    </row>
    <row r="72" spans="1:14" x14ac:dyDescent="0.3">
      <c r="A72" t="s">
        <v>118</v>
      </c>
      <c r="B72" t="s">
        <v>39</v>
      </c>
      <c r="C72" t="s">
        <v>44</v>
      </c>
      <c r="D72" t="s">
        <v>18</v>
      </c>
      <c r="E72" s="1">
        <v>45033</v>
      </c>
      <c r="F72" s="1">
        <v>45042</v>
      </c>
      <c r="G72">
        <v>6.9</v>
      </c>
      <c r="H72">
        <v>56.51</v>
      </c>
      <c r="I72" t="s">
        <v>47</v>
      </c>
      <c r="J72">
        <v>383</v>
      </c>
      <c r="K72">
        <v>3</v>
      </c>
      <c r="L72" t="str">
        <f>IF(logistics_data[[#This Row],[Delivery_Date]]="","In Transit",
 IF(logistics_data[[#This Row],[Status]]="Lost","Lost",
 IF(logistics_data[[#This Row],[Status]]="Returned","Returned",
 IF(logistics_data[[#This Row],[Status]]="Delayed","Delayed",
 "Delivered"))))</f>
        <v>Delayed</v>
      </c>
      <c r="M72" s="2">
        <f>logistics_data[[#This Row],[Cost]]/logistics_data[[#This Row],[Distance_miles]]</f>
        <v>0.14754569190600522</v>
      </c>
      <c r="N72" t="str">
        <f>IF(logistics_data[[#This Row],[Orginal staus of shipment]]&lt;&gt;"Delivered","not applicabel", IF(logistics_data[[#This Row],[Transit_Days]]&gt;=5,"slow","fast"))</f>
        <v>not applicabel</v>
      </c>
    </row>
    <row r="73" spans="1:14" x14ac:dyDescent="0.3">
      <c r="A73" t="s">
        <v>119</v>
      </c>
      <c r="B73" t="s">
        <v>35</v>
      </c>
      <c r="C73" t="s">
        <v>24</v>
      </c>
      <c r="D73" t="s">
        <v>25</v>
      </c>
      <c r="E73" s="1">
        <v>45097</v>
      </c>
      <c r="F73" s="1">
        <v>45102</v>
      </c>
      <c r="G73">
        <v>30.7</v>
      </c>
      <c r="I73" t="s">
        <v>15</v>
      </c>
      <c r="J73">
        <v>2307</v>
      </c>
      <c r="K73">
        <v>5</v>
      </c>
      <c r="L73" t="str">
        <f>IF(logistics_data[[#This Row],[Delivery_Date]]="","In Transit",
 IF(logistics_data[[#This Row],[Status]]="Lost","Lost",
 IF(logistics_data[[#This Row],[Status]]="Returned","Returned",
 IF(logistics_data[[#This Row],[Status]]="Delayed","Delayed",
 "Delivered"))))</f>
        <v>Delivered</v>
      </c>
      <c r="M73" s="2">
        <f>logistics_data[[#This Row],[Cost]]/logistics_data[[#This Row],[Distance_miles]]</f>
        <v>0</v>
      </c>
      <c r="N73" t="str">
        <f>IF(logistics_data[[#This Row],[Orginal staus of shipment]]&lt;&gt;"Delivered","not applicabel", IF(logistics_data[[#This Row],[Transit_Days]]&gt;=5,"slow","fast"))</f>
        <v>slow</v>
      </c>
    </row>
    <row r="74" spans="1:14" x14ac:dyDescent="0.3">
      <c r="A74" t="s">
        <v>120</v>
      </c>
      <c r="B74" t="s">
        <v>51</v>
      </c>
      <c r="C74" t="s">
        <v>70</v>
      </c>
      <c r="D74" t="s">
        <v>42</v>
      </c>
      <c r="E74" s="1">
        <v>44989</v>
      </c>
      <c r="F74" s="1">
        <v>44998</v>
      </c>
      <c r="G74">
        <v>10.8</v>
      </c>
      <c r="H74">
        <v>225.74</v>
      </c>
      <c r="I74" t="s">
        <v>47</v>
      </c>
      <c r="J74">
        <v>1727</v>
      </c>
      <c r="K74">
        <v>6</v>
      </c>
      <c r="L74" t="str">
        <f>IF(logistics_data[[#This Row],[Delivery_Date]]="","In Transit",
 IF(logistics_data[[#This Row],[Status]]="Lost","Lost",
 IF(logistics_data[[#This Row],[Status]]="Returned","Returned",
 IF(logistics_data[[#This Row],[Status]]="Delayed","Delayed",
 "Delivered"))))</f>
        <v>Delayed</v>
      </c>
      <c r="M74" s="2">
        <f>logistics_data[[#This Row],[Cost]]/logistics_data[[#This Row],[Distance_miles]]</f>
        <v>0.13071221771858715</v>
      </c>
      <c r="N74" t="str">
        <f>IF(logistics_data[[#This Row],[Orginal staus of shipment]]&lt;&gt;"Delivered","not applicabel", IF(logistics_data[[#This Row],[Transit_Days]]&gt;=5,"slow","fast"))</f>
        <v>not applicabel</v>
      </c>
    </row>
    <row r="75" spans="1:14" x14ac:dyDescent="0.3">
      <c r="A75" t="s">
        <v>121</v>
      </c>
      <c r="B75" t="s">
        <v>20</v>
      </c>
      <c r="C75" t="s">
        <v>24</v>
      </c>
      <c r="D75" t="s">
        <v>59</v>
      </c>
      <c r="E75" s="1">
        <v>45180</v>
      </c>
      <c r="F75" s="1">
        <v>45183</v>
      </c>
      <c r="G75">
        <v>0.6</v>
      </c>
      <c r="H75">
        <v>199.78</v>
      </c>
      <c r="I75" t="s">
        <v>62</v>
      </c>
      <c r="J75">
        <v>1135</v>
      </c>
      <c r="K75">
        <v>3</v>
      </c>
      <c r="L75" t="str">
        <f>IF(logistics_data[[#This Row],[Delivery_Date]]="","In Transit",
 IF(logistics_data[[#This Row],[Status]]="Lost","Lost",
 IF(logistics_data[[#This Row],[Status]]="Returned","Returned",
 IF(logistics_data[[#This Row],[Status]]="Delayed","Delayed",
 "Delivered"))))</f>
        <v>Delivered</v>
      </c>
      <c r="M75" s="2">
        <f>logistics_data[[#This Row],[Cost]]/logistics_data[[#This Row],[Distance_miles]]</f>
        <v>0.17601762114537445</v>
      </c>
      <c r="N75" t="str">
        <f>IF(logistics_data[[#This Row],[Orginal staus of shipment]]&lt;&gt;"Delivered","not applicabel", IF(logistics_data[[#This Row],[Transit_Days]]&gt;=5,"slow","fast"))</f>
        <v>fast</v>
      </c>
    </row>
    <row r="76" spans="1:14" x14ac:dyDescent="0.3">
      <c r="A76" t="s">
        <v>122</v>
      </c>
      <c r="B76" t="s">
        <v>12</v>
      </c>
      <c r="C76" t="s">
        <v>52</v>
      </c>
      <c r="D76" t="s">
        <v>14</v>
      </c>
      <c r="E76" s="1">
        <v>44984</v>
      </c>
      <c r="F76" s="1">
        <v>44987</v>
      </c>
      <c r="G76">
        <v>93</v>
      </c>
      <c r="H76">
        <v>221.01</v>
      </c>
      <c r="I76" t="s">
        <v>15</v>
      </c>
      <c r="J76">
        <v>757</v>
      </c>
      <c r="K76">
        <v>3</v>
      </c>
      <c r="L76" t="str">
        <f>IF(logistics_data[[#This Row],[Delivery_Date]]="","In Transit",
 IF(logistics_data[[#This Row],[Status]]="Lost","Lost",
 IF(logistics_data[[#This Row],[Status]]="Returned","Returned",
 IF(logistics_data[[#This Row],[Status]]="Delayed","Delayed",
 "Delivered"))))</f>
        <v>Delivered</v>
      </c>
      <c r="M76" s="2">
        <f>logistics_data[[#This Row],[Cost]]/logistics_data[[#This Row],[Distance_miles]]</f>
        <v>0.29195508586525759</v>
      </c>
      <c r="N76" t="str">
        <f>IF(logistics_data[[#This Row],[Orginal staus of shipment]]&lt;&gt;"Delivered","not applicabel", IF(logistics_data[[#This Row],[Transit_Days]]&gt;=5,"slow","fast"))</f>
        <v>fast</v>
      </c>
    </row>
    <row r="77" spans="1:14" x14ac:dyDescent="0.3">
      <c r="A77" t="s">
        <v>123</v>
      </c>
      <c r="B77" t="s">
        <v>39</v>
      </c>
      <c r="C77" t="s">
        <v>28</v>
      </c>
      <c r="D77" t="s">
        <v>25</v>
      </c>
      <c r="E77" s="1">
        <v>45138</v>
      </c>
      <c r="F77" s="1">
        <v>45142</v>
      </c>
      <c r="G77">
        <v>35.299999999999997</v>
      </c>
      <c r="H77">
        <v>261.49</v>
      </c>
      <c r="I77" t="s">
        <v>15</v>
      </c>
      <c r="J77">
        <v>1673</v>
      </c>
      <c r="K77">
        <v>4</v>
      </c>
      <c r="L77" t="str">
        <f>IF(logistics_data[[#This Row],[Delivery_Date]]="","In Transit",
 IF(logistics_data[[#This Row],[Status]]="Lost","Lost",
 IF(logistics_data[[#This Row],[Status]]="Returned","Returned",
 IF(logistics_data[[#This Row],[Status]]="Delayed","Delayed",
 "Delivered"))))</f>
        <v>Delivered</v>
      </c>
      <c r="M77" s="2">
        <f>logistics_data[[#This Row],[Cost]]/logistics_data[[#This Row],[Distance_miles]]</f>
        <v>0.15630005977286313</v>
      </c>
      <c r="N77" t="str">
        <f>IF(logistics_data[[#This Row],[Orginal staus of shipment]]&lt;&gt;"Delivered","not applicabel", IF(logistics_data[[#This Row],[Transit_Days]]&gt;=5,"slow","fast"))</f>
        <v>fast</v>
      </c>
    </row>
    <row r="78" spans="1:14" x14ac:dyDescent="0.3">
      <c r="A78" t="s">
        <v>124</v>
      </c>
      <c r="B78" t="s">
        <v>56</v>
      </c>
      <c r="C78" t="s">
        <v>21</v>
      </c>
      <c r="D78" t="s">
        <v>37</v>
      </c>
      <c r="E78" s="1">
        <v>45242</v>
      </c>
      <c r="F78" s="1">
        <v>45243</v>
      </c>
      <c r="G78">
        <v>25.4</v>
      </c>
      <c r="H78">
        <v>85.28</v>
      </c>
      <c r="I78" t="s">
        <v>15</v>
      </c>
      <c r="J78">
        <v>319</v>
      </c>
      <c r="K78">
        <v>1</v>
      </c>
      <c r="L78" t="str">
        <f>IF(logistics_data[[#This Row],[Delivery_Date]]="","In Transit",
 IF(logistics_data[[#This Row],[Status]]="Lost","Lost",
 IF(logistics_data[[#This Row],[Status]]="Returned","Returned",
 IF(logistics_data[[#This Row],[Status]]="Delayed","Delayed",
 "Delivered"))))</f>
        <v>Delivered</v>
      </c>
      <c r="M78" s="2">
        <f>logistics_data[[#This Row],[Cost]]/logistics_data[[#This Row],[Distance_miles]]</f>
        <v>0.26733542319749215</v>
      </c>
      <c r="N78" t="str">
        <f>IF(logistics_data[[#This Row],[Orginal staus of shipment]]&lt;&gt;"Delivered","not applicabel", IF(logistics_data[[#This Row],[Transit_Days]]&gt;=5,"slow","fast"))</f>
        <v>fast</v>
      </c>
    </row>
    <row r="79" spans="1:14" x14ac:dyDescent="0.3">
      <c r="A79" t="s">
        <v>125</v>
      </c>
      <c r="B79" t="s">
        <v>35</v>
      </c>
      <c r="C79" t="s">
        <v>24</v>
      </c>
      <c r="D79" t="s">
        <v>59</v>
      </c>
      <c r="E79" s="1">
        <v>45138</v>
      </c>
      <c r="F79" s="1">
        <v>45140</v>
      </c>
      <c r="G79">
        <v>20.8</v>
      </c>
      <c r="H79">
        <v>130.21</v>
      </c>
      <c r="I79" t="s">
        <v>60</v>
      </c>
      <c r="J79">
        <v>994</v>
      </c>
      <c r="K79">
        <v>2</v>
      </c>
      <c r="L79" t="str">
        <f>IF(logistics_data[[#This Row],[Delivery_Date]]="","In Transit",
 IF(logistics_data[[#This Row],[Status]]="Lost","Lost",
 IF(logistics_data[[#This Row],[Status]]="Returned","Returned",
 IF(logistics_data[[#This Row],[Status]]="Delayed","Delayed",
 "Delivered"))))</f>
        <v>Lost</v>
      </c>
      <c r="M79" s="2">
        <f>logistics_data[[#This Row],[Cost]]/logistics_data[[#This Row],[Distance_miles]]</f>
        <v>0.13099597585513079</v>
      </c>
      <c r="N79" t="str">
        <f>IF(logistics_data[[#This Row],[Orginal staus of shipment]]&lt;&gt;"Delivered","not applicabel", IF(logistics_data[[#This Row],[Transit_Days]]&gt;=5,"slow","fast"))</f>
        <v>not applicabel</v>
      </c>
    </row>
    <row r="80" spans="1:14" x14ac:dyDescent="0.3">
      <c r="A80" t="s">
        <v>126</v>
      </c>
      <c r="B80" t="s">
        <v>20</v>
      </c>
      <c r="C80" t="s">
        <v>36</v>
      </c>
      <c r="D80" t="s">
        <v>14</v>
      </c>
      <c r="E80" s="1">
        <v>45259</v>
      </c>
      <c r="F80" s="1">
        <v>45262</v>
      </c>
      <c r="G80">
        <v>10.9</v>
      </c>
      <c r="H80">
        <v>119.38</v>
      </c>
      <c r="I80" t="s">
        <v>15</v>
      </c>
      <c r="J80">
        <v>612</v>
      </c>
      <c r="K80">
        <v>3</v>
      </c>
      <c r="L80" t="str">
        <f>IF(logistics_data[[#This Row],[Delivery_Date]]="","In Transit",
 IF(logistics_data[[#This Row],[Status]]="Lost","Lost",
 IF(logistics_data[[#This Row],[Status]]="Returned","Returned",
 IF(logistics_data[[#This Row],[Status]]="Delayed","Delayed",
 "Delivered"))))</f>
        <v>Delivered</v>
      </c>
      <c r="M80" s="2">
        <f>logistics_data[[#This Row],[Cost]]/logistics_data[[#This Row],[Distance_miles]]</f>
        <v>0.19506535947712417</v>
      </c>
      <c r="N80" t="str">
        <f>IF(logistics_data[[#This Row],[Orginal staus of shipment]]&lt;&gt;"Delivered","not applicabel", IF(logistics_data[[#This Row],[Transit_Days]]&gt;=5,"slow","fast"))</f>
        <v>fast</v>
      </c>
    </row>
    <row r="81" spans="1:14" x14ac:dyDescent="0.3">
      <c r="A81" t="s">
        <v>127</v>
      </c>
      <c r="B81" t="s">
        <v>27</v>
      </c>
      <c r="C81" t="s">
        <v>40</v>
      </c>
      <c r="D81" t="s">
        <v>14</v>
      </c>
      <c r="E81" s="1">
        <v>45107</v>
      </c>
      <c r="F81" s="1">
        <v>45117</v>
      </c>
      <c r="G81">
        <v>22.4</v>
      </c>
      <c r="H81">
        <v>309.17</v>
      </c>
      <c r="I81" t="s">
        <v>47</v>
      </c>
      <c r="J81">
        <v>2214</v>
      </c>
      <c r="K81">
        <v>7</v>
      </c>
      <c r="L81" t="str">
        <f>IF(logistics_data[[#This Row],[Delivery_Date]]="","In Transit",
 IF(logistics_data[[#This Row],[Status]]="Lost","Lost",
 IF(logistics_data[[#This Row],[Status]]="Returned","Returned",
 IF(logistics_data[[#This Row],[Status]]="Delayed","Delayed",
 "Delivered"))))</f>
        <v>Delayed</v>
      </c>
      <c r="M81" s="2">
        <f>logistics_data[[#This Row],[Cost]]/logistics_data[[#This Row],[Distance_miles]]</f>
        <v>0.13964317976513099</v>
      </c>
      <c r="N81" t="str">
        <f>IF(logistics_data[[#This Row],[Orginal staus of shipment]]&lt;&gt;"Delivered","not applicabel", IF(logistics_data[[#This Row],[Transit_Days]]&gt;=5,"slow","fast"))</f>
        <v>not applicabel</v>
      </c>
    </row>
    <row r="82" spans="1:14" x14ac:dyDescent="0.3">
      <c r="A82" t="s">
        <v>128</v>
      </c>
      <c r="B82" t="s">
        <v>20</v>
      </c>
      <c r="C82" t="s">
        <v>70</v>
      </c>
      <c r="D82" t="s">
        <v>42</v>
      </c>
      <c r="E82" s="1">
        <v>45020</v>
      </c>
      <c r="F82" s="1">
        <v>45023</v>
      </c>
      <c r="G82">
        <v>15.1</v>
      </c>
      <c r="H82">
        <v>152.16</v>
      </c>
      <c r="I82" t="s">
        <v>15</v>
      </c>
      <c r="J82">
        <v>1051</v>
      </c>
      <c r="K82">
        <v>3</v>
      </c>
      <c r="L82" t="str">
        <f>IF(logistics_data[[#This Row],[Delivery_Date]]="","In Transit",
 IF(logistics_data[[#This Row],[Status]]="Lost","Lost",
 IF(logistics_data[[#This Row],[Status]]="Returned","Returned",
 IF(logistics_data[[#This Row],[Status]]="Delayed","Delayed",
 "Delivered"))))</f>
        <v>Delivered</v>
      </c>
      <c r="M82" s="2">
        <f>logistics_data[[#This Row],[Cost]]/logistics_data[[#This Row],[Distance_miles]]</f>
        <v>0.14477640342530923</v>
      </c>
      <c r="N82" t="str">
        <f>IF(logistics_data[[#This Row],[Orginal staus of shipment]]&lt;&gt;"Delivered","not applicabel", IF(logistics_data[[#This Row],[Transit_Days]]&gt;=5,"slow","fast"))</f>
        <v>fast</v>
      </c>
    </row>
    <row r="83" spans="1:14" x14ac:dyDescent="0.3">
      <c r="A83" t="s">
        <v>129</v>
      </c>
      <c r="B83" t="s">
        <v>27</v>
      </c>
      <c r="C83" t="s">
        <v>31</v>
      </c>
      <c r="D83" t="s">
        <v>18</v>
      </c>
      <c r="E83" s="1">
        <v>44999</v>
      </c>
      <c r="F83" s="1">
        <v>45004</v>
      </c>
      <c r="G83">
        <v>22.9</v>
      </c>
      <c r="H83">
        <v>289.37</v>
      </c>
      <c r="I83" t="s">
        <v>15</v>
      </c>
      <c r="J83">
        <v>1714</v>
      </c>
      <c r="K83">
        <v>5</v>
      </c>
      <c r="L83" t="str">
        <f>IF(logistics_data[[#This Row],[Delivery_Date]]="","In Transit",
 IF(logistics_data[[#This Row],[Status]]="Lost","Lost",
 IF(logistics_data[[#This Row],[Status]]="Returned","Returned",
 IF(logistics_data[[#This Row],[Status]]="Delayed","Delayed",
 "Delivered"))))</f>
        <v>Delivered</v>
      </c>
      <c r="M83" s="2">
        <f>logistics_data[[#This Row],[Cost]]/logistics_data[[#This Row],[Distance_miles]]</f>
        <v>0.16882730455075845</v>
      </c>
      <c r="N83" t="str">
        <f>IF(logistics_data[[#This Row],[Orginal staus of shipment]]&lt;&gt;"Delivered","not applicabel", IF(logistics_data[[#This Row],[Transit_Days]]&gt;=5,"slow","fast"))</f>
        <v>slow</v>
      </c>
    </row>
    <row r="84" spans="1:14" x14ac:dyDescent="0.3">
      <c r="A84" t="s">
        <v>130</v>
      </c>
      <c r="B84" t="s">
        <v>35</v>
      </c>
      <c r="C84" t="s">
        <v>81</v>
      </c>
      <c r="D84" t="s">
        <v>25</v>
      </c>
      <c r="E84" s="1">
        <v>45053</v>
      </c>
      <c r="F84" s="1">
        <v>45055</v>
      </c>
      <c r="G84">
        <v>14.1</v>
      </c>
      <c r="H84">
        <v>144.13999999999999</v>
      </c>
      <c r="I84" t="s">
        <v>15</v>
      </c>
      <c r="J84">
        <v>1000</v>
      </c>
      <c r="K84">
        <v>2</v>
      </c>
      <c r="L84" t="str">
        <f>IF(logistics_data[[#This Row],[Delivery_Date]]="","In Transit",
 IF(logistics_data[[#This Row],[Status]]="Lost","Lost",
 IF(logistics_data[[#This Row],[Status]]="Returned","Returned",
 IF(logistics_data[[#This Row],[Status]]="Delayed","Delayed",
 "Delivered"))))</f>
        <v>Delivered</v>
      </c>
      <c r="M84" s="2">
        <f>logistics_data[[#This Row],[Cost]]/logistics_data[[#This Row],[Distance_miles]]</f>
        <v>0.14413999999999999</v>
      </c>
      <c r="N84" t="str">
        <f>IF(logistics_data[[#This Row],[Orginal staus of shipment]]&lt;&gt;"Delivered","not applicabel", IF(logistics_data[[#This Row],[Transit_Days]]&gt;=5,"slow","fast"))</f>
        <v>fast</v>
      </c>
    </row>
    <row r="85" spans="1:14" x14ac:dyDescent="0.3">
      <c r="A85" t="s">
        <v>131</v>
      </c>
      <c r="B85" t="s">
        <v>27</v>
      </c>
      <c r="C85" t="s">
        <v>52</v>
      </c>
      <c r="D85" t="s">
        <v>42</v>
      </c>
      <c r="E85" s="1">
        <v>45234</v>
      </c>
      <c r="F85" s="1">
        <v>45242</v>
      </c>
      <c r="G85">
        <v>9.3000000000000007</v>
      </c>
      <c r="H85">
        <v>333.26</v>
      </c>
      <c r="I85" t="s">
        <v>15</v>
      </c>
      <c r="J85">
        <v>2210</v>
      </c>
      <c r="K85">
        <v>8</v>
      </c>
      <c r="L85" t="str">
        <f>IF(logistics_data[[#This Row],[Delivery_Date]]="","In Transit",
 IF(logistics_data[[#This Row],[Status]]="Lost","Lost",
 IF(logistics_data[[#This Row],[Status]]="Returned","Returned",
 IF(logistics_data[[#This Row],[Status]]="Delayed","Delayed",
 "Delivered"))))</f>
        <v>Delivered</v>
      </c>
      <c r="M85" s="2">
        <f>logistics_data[[#This Row],[Cost]]/logistics_data[[#This Row],[Distance_miles]]</f>
        <v>0.15079638009049773</v>
      </c>
      <c r="N85" t="str">
        <f>IF(logistics_data[[#This Row],[Orginal staus of shipment]]&lt;&gt;"Delivered","not applicabel", IF(logistics_data[[#This Row],[Transit_Days]]&gt;=5,"slow","fast"))</f>
        <v>slow</v>
      </c>
    </row>
    <row r="86" spans="1:14" x14ac:dyDescent="0.3">
      <c r="A86" t="s">
        <v>132</v>
      </c>
      <c r="B86" t="s">
        <v>35</v>
      </c>
      <c r="C86" t="s">
        <v>17</v>
      </c>
      <c r="D86" t="s">
        <v>32</v>
      </c>
      <c r="E86" s="1">
        <v>45109</v>
      </c>
      <c r="F86" s="1">
        <v>45113</v>
      </c>
      <c r="G86">
        <v>22.9</v>
      </c>
      <c r="H86">
        <v>233.89</v>
      </c>
      <c r="I86" t="s">
        <v>15</v>
      </c>
      <c r="J86">
        <v>1510</v>
      </c>
      <c r="K86">
        <v>4</v>
      </c>
      <c r="L86" t="str">
        <f>IF(logistics_data[[#This Row],[Delivery_Date]]="","In Transit",
 IF(logistics_data[[#This Row],[Status]]="Lost","Lost",
 IF(logistics_data[[#This Row],[Status]]="Returned","Returned",
 IF(logistics_data[[#This Row],[Status]]="Delayed","Delayed",
 "Delivered"))))</f>
        <v>Delivered</v>
      </c>
      <c r="M86" s="2">
        <f>logistics_data[[#This Row],[Cost]]/logistics_data[[#This Row],[Distance_miles]]</f>
        <v>0.15489403973509933</v>
      </c>
      <c r="N86" t="str">
        <f>IF(logistics_data[[#This Row],[Orginal staus of shipment]]&lt;&gt;"Delivered","not applicabel", IF(logistics_data[[#This Row],[Transit_Days]]&gt;=5,"slow","fast"))</f>
        <v>fast</v>
      </c>
    </row>
    <row r="87" spans="1:14" x14ac:dyDescent="0.3">
      <c r="A87" t="s">
        <v>133</v>
      </c>
      <c r="B87" t="s">
        <v>35</v>
      </c>
      <c r="C87" t="s">
        <v>70</v>
      </c>
      <c r="D87" t="s">
        <v>14</v>
      </c>
      <c r="E87" s="1">
        <v>45022</v>
      </c>
      <c r="F87" s="1">
        <v>45028</v>
      </c>
      <c r="G87">
        <v>31.7</v>
      </c>
      <c r="H87">
        <v>282.19</v>
      </c>
      <c r="I87" t="s">
        <v>15</v>
      </c>
      <c r="J87">
        <v>1777</v>
      </c>
      <c r="K87">
        <v>6</v>
      </c>
      <c r="L87" t="str">
        <f>IF(logistics_data[[#This Row],[Delivery_Date]]="","In Transit",
 IF(logistics_data[[#This Row],[Status]]="Lost","Lost",
 IF(logistics_data[[#This Row],[Status]]="Returned","Returned",
 IF(logistics_data[[#This Row],[Status]]="Delayed","Delayed",
 "Delivered"))))</f>
        <v>Delivered</v>
      </c>
      <c r="M87" s="2">
        <f>logistics_data[[#This Row],[Cost]]/logistics_data[[#This Row],[Distance_miles]]</f>
        <v>0.15880135059088352</v>
      </c>
      <c r="N87" t="str">
        <f>IF(logistics_data[[#This Row],[Orginal staus of shipment]]&lt;&gt;"Delivered","not applicabel", IF(logistics_data[[#This Row],[Transit_Days]]&gt;=5,"slow","fast"))</f>
        <v>slow</v>
      </c>
    </row>
    <row r="88" spans="1:14" x14ac:dyDescent="0.3">
      <c r="A88" t="s">
        <v>134</v>
      </c>
      <c r="B88" t="s">
        <v>49</v>
      </c>
      <c r="C88" t="s">
        <v>57</v>
      </c>
      <c r="D88" t="s">
        <v>18</v>
      </c>
      <c r="E88" s="1">
        <v>45252</v>
      </c>
      <c r="F88" s="1">
        <v>45259</v>
      </c>
      <c r="G88">
        <v>13.5</v>
      </c>
      <c r="H88">
        <v>422.32</v>
      </c>
      <c r="I88" t="s">
        <v>15</v>
      </c>
      <c r="J88">
        <v>2388</v>
      </c>
      <c r="K88">
        <v>7</v>
      </c>
      <c r="L88" t="str">
        <f>IF(logistics_data[[#This Row],[Delivery_Date]]="","In Transit",
 IF(logistics_data[[#This Row],[Status]]="Lost","Lost",
 IF(logistics_data[[#This Row],[Status]]="Returned","Returned",
 IF(logistics_data[[#This Row],[Status]]="Delayed","Delayed",
 "Delivered"))))</f>
        <v>Delivered</v>
      </c>
      <c r="M88" s="2">
        <f>logistics_data[[#This Row],[Cost]]/logistics_data[[#This Row],[Distance_miles]]</f>
        <v>0.17685092127303181</v>
      </c>
      <c r="N88" t="str">
        <f>IF(logistics_data[[#This Row],[Orginal staus of shipment]]&lt;&gt;"Delivered","not applicabel", IF(logistics_data[[#This Row],[Transit_Days]]&gt;=5,"slow","fast"))</f>
        <v>slow</v>
      </c>
    </row>
    <row r="89" spans="1:14" x14ac:dyDescent="0.3">
      <c r="A89" t="s">
        <v>135</v>
      </c>
      <c r="B89" t="s">
        <v>35</v>
      </c>
      <c r="C89" t="s">
        <v>44</v>
      </c>
      <c r="D89" t="s">
        <v>25</v>
      </c>
      <c r="E89" s="1">
        <v>45251</v>
      </c>
      <c r="F89" s="1">
        <v>45260</v>
      </c>
      <c r="G89">
        <v>17.100000000000001</v>
      </c>
      <c r="H89">
        <v>214.99</v>
      </c>
      <c r="I89" t="s">
        <v>47</v>
      </c>
      <c r="J89">
        <v>1284</v>
      </c>
      <c r="K89">
        <v>4</v>
      </c>
      <c r="L89" t="str">
        <f>IF(logistics_data[[#This Row],[Delivery_Date]]="","In Transit",
 IF(logistics_data[[#This Row],[Status]]="Lost","Lost",
 IF(logistics_data[[#This Row],[Status]]="Returned","Returned",
 IF(logistics_data[[#This Row],[Status]]="Delayed","Delayed",
 "Delivered"))))</f>
        <v>Delayed</v>
      </c>
      <c r="M89" s="2">
        <f>logistics_data[[#This Row],[Cost]]/logistics_data[[#This Row],[Distance_miles]]</f>
        <v>0.16743769470404984</v>
      </c>
      <c r="N89" t="str">
        <f>IF(logistics_data[[#This Row],[Orginal staus of shipment]]&lt;&gt;"Delivered","not applicabel", IF(logistics_data[[#This Row],[Transit_Days]]&gt;=5,"slow","fast"))</f>
        <v>not applicabel</v>
      </c>
    </row>
    <row r="90" spans="1:14" x14ac:dyDescent="0.3">
      <c r="A90" t="s">
        <v>136</v>
      </c>
      <c r="B90" t="s">
        <v>39</v>
      </c>
      <c r="C90" t="s">
        <v>54</v>
      </c>
      <c r="D90" t="s">
        <v>59</v>
      </c>
      <c r="E90" s="1">
        <v>45098</v>
      </c>
      <c r="F90" s="1">
        <v>45101</v>
      </c>
      <c r="G90">
        <v>37</v>
      </c>
      <c r="H90">
        <v>184.07</v>
      </c>
      <c r="I90" t="s">
        <v>15</v>
      </c>
      <c r="J90">
        <v>1198</v>
      </c>
      <c r="K90">
        <v>3</v>
      </c>
      <c r="L90" t="str">
        <f>IF(logistics_data[[#This Row],[Delivery_Date]]="","In Transit",
 IF(logistics_data[[#This Row],[Status]]="Lost","Lost",
 IF(logistics_data[[#This Row],[Status]]="Returned","Returned",
 IF(logistics_data[[#This Row],[Status]]="Delayed","Delayed",
 "Delivered"))))</f>
        <v>Delivered</v>
      </c>
      <c r="M90" s="2">
        <f>logistics_data[[#This Row],[Cost]]/logistics_data[[#This Row],[Distance_miles]]</f>
        <v>0.15364774624373956</v>
      </c>
      <c r="N90" t="str">
        <f>IF(logistics_data[[#This Row],[Orginal staus of shipment]]&lt;&gt;"Delivered","not applicabel", IF(logistics_data[[#This Row],[Transit_Days]]&gt;=5,"slow","fast"))</f>
        <v>fast</v>
      </c>
    </row>
    <row r="91" spans="1:14" x14ac:dyDescent="0.3">
      <c r="A91" t="s">
        <v>137</v>
      </c>
      <c r="B91" t="s">
        <v>51</v>
      </c>
      <c r="C91" t="s">
        <v>36</v>
      </c>
      <c r="D91" t="s">
        <v>42</v>
      </c>
      <c r="E91" s="1">
        <v>45240</v>
      </c>
      <c r="F91" s="1">
        <v>45244</v>
      </c>
      <c r="G91">
        <v>127.8</v>
      </c>
      <c r="H91">
        <v>247.54</v>
      </c>
      <c r="I91" t="s">
        <v>15</v>
      </c>
      <c r="J91">
        <v>1482</v>
      </c>
      <c r="K91">
        <v>4</v>
      </c>
      <c r="L91" t="str">
        <f>IF(logistics_data[[#This Row],[Delivery_Date]]="","In Transit",
 IF(logistics_data[[#This Row],[Status]]="Lost","Lost",
 IF(logistics_data[[#This Row],[Status]]="Returned","Returned",
 IF(logistics_data[[#This Row],[Status]]="Delayed","Delayed",
 "Delivered"))))</f>
        <v>Delivered</v>
      </c>
      <c r="M91" s="2">
        <f>logistics_data[[#This Row],[Cost]]/logistics_data[[#This Row],[Distance_miles]]</f>
        <v>0.1670310391363023</v>
      </c>
      <c r="N91" t="str">
        <f>IF(logistics_data[[#This Row],[Orginal staus of shipment]]&lt;&gt;"Delivered","not applicabel", IF(logistics_data[[#This Row],[Transit_Days]]&gt;=5,"slow","fast"))</f>
        <v>fast</v>
      </c>
    </row>
    <row r="92" spans="1:14" x14ac:dyDescent="0.3">
      <c r="A92" t="s">
        <v>138</v>
      </c>
      <c r="B92" t="s">
        <v>12</v>
      </c>
      <c r="C92" t="s">
        <v>44</v>
      </c>
      <c r="D92" t="s">
        <v>25</v>
      </c>
      <c r="E92" s="1">
        <v>44953</v>
      </c>
      <c r="F92" s="1">
        <v>44955</v>
      </c>
      <c r="G92">
        <v>10.8</v>
      </c>
      <c r="H92">
        <v>83.32</v>
      </c>
      <c r="I92" t="s">
        <v>67</v>
      </c>
      <c r="J92">
        <v>530</v>
      </c>
      <c r="K92">
        <v>2</v>
      </c>
      <c r="L92" t="str">
        <f>IF(logistics_data[[#This Row],[Delivery_Date]]="","In Transit",
 IF(logistics_data[[#This Row],[Status]]="Lost","Lost",
 IF(logistics_data[[#This Row],[Status]]="Returned","Returned",
 IF(logistics_data[[#This Row],[Status]]="Delayed","Delayed",
 "Delivered"))))</f>
        <v>Returned</v>
      </c>
      <c r="M92" s="2">
        <f>logistics_data[[#This Row],[Cost]]/logistics_data[[#This Row],[Distance_miles]]</f>
        <v>0.15720754716981131</v>
      </c>
      <c r="N92" t="str">
        <f>IF(logistics_data[[#This Row],[Orginal staus of shipment]]&lt;&gt;"Delivered","not applicabel", IF(logistics_data[[#This Row],[Transit_Days]]&gt;=5,"slow","fast"))</f>
        <v>not applicabel</v>
      </c>
    </row>
    <row r="93" spans="1:14" x14ac:dyDescent="0.3">
      <c r="A93" t="s">
        <v>139</v>
      </c>
      <c r="B93" t="s">
        <v>30</v>
      </c>
      <c r="C93" t="s">
        <v>70</v>
      </c>
      <c r="D93" t="s">
        <v>37</v>
      </c>
      <c r="E93" s="1">
        <v>45258</v>
      </c>
      <c r="F93" s="1">
        <v>45269</v>
      </c>
      <c r="G93">
        <v>8.5</v>
      </c>
      <c r="H93">
        <v>151.63999999999999</v>
      </c>
      <c r="I93" t="s">
        <v>47</v>
      </c>
      <c r="J93">
        <v>920</v>
      </c>
      <c r="K93">
        <v>4</v>
      </c>
      <c r="L93" t="str">
        <f>IF(logistics_data[[#This Row],[Delivery_Date]]="","In Transit",
 IF(logistics_data[[#This Row],[Status]]="Lost","Lost",
 IF(logistics_data[[#This Row],[Status]]="Returned","Returned",
 IF(logistics_data[[#This Row],[Status]]="Delayed","Delayed",
 "Delivered"))))</f>
        <v>Delayed</v>
      </c>
      <c r="M93" s="2">
        <f>logistics_data[[#This Row],[Cost]]/logistics_data[[#This Row],[Distance_miles]]</f>
        <v>0.16482608695652173</v>
      </c>
      <c r="N93" t="str">
        <f>IF(logistics_data[[#This Row],[Orginal staus of shipment]]&lt;&gt;"Delivered","not applicabel", IF(logistics_data[[#This Row],[Transit_Days]]&gt;=5,"slow","fast"))</f>
        <v>not applicabel</v>
      </c>
    </row>
    <row r="94" spans="1:14" x14ac:dyDescent="0.3">
      <c r="A94" t="s">
        <v>140</v>
      </c>
      <c r="B94" t="s">
        <v>56</v>
      </c>
      <c r="C94" t="s">
        <v>70</v>
      </c>
      <c r="D94" t="s">
        <v>42</v>
      </c>
      <c r="E94" s="1">
        <v>45042</v>
      </c>
      <c r="F94" s="1">
        <v>45047</v>
      </c>
      <c r="G94">
        <v>16</v>
      </c>
      <c r="H94">
        <v>277.61</v>
      </c>
      <c r="I94" t="s">
        <v>15</v>
      </c>
      <c r="J94">
        <v>1950</v>
      </c>
      <c r="K94">
        <v>5</v>
      </c>
      <c r="L94" t="str">
        <f>IF(logistics_data[[#This Row],[Delivery_Date]]="","In Transit",
 IF(logistics_data[[#This Row],[Status]]="Lost","Lost",
 IF(logistics_data[[#This Row],[Status]]="Returned","Returned",
 IF(logistics_data[[#This Row],[Status]]="Delayed","Delayed",
 "Delivered"))))</f>
        <v>Delivered</v>
      </c>
      <c r="M94" s="2">
        <f>logistics_data[[#This Row],[Cost]]/logistics_data[[#This Row],[Distance_miles]]</f>
        <v>0.14236410256410256</v>
      </c>
      <c r="N94" t="str">
        <f>IF(logistics_data[[#This Row],[Orginal staus of shipment]]&lt;&gt;"Delivered","not applicabel", IF(logistics_data[[#This Row],[Transit_Days]]&gt;=5,"slow","fast"))</f>
        <v>slow</v>
      </c>
    </row>
    <row r="95" spans="1:14" x14ac:dyDescent="0.3">
      <c r="A95" t="s">
        <v>141</v>
      </c>
      <c r="B95" t="s">
        <v>12</v>
      </c>
      <c r="C95" t="s">
        <v>21</v>
      </c>
      <c r="D95" t="s">
        <v>14</v>
      </c>
      <c r="E95" s="1">
        <v>44988</v>
      </c>
      <c r="F95" s="1">
        <v>44993</v>
      </c>
      <c r="G95">
        <v>32.9</v>
      </c>
      <c r="H95">
        <v>337.04</v>
      </c>
      <c r="I95" t="s">
        <v>15</v>
      </c>
      <c r="J95">
        <v>2233</v>
      </c>
      <c r="K95">
        <v>5</v>
      </c>
      <c r="L95" t="str">
        <f>IF(logistics_data[[#This Row],[Delivery_Date]]="","In Transit",
 IF(logistics_data[[#This Row],[Status]]="Lost","Lost",
 IF(logistics_data[[#This Row],[Status]]="Returned","Returned",
 IF(logistics_data[[#This Row],[Status]]="Delayed","Delayed",
 "Delivered"))))</f>
        <v>Delivered</v>
      </c>
      <c r="M95" s="2">
        <f>logistics_data[[#This Row],[Cost]]/logistics_data[[#This Row],[Distance_miles]]</f>
        <v>0.15093596059113301</v>
      </c>
      <c r="N95" t="str">
        <f>IF(logistics_data[[#This Row],[Orginal staus of shipment]]&lt;&gt;"Delivered","not applicabel", IF(logistics_data[[#This Row],[Transit_Days]]&gt;=5,"slow","fast"))</f>
        <v>slow</v>
      </c>
    </row>
    <row r="96" spans="1:14" x14ac:dyDescent="0.3">
      <c r="A96" t="s">
        <v>142</v>
      </c>
      <c r="B96" t="s">
        <v>30</v>
      </c>
      <c r="C96" t="s">
        <v>13</v>
      </c>
      <c r="D96" t="s">
        <v>25</v>
      </c>
      <c r="E96" s="1">
        <v>45033</v>
      </c>
      <c r="F96" s="1">
        <v>45040</v>
      </c>
      <c r="G96">
        <v>29.5</v>
      </c>
      <c r="H96">
        <v>167.82</v>
      </c>
      <c r="I96" t="s">
        <v>15</v>
      </c>
      <c r="J96">
        <v>1022</v>
      </c>
      <c r="K96">
        <v>7</v>
      </c>
      <c r="L96" t="str">
        <f>IF(logistics_data[[#This Row],[Delivery_Date]]="","In Transit",
 IF(logistics_data[[#This Row],[Status]]="Lost","Lost",
 IF(logistics_data[[#This Row],[Status]]="Returned","Returned",
 IF(logistics_data[[#This Row],[Status]]="Delayed","Delayed",
 "Delivered"))))</f>
        <v>Delivered</v>
      </c>
      <c r="M96" s="2">
        <f>logistics_data[[#This Row],[Cost]]/logistics_data[[#This Row],[Distance_miles]]</f>
        <v>0.16420743639921723</v>
      </c>
      <c r="N96" t="str">
        <f>IF(logistics_data[[#This Row],[Orginal staus of shipment]]&lt;&gt;"Delivered","not applicabel", IF(logistics_data[[#This Row],[Transit_Days]]&gt;=5,"slow","fast"))</f>
        <v>slow</v>
      </c>
    </row>
    <row r="97" spans="1:14" x14ac:dyDescent="0.3">
      <c r="A97" t="s">
        <v>143</v>
      </c>
      <c r="B97" t="s">
        <v>12</v>
      </c>
      <c r="C97" t="s">
        <v>40</v>
      </c>
      <c r="D97" t="s">
        <v>37</v>
      </c>
      <c r="E97" s="1">
        <v>45108</v>
      </c>
      <c r="F97" s="1">
        <v>45111</v>
      </c>
      <c r="G97">
        <v>18.600000000000001</v>
      </c>
      <c r="H97">
        <v>191.08</v>
      </c>
      <c r="I97" t="s">
        <v>15</v>
      </c>
      <c r="J97">
        <v>1447</v>
      </c>
      <c r="K97">
        <v>3</v>
      </c>
      <c r="L97" t="str">
        <f>IF(logistics_data[[#This Row],[Delivery_Date]]="","In Transit",
 IF(logistics_data[[#This Row],[Status]]="Lost","Lost",
 IF(logistics_data[[#This Row],[Status]]="Returned","Returned",
 IF(logistics_data[[#This Row],[Status]]="Delayed","Delayed",
 "Delivered"))))</f>
        <v>Delivered</v>
      </c>
      <c r="M97" s="2">
        <f>logistics_data[[#This Row],[Cost]]/logistics_data[[#This Row],[Distance_miles]]</f>
        <v>0.13205252246026261</v>
      </c>
      <c r="N97" t="str">
        <f>IF(logistics_data[[#This Row],[Orginal staus of shipment]]&lt;&gt;"Delivered","not applicabel", IF(logistics_data[[#This Row],[Transit_Days]]&gt;=5,"slow","fast"))</f>
        <v>fast</v>
      </c>
    </row>
    <row r="98" spans="1:14" x14ac:dyDescent="0.3">
      <c r="A98" t="s">
        <v>144</v>
      </c>
      <c r="B98" t="s">
        <v>12</v>
      </c>
      <c r="C98" t="s">
        <v>17</v>
      </c>
      <c r="D98" t="s">
        <v>18</v>
      </c>
      <c r="E98" s="1">
        <v>45158</v>
      </c>
      <c r="F98" s="1">
        <v>45159</v>
      </c>
      <c r="G98">
        <v>9.6</v>
      </c>
      <c r="H98">
        <v>42.77</v>
      </c>
      <c r="I98" t="s">
        <v>15</v>
      </c>
      <c r="J98">
        <v>241</v>
      </c>
      <c r="K98">
        <v>1</v>
      </c>
      <c r="L98" t="str">
        <f>IF(logistics_data[[#This Row],[Delivery_Date]]="","In Transit",
 IF(logistics_data[[#This Row],[Status]]="Lost","Lost",
 IF(logistics_data[[#This Row],[Status]]="Returned","Returned",
 IF(logistics_data[[#This Row],[Status]]="Delayed","Delayed",
 "Delivered"))))</f>
        <v>Delivered</v>
      </c>
      <c r="M98" s="2">
        <f>logistics_data[[#This Row],[Cost]]/logistics_data[[#This Row],[Distance_miles]]</f>
        <v>0.17746887966804981</v>
      </c>
      <c r="N98" t="str">
        <f>IF(logistics_data[[#This Row],[Orginal staus of shipment]]&lt;&gt;"Delivered","not applicabel", IF(logistics_data[[#This Row],[Transit_Days]]&gt;=5,"slow","fast"))</f>
        <v>fast</v>
      </c>
    </row>
    <row r="99" spans="1:14" x14ac:dyDescent="0.3">
      <c r="A99" t="s">
        <v>145</v>
      </c>
      <c r="B99" t="s">
        <v>12</v>
      </c>
      <c r="C99" t="s">
        <v>17</v>
      </c>
      <c r="D99" t="s">
        <v>37</v>
      </c>
      <c r="E99" s="1">
        <v>45188</v>
      </c>
      <c r="G99">
        <v>80.400000000000006</v>
      </c>
      <c r="H99">
        <v>259.98</v>
      </c>
      <c r="I99" t="s">
        <v>15</v>
      </c>
      <c r="J99">
        <v>1554</v>
      </c>
      <c r="K99">
        <v>5</v>
      </c>
      <c r="L99" t="str">
        <f>IF(logistics_data[[#This Row],[Delivery_Date]]="","In Transit",
 IF(logistics_data[[#This Row],[Status]]="Lost","Lost",
 IF(logistics_data[[#This Row],[Status]]="Returned","Returned",
 IF(logistics_data[[#This Row],[Status]]="Delayed","Delayed",
 "Delivered"))))</f>
        <v>In Transit</v>
      </c>
      <c r="M99" s="2">
        <f>logistics_data[[#This Row],[Cost]]/logistics_data[[#This Row],[Distance_miles]]</f>
        <v>0.16729729729729731</v>
      </c>
      <c r="N99" t="str">
        <f>IF(logistics_data[[#This Row],[Orginal staus of shipment]]&lt;&gt;"Delivered","not applicabel", IF(logistics_data[[#This Row],[Transit_Days]]&gt;=5,"slow","fast"))</f>
        <v>not applicabel</v>
      </c>
    </row>
    <row r="100" spans="1:14" x14ac:dyDescent="0.3">
      <c r="A100" t="s">
        <v>146</v>
      </c>
      <c r="B100" t="s">
        <v>23</v>
      </c>
      <c r="C100" t="s">
        <v>54</v>
      </c>
      <c r="D100" t="s">
        <v>25</v>
      </c>
      <c r="E100" s="1">
        <v>45056</v>
      </c>
      <c r="F100" s="1">
        <v>45061</v>
      </c>
      <c r="G100">
        <v>11.1</v>
      </c>
      <c r="H100">
        <v>273.63</v>
      </c>
      <c r="I100" t="s">
        <v>15</v>
      </c>
      <c r="J100">
        <v>2053</v>
      </c>
      <c r="K100">
        <v>5</v>
      </c>
      <c r="L100" t="str">
        <f>IF(logistics_data[[#This Row],[Delivery_Date]]="","In Transit",
 IF(logistics_data[[#This Row],[Status]]="Lost","Lost",
 IF(logistics_data[[#This Row],[Status]]="Returned","Returned",
 IF(logistics_data[[#This Row],[Status]]="Delayed","Delayed",
 "Delivered"))))</f>
        <v>Delivered</v>
      </c>
      <c r="M100" s="2">
        <f>logistics_data[[#This Row],[Cost]]/logistics_data[[#This Row],[Distance_miles]]</f>
        <v>0.13328300048709205</v>
      </c>
      <c r="N100" t="str">
        <f>IF(logistics_data[[#This Row],[Orginal staus of shipment]]&lt;&gt;"Delivered","not applicabel", IF(logistics_data[[#This Row],[Transit_Days]]&gt;=5,"slow","fast"))</f>
        <v>slow</v>
      </c>
    </row>
    <row r="101" spans="1:14" x14ac:dyDescent="0.3">
      <c r="A101" t="s">
        <v>147</v>
      </c>
      <c r="B101" t="s">
        <v>49</v>
      </c>
      <c r="C101" t="s">
        <v>52</v>
      </c>
      <c r="D101" t="s">
        <v>42</v>
      </c>
      <c r="E101" s="1">
        <v>45125</v>
      </c>
      <c r="F101" s="1">
        <v>45128</v>
      </c>
      <c r="G101">
        <v>14.6</v>
      </c>
      <c r="H101">
        <v>141.34</v>
      </c>
      <c r="I101" t="s">
        <v>15</v>
      </c>
      <c r="J101">
        <v>1158</v>
      </c>
      <c r="K101">
        <v>3</v>
      </c>
      <c r="L101" t="str">
        <f>IF(logistics_data[[#This Row],[Delivery_Date]]="","In Transit",
 IF(logistics_data[[#This Row],[Status]]="Lost","Lost",
 IF(logistics_data[[#This Row],[Status]]="Returned","Returned",
 IF(logistics_data[[#This Row],[Status]]="Delayed","Delayed",
 "Delivered"))))</f>
        <v>Delivered</v>
      </c>
      <c r="M101" s="2">
        <f>logistics_data[[#This Row],[Cost]]/logistics_data[[#This Row],[Distance_miles]]</f>
        <v>0.12205526770293609</v>
      </c>
      <c r="N101" t="str">
        <f>IF(logistics_data[[#This Row],[Orginal staus of shipment]]&lt;&gt;"Delivered","not applicabel", IF(logistics_data[[#This Row],[Transit_Days]]&gt;=5,"slow","fast"))</f>
        <v>fast</v>
      </c>
    </row>
    <row r="102" spans="1:14" x14ac:dyDescent="0.3">
      <c r="A102" t="s">
        <v>148</v>
      </c>
      <c r="B102" t="s">
        <v>35</v>
      </c>
      <c r="C102" t="s">
        <v>17</v>
      </c>
      <c r="D102" t="s">
        <v>37</v>
      </c>
      <c r="E102" s="1">
        <v>45026</v>
      </c>
      <c r="F102" s="1">
        <v>45033</v>
      </c>
      <c r="G102">
        <v>11.9</v>
      </c>
      <c r="H102">
        <v>277.05</v>
      </c>
      <c r="I102" t="s">
        <v>15</v>
      </c>
      <c r="J102">
        <v>2109</v>
      </c>
      <c r="K102">
        <v>7</v>
      </c>
      <c r="L102" t="str">
        <f>IF(logistics_data[[#This Row],[Delivery_Date]]="","In Transit",
 IF(logistics_data[[#This Row],[Status]]="Lost","Lost",
 IF(logistics_data[[#This Row],[Status]]="Returned","Returned",
 IF(logistics_data[[#This Row],[Status]]="Delayed","Delayed",
 "Delivered"))))</f>
        <v>Delivered</v>
      </c>
      <c r="M102" s="2">
        <f>logistics_data[[#This Row],[Cost]]/logistics_data[[#This Row],[Distance_miles]]</f>
        <v>0.13136557610241822</v>
      </c>
      <c r="N102" t="str">
        <f>IF(logistics_data[[#This Row],[Orginal staus of shipment]]&lt;&gt;"Delivered","not applicabel", IF(logistics_data[[#This Row],[Transit_Days]]&gt;=5,"slow","fast"))</f>
        <v>slow</v>
      </c>
    </row>
    <row r="103" spans="1:14" x14ac:dyDescent="0.3">
      <c r="A103" t="s">
        <v>149</v>
      </c>
      <c r="B103" t="s">
        <v>56</v>
      </c>
      <c r="C103" t="s">
        <v>54</v>
      </c>
      <c r="D103" t="s">
        <v>42</v>
      </c>
      <c r="E103" s="1">
        <v>45166</v>
      </c>
      <c r="F103" s="1">
        <v>45168</v>
      </c>
      <c r="G103">
        <v>51</v>
      </c>
      <c r="I103" t="s">
        <v>15</v>
      </c>
      <c r="J103">
        <v>179</v>
      </c>
      <c r="K103">
        <v>2</v>
      </c>
      <c r="L103" t="str">
        <f>IF(logistics_data[[#This Row],[Delivery_Date]]="","In Transit",
 IF(logistics_data[[#This Row],[Status]]="Lost","Lost",
 IF(logistics_data[[#This Row],[Status]]="Returned","Returned",
 IF(logistics_data[[#This Row],[Status]]="Delayed","Delayed",
 "Delivered"))))</f>
        <v>Delivered</v>
      </c>
      <c r="M103" s="2">
        <f>logistics_data[[#This Row],[Cost]]/logistics_data[[#This Row],[Distance_miles]]</f>
        <v>0</v>
      </c>
      <c r="N103" t="str">
        <f>IF(logistics_data[[#This Row],[Orginal staus of shipment]]&lt;&gt;"Delivered","not applicabel", IF(logistics_data[[#This Row],[Transit_Days]]&gt;=5,"slow","fast"))</f>
        <v>fast</v>
      </c>
    </row>
    <row r="104" spans="1:14" x14ac:dyDescent="0.3">
      <c r="A104" t="s">
        <v>150</v>
      </c>
      <c r="B104" t="s">
        <v>23</v>
      </c>
      <c r="C104" t="s">
        <v>21</v>
      </c>
      <c r="D104" t="s">
        <v>18</v>
      </c>
      <c r="E104" s="1">
        <v>45124</v>
      </c>
      <c r="F104" s="1">
        <v>45131</v>
      </c>
      <c r="G104">
        <v>8.6</v>
      </c>
      <c r="H104">
        <v>352.85</v>
      </c>
      <c r="I104" t="s">
        <v>15</v>
      </c>
      <c r="J104">
        <v>2465</v>
      </c>
      <c r="K104">
        <v>7</v>
      </c>
      <c r="L104" t="str">
        <f>IF(logistics_data[[#This Row],[Delivery_Date]]="","In Transit",
 IF(logistics_data[[#This Row],[Status]]="Lost","Lost",
 IF(logistics_data[[#This Row],[Status]]="Returned","Returned",
 IF(logistics_data[[#This Row],[Status]]="Delayed","Delayed",
 "Delivered"))))</f>
        <v>Delivered</v>
      </c>
      <c r="M104" s="2">
        <f>logistics_data[[#This Row],[Cost]]/logistics_data[[#This Row],[Distance_miles]]</f>
        <v>0.14314401622718054</v>
      </c>
      <c r="N104" t="str">
        <f>IF(logistics_data[[#This Row],[Orginal staus of shipment]]&lt;&gt;"Delivered","not applicabel", IF(logistics_data[[#This Row],[Transit_Days]]&gt;=5,"slow","fast"))</f>
        <v>slow</v>
      </c>
    </row>
    <row r="105" spans="1:14" x14ac:dyDescent="0.3">
      <c r="A105" t="s">
        <v>151</v>
      </c>
      <c r="B105" t="s">
        <v>23</v>
      </c>
      <c r="C105" t="s">
        <v>31</v>
      </c>
      <c r="D105" t="s">
        <v>37</v>
      </c>
      <c r="E105" s="1">
        <v>44940</v>
      </c>
      <c r="F105" s="1">
        <v>44951</v>
      </c>
      <c r="G105">
        <v>6.3</v>
      </c>
      <c r="H105">
        <v>283.56</v>
      </c>
      <c r="I105" t="s">
        <v>15</v>
      </c>
      <c r="J105">
        <v>2366</v>
      </c>
      <c r="K105">
        <v>11</v>
      </c>
      <c r="L105" t="str">
        <f>IF(logistics_data[[#This Row],[Delivery_Date]]="","In Transit",
 IF(logistics_data[[#This Row],[Status]]="Lost","Lost",
 IF(logistics_data[[#This Row],[Status]]="Returned","Returned",
 IF(logistics_data[[#This Row],[Status]]="Delayed","Delayed",
 "Delivered"))))</f>
        <v>Delivered</v>
      </c>
      <c r="M105" s="2">
        <f>logistics_data[[#This Row],[Cost]]/logistics_data[[#This Row],[Distance_miles]]</f>
        <v>0.11984784446322908</v>
      </c>
      <c r="N105" t="str">
        <f>IF(logistics_data[[#This Row],[Orginal staus of shipment]]&lt;&gt;"Delivered","not applicabel", IF(logistics_data[[#This Row],[Transit_Days]]&gt;=5,"slow","fast"))</f>
        <v>slow</v>
      </c>
    </row>
    <row r="106" spans="1:14" x14ac:dyDescent="0.3">
      <c r="A106" t="s">
        <v>152</v>
      </c>
      <c r="B106" t="s">
        <v>49</v>
      </c>
      <c r="C106" t="s">
        <v>31</v>
      </c>
      <c r="D106" t="s">
        <v>32</v>
      </c>
      <c r="E106" s="1">
        <v>45273</v>
      </c>
      <c r="F106" s="1">
        <v>45276</v>
      </c>
      <c r="G106">
        <v>16.600000000000001</v>
      </c>
      <c r="H106">
        <v>121.29</v>
      </c>
      <c r="I106" t="s">
        <v>15</v>
      </c>
      <c r="J106">
        <v>543</v>
      </c>
      <c r="K106">
        <v>3</v>
      </c>
      <c r="L106" t="str">
        <f>IF(logistics_data[[#This Row],[Delivery_Date]]="","In Transit",
 IF(logistics_data[[#This Row],[Status]]="Lost","Lost",
 IF(logistics_data[[#This Row],[Status]]="Returned","Returned",
 IF(logistics_data[[#This Row],[Status]]="Delayed","Delayed",
 "Delivered"))))</f>
        <v>Delivered</v>
      </c>
      <c r="M106" s="2">
        <f>logistics_data[[#This Row],[Cost]]/logistics_data[[#This Row],[Distance_miles]]</f>
        <v>0.22337016574585636</v>
      </c>
      <c r="N106" t="str">
        <f>IF(logistics_data[[#This Row],[Orginal staus of shipment]]&lt;&gt;"Delivered","not applicabel", IF(logistics_data[[#This Row],[Transit_Days]]&gt;=5,"slow","fast"))</f>
        <v>fast</v>
      </c>
    </row>
    <row r="107" spans="1:14" x14ac:dyDescent="0.3">
      <c r="A107" t="s">
        <v>153</v>
      </c>
      <c r="B107" t="s">
        <v>12</v>
      </c>
      <c r="C107" t="s">
        <v>31</v>
      </c>
      <c r="D107" t="s">
        <v>18</v>
      </c>
      <c r="E107" s="1">
        <v>45039</v>
      </c>
      <c r="F107" s="1">
        <v>45052</v>
      </c>
      <c r="G107">
        <v>40.700000000000003</v>
      </c>
      <c r="H107">
        <v>270.27</v>
      </c>
      <c r="I107" t="s">
        <v>47</v>
      </c>
      <c r="J107">
        <v>1682</v>
      </c>
      <c r="K107">
        <v>6</v>
      </c>
      <c r="L107" t="str">
        <f>IF(logistics_data[[#This Row],[Delivery_Date]]="","In Transit",
 IF(logistics_data[[#This Row],[Status]]="Lost","Lost",
 IF(logistics_data[[#This Row],[Status]]="Returned","Returned",
 IF(logistics_data[[#This Row],[Status]]="Delayed","Delayed",
 "Delivered"))))</f>
        <v>Delayed</v>
      </c>
      <c r="M107" s="2">
        <f>logistics_data[[#This Row],[Cost]]/logistics_data[[#This Row],[Distance_miles]]</f>
        <v>0.16068370986920333</v>
      </c>
      <c r="N107" t="str">
        <f>IF(logistics_data[[#This Row],[Orginal staus of shipment]]&lt;&gt;"Delivered","not applicabel", IF(logistics_data[[#This Row],[Transit_Days]]&gt;=5,"slow","fast"))</f>
        <v>not applicabel</v>
      </c>
    </row>
    <row r="108" spans="1:14" x14ac:dyDescent="0.3">
      <c r="A108" t="s">
        <v>154</v>
      </c>
      <c r="B108" t="s">
        <v>39</v>
      </c>
      <c r="C108" t="s">
        <v>81</v>
      </c>
      <c r="D108" t="s">
        <v>25</v>
      </c>
      <c r="E108" s="1">
        <v>45157</v>
      </c>
      <c r="F108" s="1">
        <v>45160</v>
      </c>
      <c r="G108">
        <v>22.6</v>
      </c>
      <c r="H108">
        <v>149.52000000000001</v>
      </c>
      <c r="I108" t="s">
        <v>15</v>
      </c>
      <c r="J108">
        <v>1030</v>
      </c>
      <c r="K108">
        <v>3</v>
      </c>
      <c r="L108" t="str">
        <f>IF(logistics_data[[#This Row],[Delivery_Date]]="","In Transit",
 IF(logistics_data[[#This Row],[Status]]="Lost","Lost",
 IF(logistics_data[[#This Row],[Status]]="Returned","Returned",
 IF(logistics_data[[#This Row],[Status]]="Delayed","Delayed",
 "Delivered"))))</f>
        <v>Delivered</v>
      </c>
      <c r="M108" s="2">
        <f>logistics_data[[#This Row],[Cost]]/logistics_data[[#This Row],[Distance_miles]]</f>
        <v>0.14516504854368933</v>
      </c>
      <c r="N108" t="str">
        <f>IF(logistics_data[[#This Row],[Orginal staus of shipment]]&lt;&gt;"Delivered","not applicabel", IF(logistics_data[[#This Row],[Transit_Days]]&gt;=5,"slow","fast"))</f>
        <v>fast</v>
      </c>
    </row>
    <row r="109" spans="1:14" x14ac:dyDescent="0.3">
      <c r="A109" t="s">
        <v>155</v>
      </c>
      <c r="B109" t="s">
        <v>51</v>
      </c>
      <c r="C109" t="s">
        <v>44</v>
      </c>
      <c r="D109" t="s">
        <v>14</v>
      </c>
      <c r="E109" s="1">
        <v>45137</v>
      </c>
      <c r="F109" s="1">
        <v>45140</v>
      </c>
      <c r="G109">
        <v>44.3</v>
      </c>
      <c r="H109">
        <v>140.74</v>
      </c>
      <c r="I109" t="s">
        <v>15</v>
      </c>
      <c r="J109">
        <v>790</v>
      </c>
      <c r="K109">
        <v>3</v>
      </c>
      <c r="L109" t="str">
        <f>IF(logistics_data[[#This Row],[Delivery_Date]]="","In Transit",
 IF(logistics_data[[#This Row],[Status]]="Lost","Lost",
 IF(logistics_data[[#This Row],[Status]]="Returned","Returned",
 IF(logistics_data[[#This Row],[Status]]="Delayed","Delayed",
 "Delivered"))))</f>
        <v>Delivered</v>
      </c>
      <c r="M109" s="2">
        <f>logistics_data[[#This Row],[Cost]]/logistics_data[[#This Row],[Distance_miles]]</f>
        <v>0.17815189873417722</v>
      </c>
      <c r="N109" t="str">
        <f>IF(logistics_data[[#This Row],[Orginal staus of shipment]]&lt;&gt;"Delivered","not applicabel", IF(logistics_data[[#This Row],[Transit_Days]]&gt;=5,"slow","fast"))</f>
        <v>fast</v>
      </c>
    </row>
    <row r="110" spans="1:14" x14ac:dyDescent="0.3">
      <c r="A110" t="s">
        <v>156</v>
      </c>
      <c r="B110" t="s">
        <v>12</v>
      </c>
      <c r="C110" t="s">
        <v>57</v>
      </c>
      <c r="D110" t="s">
        <v>42</v>
      </c>
      <c r="E110" s="1">
        <v>45153</v>
      </c>
      <c r="F110" s="1">
        <v>45157</v>
      </c>
      <c r="G110">
        <v>12.8</v>
      </c>
      <c r="H110">
        <v>198.31</v>
      </c>
      <c r="I110" t="s">
        <v>15</v>
      </c>
      <c r="J110">
        <v>1534</v>
      </c>
      <c r="K110">
        <v>4</v>
      </c>
      <c r="L110" t="str">
        <f>IF(logistics_data[[#This Row],[Delivery_Date]]="","In Transit",
 IF(logistics_data[[#This Row],[Status]]="Lost","Lost",
 IF(logistics_data[[#This Row],[Status]]="Returned","Returned",
 IF(logistics_data[[#This Row],[Status]]="Delayed","Delayed",
 "Delivered"))))</f>
        <v>Delivered</v>
      </c>
      <c r="M110" s="2">
        <f>logistics_data[[#This Row],[Cost]]/logistics_data[[#This Row],[Distance_miles]]</f>
        <v>0.12927640156453715</v>
      </c>
      <c r="N110" t="str">
        <f>IF(logistics_data[[#This Row],[Orginal staus of shipment]]&lt;&gt;"Delivered","not applicabel", IF(logistics_data[[#This Row],[Transit_Days]]&gt;=5,"slow","fast"))</f>
        <v>fast</v>
      </c>
    </row>
    <row r="111" spans="1:14" x14ac:dyDescent="0.3">
      <c r="A111" t="s">
        <v>157</v>
      </c>
      <c r="B111" t="s">
        <v>56</v>
      </c>
      <c r="C111" t="s">
        <v>52</v>
      </c>
      <c r="D111" t="s">
        <v>42</v>
      </c>
      <c r="E111" s="1">
        <v>45273</v>
      </c>
      <c r="G111">
        <v>16.5</v>
      </c>
      <c r="H111">
        <v>73.12</v>
      </c>
      <c r="I111" t="s">
        <v>15</v>
      </c>
      <c r="J111">
        <v>371</v>
      </c>
      <c r="K111">
        <v>2</v>
      </c>
      <c r="L111" t="str">
        <f>IF(logistics_data[[#This Row],[Delivery_Date]]="","In Transit",
 IF(logistics_data[[#This Row],[Status]]="Lost","Lost",
 IF(logistics_data[[#This Row],[Status]]="Returned","Returned",
 IF(logistics_data[[#This Row],[Status]]="Delayed","Delayed",
 "Delivered"))))</f>
        <v>In Transit</v>
      </c>
      <c r="M111" s="2">
        <f>logistics_data[[#This Row],[Cost]]/logistics_data[[#This Row],[Distance_miles]]</f>
        <v>0.19708894878706201</v>
      </c>
      <c r="N111" t="str">
        <f>IF(logistics_data[[#This Row],[Orginal staus of shipment]]&lt;&gt;"Delivered","not applicabel", IF(logistics_data[[#This Row],[Transit_Days]]&gt;=5,"slow","fast"))</f>
        <v>not applicabel</v>
      </c>
    </row>
    <row r="112" spans="1:14" x14ac:dyDescent="0.3">
      <c r="A112" t="s">
        <v>158</v>
      </c>
      <c r="B112" t="s">
        <v>35</v>
      </c>
      <c r="C112" t="s">
        <v>21</v>
      </c>
      <c r="D112" t="s">
        <v>18</v>
      </c>
      <c r="E112" s="1">
        <v>45191</v>
      </c>
      <c r="F112" s="1">
        <v>45198</v>
      </c>
      <c r="G112">
        <v>46.1</v>
      </c>
      <c r="H112">
        <v>409.06</v>
      </c>
      <c r="I112" t="s">
        <v>15</v>
      </c>
      <c r="J112">
        <v>2306</v>
      </c>
      <c r="K112">
        <v>7</v>
      </c>
      <c r="L112" t="str">
        <f>IF(logistics_data[[#This Row],[Delivery_Date]]="","In Transit",
 IF(logistics_data[[#This Row],[Status]]="Lost","Lost",
 IF(logistics_data[[#This Row],[Status]]="Returned","Returned",
 IF(logistics_data[[#This Row],[Status]]="Delayed","Delayed",
 "Delivered"))))</f>
        <v>Delivered</v>
      </c>
      <c r="M112" s="2">
        <f>logistics_data[[#This Row],[Cost]]/logistics_data[[#This Row],[Distance_miles]]</f>
        <v>0.17738941890719861</v>
      </c>
      <c r="N112" t="str">
        <f>IF(logistics_data[[#This Row],[Orginal staus of shipment]]&lt;&gt;"Delivered","not applicabel", IF(logistics_data[[#This Row],[Transit_Days]]&gt;=5,"slow","fast"))</f>
        <v>slow</v>
      </c>
    </row>
    <row r="113" spans="1:14" x14ac:dyDescent="0.3">
      <c r="A113" t="s">
        <v>159</v>
      </c>
      <c r="B113" t="s">
        <v>27</v>
      </c>
      <c r="C113" t="s">
        <v>31</v>
      </c>
      <c r="D113" t="s">
        <v>32</v>
      </c>
      <c r="E113" s="1">
        <v>45070</v>
      </c>
      <c r="F113" s="1">
        <v>45075</v>
      </c>
      <c r="G113">
        <v>19.2</v>
      </c>
      <c r="H113">
        <v>273.26</v>
      </c>
      <c r="I113" t="s">
        <v>15</v>
      </c>
      <c r="J113">
        <v>1810</v>
      </c>
      <c r="K113">
        <v>5</v>
      </c>
      <c r="L113" t="str">
        <f>IF(logistics_data[[#This Row],[Delivery_Date]]="","In Transit",
 IF(logistics_data[[#This Row],[Status]]="Lost","Lost",
 IF(logistics_data[[#This Row],[Status]]="Returned","Returned",
 IF(logistics_data[[#This Row],[Status]]="Delayed","Delayed",
 "Delivered"))))</f>
        <v>Delivered</v>
      </c>
      <c r="M113" s="2">
        <f>logistics_data[[#This Row],[Cost]]/logistics_data[[#This Row],[Distance_miles]]</f>
        <v>0.15097237569060773</v>
      </c>
      <c r="N113" t="str">
        <f>IF(logistics_data[[#This Row],[Orginal staus of shipment]]&lt;&gt;"Delivered","not applicabel", IF(logistics_data[[#This Row],[Transit_Days]]&gt;=5,"slow","fast"))</f>
        <v>slow</v>
      </c>
    </row>
    <row r="114" spans="1:14" x14ac:dyDescent="0.3">
      <c r="A114" t="s">
        <v>160</v>
      </c>
      <c r="B114" t="s">
        <v>39</v>
      </c>
      <c r="C114" t="s">
        <v>44</v>
      </c>
      <c r="D114" t="s">
        <v>37</v>
      </c>
      <c r="E114" s="1">
        <v>44959</v>
      </c>
      <c r="F114" s="1">
        <v>44973</v>
      </c>
      <c r="G114">
        <v>7.6</v>
      </c>
      <c r="H114">
        <v>41.42</v>
      </c>
      <c r="I114" t="s">
        <v>47</v>
      </c>
      <c r="J114">
        <v>277</v>
      </c>
      <c r="K114">
        <v>2</v>
      </c>
      <c r="L114" t="str">
        <f>IF(logistics_data[[#This Row],[Delivery_Date]]="","In Transit",
 IF(logistics_data[[#This Row],[Status]]="Lost","Lost",
 IF(logistics_data[[#This Row],[Status]]="Returned","Returned",
 IF(logistics_data[[#This Row],[Status]]="Delayed","Delayed",
 "Delivered"))))</f>
        <v>Delayed</v>
      </c>
      <c r="M114" s="2">
        <f>logistics_data[[#This Row],[Cost]]/logistics_data[[#This Row],[Distance_miles]]</f>
        <v>0.14953068592057761</v>
      </c>
      <c r="N114" t="str">
        <f>IF(logistics_data[[#This Row],[Orginal staus of shipment]]&lt;&gt;"Delivered","not applicabel", IF(logistics_data[[#This Row],[Transit_Days]]&gt;=5,"slow","fast"))</f>
        <v>not applicabel</v>
      </c>
    </row>
    <row r="115" spans="1:14" x14ac:dyDescent="0.3">
      <c r="A115" t="s">
        <v>161</v>
      </c>
      <c r="B115" t="s">
        <v>35</v>
      </c>
      <c r="C115" t="s">
        <v>44</v>
      </c>
      <c r="D115" t="s">
        <v>59</v>
      </c>
      <c r="E115" s="1">
        <v>45084</v>
      </c>
      <c r="F115" s="1">
        <v>45090</v>
      </c>
      <c r="G115">
        <v>38.1</v>
      </c>
      <c r="H115">
        <v>272.16000000000003</v>
      </c>
      <c r="I115" t="s">
        <v>15</v>
      </c>
      <c r="J115">
        <v>1953</v>
      </c>
      <c r="K115">
        <v>6</v>
      </c>
      <c r="L115" t="str">
        <f>IF(logistics_data[[#This Row],[Delivery_Date]]="","In Transit",
 IF(logistics_data[[#This Row],[Status]]="Lost","Lost",
 IF(logistics_data[[#This Row],[Status]]="Returned","Returned",
 IF(logistics_data[[#This Row],[Status]]="Delayed","Delayed",
 "Delivered"))))</f>
        <v>Delivered</v>
      </c>
      <c r="M115" s="2">
        <f>logistics_data[[#This Row],[Cost]]/logistics_data[[#This Row],[Distance_miles]]</f>
        <v>0.13935483870967744</v>
      </c>
      <c r="N115" t="str">
        <f>IF(logistics_data[[#This Row],[Orginal staus of shipment]]&lt;&gt;"Delivered","not applicabel", IF(logistics_data[[#This Row],[Transit_Days]]&gt;=5,"slow","fast"))</f>
        <v>slow</v>
      </c>
    </row>
    <row r="116" spans="1:14" x14ac:dyDescent="0.3">
      <c r="A116" t="s">
        <v>162</v>
      </c>
      <c r="B116" t="s">
        <v>27</v>
      </c>
      <c r="C116" t="s">
        <v>70</v>
      </c>
      <c r="D116" t="s">
        <v>32</v>
      </c>
      <c r="E116" s="1">
        <v>45019</v>
      </c>
      <c r="F116" s="1">
        <v>44989</v>
      </c>
      <c r="G116">
        <v>23.2</v>
      </c>
      <c r="H116">
        <v>270.43</v>
      </c>
      <c r="I116" t="s">
        <v>15</v>
      </c>
      <c r="J116">
        <v>1800</v>
      </c>
      <c r="K116">
        <v>4</v>
      </c>
      <c r="L116" t="str">
        <f>IF(logistics_data[[#This Row],[Delivery_Date]]="","In Transit",
 IF(logistics_data[[#This Row],[Status]]="Lost","Lost",
 IF(logistics_data[[#This Row],[Status]]="Returned","Returned",
 IF(logistics_data[[#This Row],[Status]]="Delayed","Delayed",
 "Delivered"))))</f>
        <v>Delivered</v>
      </c>
      <c r="M116" s="2">
        <f>logistics_data[[#This Row],[Cost]]/logistics_data[[#This Row],[Distance_miles]]</f>
        <v>0.15023888888888889</v>
      </c>
      <c r="N116" t="str">
        <f>IF(logistics_data[[#This Row],[Orginal staus of shipment]]&lt;&gt;"Delivered","not applicabel", IF(logistics_data[[#This Row],[Transit_Days]]&gt;=5,"slow","fast"))</f>
        <v>fast</v>
      </c>
    </row>
    <row r="117" spans="1:14" x14ac:dyDescent="0.3">
      <c r="A117" t="s">
        <v>163</v>
      </c>
      <c r="B117" t="s">
        <v>51</v>
      </c>
      <c r="C117" t="s">
        <v>36</v>
      </c>
      <c r="D117" t="s">
        <v>42</v>
      </c>
      <c r="E117" s="1">
        <v>45127</v>
      </c>
      <c r="F117" s="1">
        <v>45132</v>
      </c>
      <c r="G117">
        <v>22.8</v>
      </c>
      <c r="H117">
        <v>267.89</v>
      </c>
      <c r="I117" t="s">
        <v>15</v>
      </c>
      <c r="J117">
        <v>1951</v>
      </c>
      <c r="K117">
        <v>5</v>
      </c>
      <c r="L117" t="str">
        <f>IF(logistics_data[[#This Row],[Delivery_Date]]="","In Transit",
 IF(logistics_data[[#This Row],[Status]]="Lost","Lost",
 IF(logistics_data[[#This Row],[Status]]="Returned","Returned",
 IF(logistics_data[[#This Row],[Status]]="Delayed","Delayed",
 "Delivered"))))</f>
        <v>Delivered</v>
      </c>
      <c r="M117" s="2">
        <f>logistics_data[[#This Row],[Cost]]/logistics_data[[#This Row],[Distance_miles]]</f>
        <v>0.13730907227063044</v>
      </c>
      <c r="N117" t="str">
        <f>IF(logistics_data[[#This Row],[Orginal staus of shipment]]&lt;&gt;"Delivered","not applicabel", IF(logistics_data[[#This Row],[Transit_Days]]&gt;=5,"slow","fast"))</f>
        <v>slow</v>
      </c>
    </row>
    <row r="118" spans="1:14" x14ac:dyDescent="0.3">
      <c r="A118" t="s">
        <v>164</v>
      </c>
      <c r="B118" t="s">
        <v>23</v>
      </c>
      <c r="C118" t="s">
        <v>21</v>
      </c>
      <c r="D118" t="s">
        <v>32</v>
      </c>
      <c r="E118" s="1">
        <v>44931</v>
      </c>
      <c r="F118" s="1">
        <v>44938</v>
      </c>
      <c r="G118">
        <v>18.8</v>
      </c>
      <c r="H118">
        <v>249.35</v>
      </c>
      <c r="I118" t="s">
        <v>15</v>
      </c>
      <c r="J118">
        <v>1744</v>
      </c>
      <c r="K118">
        <v>7</v>
      </c>
      <c r="L118" t="str">
        <f>IF(logistics_data[[#This Row],[Delivery_Date]]="","In Transit",
 IF(logistics_data[[#This Row],[Status]]="Lost","Lost",
 IF(logistics_data[[#This Row],[Status]]="Returned","Returned",
 IF(logistics_data[[#This Row],[Status]]="Delayed","Delayed",
 "Delivered"))))</f>
        <v>Delivered</v>
      </c>
      <c r="M118" s="2">
        <f>logistics_data[[#This Row],[Cost]]/logistics_data[[#This Row],[Distance_miles]]</f>
        <v>0.14297591743119265</v>
      </c>
      <c r="N118" t="str">
        <f>IF(logistics_data[[#This Row],[Orginal staus of shipment]]&lt;&gt;"Delivered","not applicabel", IF(logistics_data[[#This Row],[Transit_Days]]&gt;=5,"slow","fast"))</f>
        <v>slow</v>
      </c>
    </row>
    <row r="119" spans="1:14" x14ac:dyDescent="0.3">
      <c r="A119" t="s">
        <v>165</v>
      </c>
      <c r="B119" t="s">
        <v>35</v>
      </c>
      <c r="C119" t="s">
        <v>57</v>
      </c>
      <c r="D119" t="s">
        <v>37</v>
      </c>
      <c r="E119" s="1">
        <v>45064</v>
      </c>
      <c r="F119" s="1">
        <v>45068</v>
      </c>
      <c r="G119">
        <v>14</v>
      </c>
      <c r="H119">
        <v>171.55</v>
      </c>
      <c r="I119" t="s">
        <v>15</v>
      </c>
      <c r="J119">
        <v>1323</v>
      </c>
      <c r="K119">
        <v>4</v>
      </c>
      <c r="L119" t="str">
        <f>IF(logistics_data[[#This Row],[Delivery_Date]]="","In Transit",
 IF(logistics_data[[#This Row],[Status]]="Lost","Lost",
 IF(logistics_data[[#This Row],[Status]]="Returned","Returned",
 IF(logistics_data[[#This Row],[Status]]="Delayed","Delayed",
 "Delivered"))))</f>
        <v>Delivered</v>
      </c>
      <c r="M119" s="2">
        <f>logistics_data[[#This Row],[Cost]]/logistics_data[[#This Row],[Distance_miles]]</f>
        <v>0.1296674225245654</v>
      </c>
      <c r="N119" t="str">
        <f>IF(logistics_data[[#This Row],[Orginal staus of shipment]]&lt;&gt;"Delivered","not applicabel", IF(logistics_data[[#This Row],[Transit_Days]]&gt;=5,"slow","fast"))</f>
        <v>fast</v>
      </c>
    </row>
    <row r="120" spans="1:14" x14ac:dyDescent="0.3">
      <c r="A120" t="s">
        <v>166</v>
      </c>
      <c r="B120" t="s">
        <v>56</v>
      </c>
      <c r="C120" t="s">
        <v>81</v>
      </c>
      <c r="D120" t="s">
        <v>25</v>
      </c>
      <c r="E120" s="1">
        <v>45009</v>
      </c>
      <c r="F120" s="1">
        <v>45017</v>
      </c>
      <c r="G120">
        <v>17.600000000000001</v>
      </c>
      <c r="H120">
        <v>215.18</v>
      </c>
      <c r="I120" t="s">
        <v>47</v>
      </c>
      <c r="J120">
        <v>1646</v>
      </c>
      <c r="K120">
        <v>4</v>
      </c>
      <c r="L120" t="str">
        <f>IF(logistics_data[[#This Row],[Delivery_Date]]="","In Transit",
 IF(logistics_data[[#This Row],[Status]]="Lost","Lost",
 IF(logistics_data[[#This Row],[Status]]="Returned","Returned",
 IF(logistics_data[[#This Row],[Status]]="Delayed","Delayed",
 "Delivered"))))</f>
        <v>Delayed</v>
      </c>
      <c r="M120" s="2">
        <f>logistics_data[[#This Row],[Cost]]/logistics_data[[#This Row],[Distance_miles]]</f>
        <v>0.13072904009720535</v>
      </c>
      <c r="N120" t="str">
        <f>IF(logistics_data[[#This Row],[Orginal staus of shipment]]&lt;&gt;"Delivered","not applicabel", IF(logistics_data[[#This Row],[Transit_Days]]&gt;=5,"slow","fast"))</f>
        <v>not applicabel</v>
      </c>
    </row>
    <row r="121" spans="1:14" x14ac:dyDescent="0.3">
      <c r="A121" t="s">
        <v>167</v>
      </c>
      <c r="B121" t="s">
        <v>56</v>
      </c>
      <c r="C121" t="s">
        <v>57</v>
      </c>
      <c r="D121" t="s">
        <v>18</v>
      </c>
      <c r="E121" s="1">
        <v>45117</v>
      </c>
      <c r="F121" s="1">
        <v>45118</v>
      </c>
      <c r="G121">
        <v>21.6</v>
      </c>
      <c r="H121">
        <v>64.739999999999995</v>
      </c>
      <c r="I121" t="s">
        <v>15</v>
      </c>
      <c r="J121">
        <v>261</v>
      </c>
      <c r="K121">
        <v>1</v>
      </c>
      <c r="L121" t="str">
        <f>IF(logistics_data[[#This Row],[Delivery_Date]]="","In Transit",
 IF(logistics_data[[#This Row],[Status]]="Lost","Lost",
 IF(logistics_data[[#This Row],[Status]]="Returned","Returned",
 IF(logistics_data[[#This Row],[Status]]="Delayed","Delayed",
 "Delivered"))))</f>
        <v>Delivered</v>
      </c>
      <c r="M121" s="2">
        <f>logistics_data[[#This Row],[Cost]]/logistics_data[[#This Row],[Distance_miles]]</f>
        <v>0.24804597701149422</v>
      </c>
      <c r="N121" t="str">
        <f>IF(logistics_data[[#This Row],[Orginal staus of shipment]]&lt;&gt;"Delivered","not applicabel", IF(logistics_data[[#This Row],[Transit_Days]]&gt;=5,"slow","fast"))</f>
        <v>fast</v>
      </c>
    </row>
    <row r="122" spans="1:14" x14ac:dyDescent="0.3">
      <c r="A122" t="s">
        <v>168</v>
      </c>
      <c r="B122" t="s">
        <v>49</v>
      </c>
      <c r="C122" t="s">
        <v>81</v>
      </c>
      <c r="D122" t="s">
        <v>37</v>
      </c>
      <c r="E122" s="1">
        <v>45195</v>
      </c>
      <c r="F122" s="1">
        <v>45201</v>
      </c>
      <c r="G122">
        <v>8.1999999999999993</v>
      </c>
      <c r="H122">
        <v>278.33999999999997</v>
      </c>
      <c r="I122" t="s">
        <v>15</v>
      </c>
      <c r="J122">
        <v>2330</v>
      </c>
      <c r="K122">
        <v>6</v>
      </c>
      <c r="L122" t="str">
        <f>IF(logistics_data[[#This Row],[Delivery_Date]]="","In Transit",
 IF(logistics_data[[#This Row],[Status]]="Lost","Lost",
 IF(logistics_data[[#This Row],[Status]]="Returned","Returned",
 IF(logistics_data[[#This Row],[Status]]="Delayed","Delayed",
 "Delivered"))))</f>
        <v>Delivered</v>
      </c>
      <c r="M122" s="2">
        <f>logistics_data[[#This Row],[Cost]]/logistics_data[[#This Row],[Distance_miles]]</f>
        <v>0.11945922746781115</v>
      </c>
      <c r="N122" t="str">
        <f>IF(logistics_data[[#This Row],[Orginal staus of shipment]]&lt;&gt;"Delivered","not applicabel", IF(logistics_data[[#This Row],[Transit_Days]]&gt;=5,"slow","fast"))</f>
        <v>slow</v>
      </c>
    </row>
    <row r="123" spans="1:14" x14ac:dyDescent="0.3">
      <c r="A123" t="s">
        <v>169</v>
      </c>
      <c r="B123" t="s">
        <v>35</v>
      </c>
      <c r="C123" t="s">
        <v>21</v>
      </c>
      <c r="D123" t="s">
        <v>32</v>
      </c>
      <c r="E123" s="1">
        <v>44991</v>
      </c>
      <c r="F123" s="1">
        <v>44996</v>
      </c>
      <c r="G123">
        <v>25.1</v>
      </c>
      <c r="H123">
        <v>165.41</v>
      </c>
      <c r="I123" t="s">
        <v>15</v>
      </c>
      <c r="J123">
        <v>973</v>
      </c>
      <c r="K123">
        <v>5</v>
      </c>
      <c r="L123" t="str">
        <f>IF(logistics_data[[#This Row],[Delivery_Date]]="","In Transit",
 IF(logistics_data[[#This Row],[Status]]="Lost","Lost",
 IF(logistics_data[[#This Row],[Status]]="Returned","Returned",
 IF(logistics_data[[#This Row],[Status]]="Delayed","Delayed",
 "Delivered"))))</f>
        <v>Delivered</v>
      </c>
      <c r="M123" s="2">
        <f>logistics_data[[#This Row],[Cost]]/logistics_data[[#This Row],[Distance_miles]]</f>
        <v>0.16999999999999998</v>
      </c>
      <c r="N123" t="str">
        <f>IF(logistics_data[[#This Row],[Orginal staus of shipment]]&lt;&gt;"Delivered","not applicabel", IF(logistics_data[[#This Row],[Transit_Days]]&gt;=5,"slow","fast"))</f>
        <v>slow</v>
      </c>
    </row>
    <row r="124" spans="1:14" x14ac:dyDescent="0.3">
      <c r="A124" t="s">
        <v>170</v>
      </c>
      <c r="B124" t="s">
        <v>39</v>
      </c>
      <c r="C124" t="s">
        <v>31</v>
      </c>
      <c r="D124" t="s">
        <v>37</v>
      </c>
      <c r="E124" s="1">
        <v>45064</v>
      </c>
      <c r="F124" s="1">
        <v>45071</v>
      </c>
      <c r="G124">
        <v>14.4</v>
      </c>
      <c r="H124">
        <v>280.58999999999997</v>
      </c>
      <c r="I124" t="s">
        <v>15</v>
      </c>
      <c r="J124">
        <v>2399</v>
      </c>
      <c r="K124">
        <v>7</v>
      </c>
      <c r="L124" t="str">
        <f>IF(logistics_data[[#This Row],[Delivery_Date]]="","In Transit",
 IF(logistics_data[[#This Row],[Status]]="Lost","Lost",
 IF(logistics_data[[#This Row],[Status]]="Returned","Returned",
 IF(logistics_data[[#This Row],[Status]]="Delayed","Delayed",
 "Delivered"))))</f>
        <v>Delivered</v>
      </c>
      <c r="M124" s="2">
        <f>logistics_data[[#This Row],[Cost]]/logistics_data[[#This Row],[Distance_miles]]</f>
        <v>0.11696123384743642</v>
      </c>
      <c r="N124" t="str">
        <f>IF(logistics_data[[#This Row],[Orginal staus of shipment]]&lt;&gt;"Delivered","not applicabel", IF(logistics_data[[#This Row],[Transit_Days]]&gt;=5,"slow","fast"))</f>
        <v>slow</v>
      </c>
    </row>
    <row r="125" spans="1:14" x14ac:dyDescent="0.3">
      <c r="A125" t="s">
        <v>171</v>
      </c>
      <c r="B125" t="s">
        <v>30</v>
      </c>
      <c r="C125" t="s">
        <v>52</v>
      </c>
      <c r="D125" t="s">
        <v>25</v>
      </c>
      <c r="E125" s="1">
        <v>45148</v>
      </c>
      <c r="F125" s="1">
        <v>45152</v>
      </c>
      <c r="G125">
        <v>50.1</v>
      </c>
      <c r="H125">
        <v>210.77</v>
      </c>
      <c r="I125" t="s">
        <v>15</v>
      </c>
      <c r="J125">
        <v>1297</v>
      </c>
      <c r="K125">
        <v>4</v>
      </c>
      <c r="L125" t="str">
        <f>IF(logistics_data[[#This Row],[Delivery_Date]]="","In Transit",
 IF(logistics_data[[#This Row],[Status]]="Lost","Lost",
 IF(logistics_data[[#This Row],[Status]]="Returned","Returned",
 IF(logistics_data[[#This Row],[Status]]="Delayed","Delayed",
 "Delivered"))))</f>
        <v>Delivered</v>
      </c>
      <c r="M125" s="2">
        <f>logistics_data[[#This Row],[Cost]]/logistics_data[[#This Row],[Distance_miles]]</f>
        <v>0.16250578257517348</v>
      </c>
      <c r="N125" t="str">
        <f>IF(logistics_data[[#This Row],[Orginal staus of shipment]]&lt;&gt;"Delivered","not applicabel", IF(logistics_data[[#This Row],[Transit_Days]]&gt;=5,"slow","fast"))</f>
        <v>fast</v>
      </c>
    </row>
    <row r="126" spans="1:14" x14ac:dyDescent="0.3">
      <c r="A126" t="s">
        <v>172</v>
      </c>
      <c r="B126" t="s">
        <v>30</v>
      </c>
      <c r="C126" t="s">
        <v>13</v>
      </c>
      <c r="D126" t="s">
        <v>59</v>
      </c>
      <c r="E126" s="1">
        <v>45021</v>
      </c>
      <c r="F126" s="1">
        <v>45027</v>
      </c>
      <c r="G126">
        <v>20.3</v>
      </c>
      <c r="H126">
        <v>150.38</v>
      </c>
      <c r="I126" t="s">
        <v>15</v>
      </c>
      <c r="J126">
        <v>1200</v>
      </c>
      <c r="K126">
        <v>6</v>
      </c>
      <c r="L126" t="str">
        <f>IF(logistics_data[[#This Row],[Delivery_Date]]="","In Transit",
 IF(logistics_data[[#This Row],[Status]]="Lost","Lost",
 IF(logistics_data[[#This Row],[Status]]="Returned","Returned",
 IF(logistics_data[[#This Row],[Status]]="Delayed","Delayed",
 "Delivered"))))</f>
        <v>Delivered</v>
      </c>
      <c r="M126" s="2">
        <f>logistics_data[[#This Row],[Cost]]/logistics_data[[#This Row],[Distance_miles]]</f>
        <v>0.12531666666666666</v>
      </c>
      <c r="N126" t="str">
        <f>IF(logistics_data[[#This Row],[Orginal staus of shipment]]&lt;&gt;"Delivered","not applicabel", IF(logistics_data[[#This Row],[Transit_Days]]&gt;=5,"slow","fast"))</f>
        <v>slow</v>
      </c>
    </row>
    <row r="127" spans="1:14" x14ac:dyDescent="0.3">
      <c r="A127" t="s">
        <v>173</v>
      </c>
      <c r="B127" t="s">
        <v>35</v>
      </c>
      <c r="C127" t="s">
        <v>54</v>
      </c>
      <c r="D127" t="s">
        <v>59</v>
      </c>
      <c r="E127" s="1">
        <v>45105</v>
      </c>
      <c r="F127" s="1">
        <v>45109</v>
      </c>
      <c r="G127">
        <v>11.8</v>
      </c>
      <c r="H127">
        <v>180.52</v>
      </c>
      <c r="I127" t="s">
        <v>15</v>
      </c>
      <c r="J127">
        <v>1350</v>
      </c>
      <c r="K127">
        <v>4</v>
      </c>
      <c r="L127" t="str">
        <f>IF(logistics_data[[#This Row],[Delivery_Date]]="","In Transit",
 IF(logistics_data[[#This Row],[Status]]="Lost","Lost",
 IF(logistics_data[[#This Row],[Status]]="Returned","Returned",
 IF(logistics_data[[#This Row],[Status]]="Delayed","Delayed",
 "Delivered"))))</f>
        <v>Delivered</v>
      </c>
      <c r="M127" s="2">
        <f>logistics_data[[#This Row],[Cost]]/logistics_data[[#This Row],[Distance_miles]]</f>
        <v>0.13371851851851851</v>
      </c>
      <c r="N127" t="str">
        <f>IF(logistics_data[[#This Row],[Orginal staus of shipment]]&lt;&gt;"Delivered","not applicabel", IF(logistics_data[[#This Row],[Transit_Days]]&gt;=5,"slow","fast"))</f>
        <v>fast</v>
      </c>
    </row>
    <row r="128" spans="1:14" x14ac:dyDescent="0.3">
      <c r="A128" t="s">
        <v>174</v>
      </c>
      <c r="B128" t="s">
        <v>49</v>
      </c>
      <c r="C128" t="s">
        <v>54</v>
      </c>
      <c r="D128" t="s">
        <v>14</v>
      </c>
      <c r="E128" s="1">
        <v>45171</v>
      </c>
      <c r="F128" s="1">
        <v>45178</v>
      </c>
      <c r="G128">
        <v>90.2</v>
      </c>
      <c r="H128">
        <v>384.64</v>
      </c>
      <c r="I128" t="s">
        <v>15</v>
      </c>
      <c r="J128">
        <v>2188</v>
      </c>
      <c r="K128">
        <v>7</v>
      </c>
      <c r="L128" t="str">
        <f>IF(logistics_data[[#This Row],[Delivery_Date]]="","In Transit",
 IF(logistics_data[[#This Row],[Status]]="Lost","Lost",
 IF(logistics_data[[#This Row],[Status]]="Returned","Returned",
 IF(logistics_data[[#This Row],[Status]]="Delayed","Delayed",
 "Delivered"))))</f>
        <v>Delivered</v>
      </c>
      <c r="M128" s="2">
        <f>logistics_data[[#This Row],[Cost]]/logistics_data[[#This Row],[Distance_miles]]</f>
        <v>0.17579524680073125</v>
      </c>
      <c r="N128" t="str">
        <f>IF(logistics_data[[#This Row],[Orginal staus of shipment]]&lt;&gt;"Delivered","not applicabel", IF(logistics_data[[#This Row],[Transit_Days]]&gt;=5,"slow","fast"))</f>
        <v>slow</v>
      </c>
    </row>
    <row r="129" spans="1:14" x14ac:dyDescent="0.3">
      <c r="A129" t="s">
        <v>175</v>
      </c>
      <c r="B129" t="s">
        <v>20</v>
      </c>
      <c r="C129" t="s">
        <v>54</v>
      </c>
      <c r="D129" t="s">
        <v>14</v>
      </c>
      <c r="E129" s="1">
        <v>45204</v>
      </c>
      <c r="F129" s="1">
        <v>45212</v>
      </c>
      <c r="G129">
        <v>30.1</v>
      </c>
      <c r="H129">
        <v>156.74</v>
      </c>
      <c r="I129" t="s">
        <v>15</v>
      </c>
      <c r="J129">
        <v>1075</v>
      </c>
      <c r="K129">
        <v>8</v>
      </c>
      <c r="L129" t="str">
        <f>IF(logistics_data[[#This Row],[Delivery_Date]]="","In Transit",
 IF(logistics_data[[#This Row],[Status]]="Lost","Lost",
 IF(logistics_data[[#This Row],[Status]]="Returned","Returned",
 IF(logistics_data[[#This Row],[Status]]="Delayed","Delayed",
 "Delivered"))))</f>
        <v>Delivered</v>
      </c>
      <c r="M129" s="2">
        <f>logistics_data[[#This Row],[Cost]]/logistics_data[[#This Row],[Distance_miles]]</f>
        <v>0.1458046511627907</v>
      </c>
      <c r="N129" t="str">
        <f>IF(logistics_data[[#This Row],[Orginal staus of shipment]]&lt;&gt;"Delivered","not applicabel", IF(logistics_data[[#This Row],[Transit_Days]]&gt;=5,"slow","fast"))</f>
        <v>slow</v>
      </c>
    </row>
    <row r="130" spans="1:14" x14ac:dyDescent="0.3">
      <c r="A130" t="s">
        <v>176</v>
      </c>
      <c r="B130" t="s">
        <v>23</v>
      </c>
      <c r="C130" t="s">
        <v>54</v>
      </c>
      <c r="D130" t="s">
        <v>42</v>
      </c>
      <c r="E130" s="1">
        <v>45217</v>
      </c>
      <c r="F130" s="1">
        <v>45226</v>
      </c>
      <c r="G130">
        <v>3.2</v>
      </c>
      <c r="H130">
        <v>159.82</v>
      </c>
      <c r="I130" t="s">
        <v>15</v>
      </c>
      <c r="J130">
        <v>1260</v>
      </c>
      <c r="K130">
        <v>9</v>
      </c>
      <c r="L130" t="str">
        <f>IF(logistics_data[[#This Row],[Delivery_Date]]="","In Transit",
 IF(logistics_data[[#This Row],[Status]]="Lost","Lost",
 IF(logistics_data[[#This Row],[Status]]="Returned","Returned",
 IF(logistics_data[[#This Row],[Status]]="Delayed","Delayed",
 "Delivered"))))</f>
        <v>Delivered</v>
      </c>
      <c r="M130" s="2">
        <f>logistics_data[[#This Row],[Cost]]/logistics_data[[#This Row],[Distance_miles]]</f>
        <v>0.12684126984126984</v>
      </c>
      <c r="N130" t="str">
        <f>IF(logistics_data[[#This Row],[Orginal staus of shipment]]&lt;&gt;"Delivered","not applicabel", IF(logistics_data[[#This Row],[Transit_Days]]&gt;=5,"slow","fast"))</f>
        <v>slow</v>
      </c>
    </row>
    <row r="131" spans="1:14" x14ac:dyDescent="0.3">
      <c r="A131" t="s">
        <v>177</v>
      </c>
      <c r="B131" t="s">
        <v>12</v>
      </c>
      <c r="C131" t="s">
        <v>54</v>
      </c>
      <c r="D131" t="s">
        <v>42</v>
      </c>
      <c r="E131" s="1">
        <v>45033</v>
      </c>
      <c r="F131" s="1">
        <v>45038</v>
      </c>
      <c r="G131">
        <v>31.9</v>
      </c>
      <c r="H131">
        <v>260.72000000000003</v>
      </c>
      <c r="I131" t="s">
        <v>15</v>
      </c>
      <c r="J131">
        <v>1926</v>
      </c>
      <c r="K131">
        <v>5</v>
      </c>
      <c r="L131" t="str">
        <f>IF(logistics_data[[#This Row],[Delivery_Date]]="","In Transit",
 IF(logistics_data[[#This Row],[Status]]="Lost","Lost",
 IF(logistics_data[[#This Row],[Status]]="Returned","Returned",
 IF(logistics_data[[#This Row],[Status]]="Delayed","Delayed",
 "Delivered"))))</f>
        <v>Delivered</v>
      </c>
      <c r="M131" s="2">
        <f>logistics_data[[#This Row],[Cost]]/logistics_data[[#This Row],[Distance_miles]]</f>
        <v>0.1353686396677051</v>
      </c>
      <c r="N131" t="str">
        <f>IF(logistics_data[[#This Row],[Orginal staus of shipment]]&lt;&gt;"Delivered","not applicabel", IF(logistics_data[[#This Row],[Transit_Days]]&gt;=5,"slow","fast"))</f>
        <v>slow</v>
      </c>
    </row>
    <row r="132" spans="1:14" x14ac:dyDescent="0.3">
      <c r="A132" t="s">
        <v>178</v>
      </c>
      <c r="B132" t="s">
        <v>12</v>
      </c>
      <c r="C132" t="s">
        <v>52</v>
      </c>
      <c r="D132" t="s">
        <v>42</v>
      </c>
      <c r="E132" s="1">
        <v>45261</v>
      </c>
      <c r="F132" s="1">
        <v>45266</v>
      </c>
      <c r="G132">
        <v>15.1</v>
      </c>
      <c r="H132">
        <v>321.82</v>
      </c>
      <c r="I132" t="s">
        <v>15</v>
      </c>
      <c r="J132">
        <v>2204</v>
      </c>
      <c r="K132">
        <v>5</v>
      </c>
      <c r="L132" t="str">
        <f>IF(logistics_data[[#This Row],[Delivery_Date]]="","In Transit",
 IF(logistics_data[[#This Row],[Status]]="Lost","Lost",
 IF(logistics_data[[#This Row],[Status]]="Returned","Returned",
 IF(logistics_data[[#This Row],[Status]]="Delayed","Delayed",
 "Delivered"))))</f>
        <v>Delivered</v>
      </c>
      <c r="M132" s="2">
        <f>logistics_data[[#This Row],[Cost]]/logistics_data[[#This Row],[Distance_miles]]</f>
        <v>0.146016333938294</v>
      </c>
      <c r="N132" t="str">
        <f>IF(logistics_data[[#This Row],[Orginal staus of shipment]]&lt;&gt;"Delivered","not applicabel", IF(logistics_data[[#This Row],[Transit_Days]]&gt;=5,"slow","fast"))</f>
        <v>slow</v>
      </c>
    </row>
    <row r="133" spans="1:14" x14ac:dyDescent="0.3">
      <c r="A133" t="s">
        <v>179</v>
      </c>
      <c r="B133" t="s">
        <v>27</v>
      </c>
      <c r="C133" t="s">
        <v>24</v>
      </c>
      <c r="D133" t="s">
        <v>25</v>
      </c>
      <c r="E133" s="1">
        <v>45072</v>
      </c>
      <c r="F133" s="1">
        <v>45079</v>
      </c>
      <c r="G133">
        <v>19.2</v>
      </c>
      <c r="H133">
        <v>253.39</v>
      </c>
      <c r="I133" t="s">
        <v>67</v>
      </c>
      <c r="J133">
        <v>2048</v>
      </c>
      <c r="K133">
        <v>7</v>
      </c>
      <c r="L133" t="str">
        <f>IF(logistics_data[[#This Row],[Delivery_Date]]="","In Transit",
 IF(logistics_data[[#This Row],[Status]]="Lost","Lost",
 IF(logistics_data[[#This Row],[Status]]="Returned","Returned",
 IF(logistics_data[[#This Row],[Status]]="Delayed","Delayed",
 "Delivered"))))</f>
        <v>Returned</v>
      </c>
      <c r="M133" s="2">
        <f>logistics_data[[#This Row],[Cost]]/logistics_data[[#This Row],[Distance_miles]]</f>
        <v>0.12372558593749999</v>
      </c>
      <c r="N133" t="str">
        <f>IF(logistics_data[[#This Row],[Orginal staus of shipment]]&lt;&gt;"Delivered","not applicabel", IF(logistics_data[[#This Row],[Transit_Days]]&gt;=5,"slow","fast"))</f>
        <v>not applicabel</v>
      </c>
    </row>
    <row r="134" spans="1:14" x14ac:dyDescent="0.3">
      <c r="A134" t="s">
        <v>180</v>
      </c>
      <c r="B134" t="s">
        <v>56</v>
      </c>
      <c r="C134" t="s">
        <v>13</v>
      </c>
      <c r="D134" t="s">
        <v>18</v>
      </c>
      <c r="E134" s="1">
        <v>45114</v>
      </c>
      <c r="G134">
        <v>8.4</v>
      </c>
      <c r="I134" t="s">
        <v>15</v>
      </c>
      <c r="J134">
        <v>815</v>
      </c>
      <c r="K134">
        <v>3</v>
      </c>
      <c r="L134" t="str">
        <f>IF(logistics_data[[#This Row],[Delivery_Date]]="","In Transit",
 IF(logistics_data[[#This Row],[Status]]="Lost","Lost",
 IF(logistics_data[[#This Row],[Status]]="Returned","Returned",
 IF(logistics_data[[#This Row],[Status]]="Delayed","Delayed",
 "Delivered"))))</f>
        <v>In Transit</v>
      </c>
      <c r="M134" s="2">
        <f>logistics_data[[#This Row],[Cost]]/logistics_data[[#This Row],[Distance_miles]]</f>
        <v>0</v>
      </c>
      <c r="N134" t="str">
        <f>IF(logistics_data[[#This Row],[Orginal staus of shipment]]&lt;&gt;"Delivered","not applicabel", IF(logistics_data[[#This Row],[Transit_Days]]&gt;=5,"slow","fast"))</f>
        <v>not applicabel</v>
      </c>
    </row>
    <row r="135" spans="1:14" x14ac:dyDescent="0.3">
      <c r="A135" t="s">
        <v>181</v>
      </c>
      <c r="B135" t="s">
        <v>51</v>
      </c>
      <c r="C135" t="s">
        <v>17</v>
      </c>
      <c r="D135" t="s">
        <v>14</v>
      </c>
      <c r="E135" s="1">
        <v>45283</v>
      </c>
      <c r="F135" s="1">
        <v>45286</v>
      </c>
      <c r="G135">
        <v>26.4</v>
      </c>
      <c r="H135">
        <v>186.75</v>
      </c>
      <c r="I135" t="s">
        <v>15</v>
      </c>
      <c r="J135">
        <v>870</v>
      </c>
      <c r="K135">
        <v>3</v>
      </c>
      <c r="L135" t="str">
        <f>IF(logistics_data[[#This Row],[Delivery_Date]]="","In Transit",
 IF(logistics_data[[#This Row],[Status]]="Lost","Lost",
 IF(logistics_data[[#This Row],[Status]]="Returned","Returned",
 IF(logistics_data[[#This Row],[Status]]="Delayed","Delayed",
 "Delivered"))))</f>
        <v>Delivered</v>
      </c>
      <c r="M135" s="2">
        <f>logistics_data[[#This Row],[Cost]]/logistics_data[[#This Row],[Distance_miles]]</f>
        <v>0.21465517241379312</v>
      </c>
      <c r="N135" t="str">
        <f>IF(logistics_data[[#This Row],[Orginal staus of shipment]]&lt;&gt;"Delivered","not applicabel", IF(logistics_data[[#This Row],[Transit_Days]]&gt;=5,"slow","fast"))</f>
        <v>fast</v>
      </c>
    </row>
    <row r="136" spans="1:14" x14ac:dyDescent="0.3">
      <c r="A136" t="s">
        <v>182</v>
      </c>
      <c r="B136" t="s">
        <v>27</v>
      </c>
      <c r="C136" t="s">
        <v>36</v>
      </c>
      <c r="D136" t="s">
        <v>42</v>
      </c>
      <c r="E136" s="1">
        <v>44929</v>
      </c>
      <c r="F136" s="1">
        <v>44936</v>
      </c>
      <c r="G136">
        <v>24.4</v>
      </c>
      <c r="H136">
        <v>313.23</v>
      </c>
      <c r="I136" t="s">
        <v>15</v>
      </c>
      <c r="J136">
        <v>2314</v>
      </c>
      <c r="K136">
        <v>7</v>
      </c>
      <c r="L136" t="str">
        <f>IF(logistics_data[[#This Row],[Delivery_Date]]="","In Transit",
 IF(logistics_data[[#This Row],[Status]]="Lost","Lost",
 IF(logistics_data[[#This Row],[Status]]="Returned","Returned",
 IF(logistics_data[[#This Row],[Status]]="Delayed","Delayed",
 "Delivered"))))</f>
        <v>Delivered</v>
      </c>
      <c r="M136" s="2">
        <f>logistics_data[[#This Row],[Cost]]/logistics_data[[#This Row],[Distance_miles]]</f>
        <v>0.13536300777873814</v>
      </c>
      <c r="N136" t="str">
        <f>IF(logistics_data[[#This Row],[Orginal staus of shipment]]&lt;&gt;"Delivered","not applicabel", IF(logistics_data[[#This Row],[Transit_Days]]&gt;=5,"slow","fast"))</f>
        <v>slow</v>
      </c>
    </row>
    <row r="137" spans="1:14" x14ac:dyDescent="0.3">
      <c r="A137" t="s">
        <v>183</v>
      </c>
      <c r="B137" t="s">
        <v>20</v>
      </c>
      <c r="C137" t="s">
        <v>13</v>
      </c>
      <c r="D137" t="s">
        <v>18</v>
      </c>
      <c r="E137" s="1">
        <v>45185</v>
      </c>
      <c r="F137" s="1">
        <v>45188</v>
      </c>
      <c r="G137">
        <v>59.4</v>
      </c>
      <c r="H137">
        <v>234.64</v>
      </c>
      <c r="I137" t="s">
        <v>15</v>
      </c>
      <c r="J137">
        <v>1070</v>
      </c>
      <c r="K137">
        <v>3</v>
      </c>
      <c r="L137" t="str">
        <f>IF(logistics_data[[#This Row],[Delivery_Date]]="","In Transit",
 IF(logistics_data[[#This Row],[Status]]="Lost","Lost",
 IF(logistics_data[[#This Row],[Status]]="Returned","Returned",
 IF(logistics_data[[#This Row],[Status]]="Delayed","Delayed",
 "Delivered"))))</f>
        <v>Delivered</v>
      </c>
      <c r="M137" s="2">
        <f>logistics_data[[#This Row],[Cost]]/logistics_data[[#This Row],[Distance_miles]]</f>
        <v>0.21928971962616822</v>
      </c>
      <c r="N137" t="str">
        <f>IF(logistics_data[[#This Row],[Orginal staus of shipment]]&lt;&gt;"Delivered","not applicabel", IF(logistics_data[[#This Row],[Transit_Days]]&gt;=5,"slow","fast"))</f>
        <v>fast</v>
      </c>
    </row>
    <row r="138" spans="1:14" x14ac:dyDescent="0.3">
      <c r="A138" t="s">
        <v>184</v>
      </c>
      <c r="B138" t="s">
        <v>35</v>
      </c>
      <c r="C138" t="s">
        <v>54</v>
      </c>
      <c r="D138" t="s">
        <v>32</v>
      </c>
      <c r="E138" s="1">
        <v>45234</v>
      </c>
      <c r="F138" s="1">
        <v>45240</v>
      </c>
      <c r="G138">
        <v>15.9</v>
      </c>
      <c r="H138">
        <v>257.13</v>
      </c>
      <c r="I138" t="s">
        <v>15</v>
      </c>
      <c r="J138">
        <v>1350</v>
      </c>
      <c r="K138">
        <v>6</v>
      </c>
      <c r="L138" t="str">
        <f>IF(logistics_data[[#This Row],[Delivery_Date]]="","In Transit",
 IF(logistics_data[[#This Row],[Status]]="Lost","Lost",
 IF(logistics_data[[#This Row],[Status]]="Returned","Returned",
 IF(logistics_data[[#This Row],[Status]]="Delayed","Delayed",
 "Delivered"))))</f>
        <v>Delivered</v>
      </c>
      <c r="M138" s="2">
        <f>logistics_data[[#This Row],[Cost]]/logistics_data[[#This Row],[Distance_miles]]</f>
        <v>0.19046666666666667</v>
      </c>
      <c r="N138" t="str">
        <f>IF(logistics_data[[#This Row],[Orginal staus of shipment]]&lt;&gt;"Delivered","not applicabel", IF(logistics_data[[#This Row],[Transit_Days]]&gt;=5,"slow","fast"))</f>
        <v>slow</v>
      </c>
    </row>
    <row r="139" spans="1:14" x14ac:dyDescent="0.3">
      <c r="A139" t="s">
        <v>185</v>
      </c>
      <c r="B139" t="s">
        <v>56</v>
      </c>
      <c r="C139" t="s">
        <v>46</v>
      </c>
      <c r="D139" t="s">
        <v>37</v>
      </c>
      <c r="E139" s="1">
        <v>44967</v>
      </c>
      <c r="F139" s="1">
        <v>44971</v>
      </c>
      <c r="G139">
        <v>17.5</v>
      </c>
      <c r="H139">
        <v>208.17</v>
      </c>
      <c r="I139" t="s">
        <v>15</v>
      </c>
      <c r="J139">
        <v>1476</v>
      </c>
      <c r="K139">
        <v>4</v>
      </c>
      <c r="L139" t="str">
        <f>IF(logistics_data[[#This Row],[Delivery_Date]]="","In Transit",
 IF(logistics_data[[#This Row],[Status]]="Lost","Lost",
 IF(logistics_data[[#This Row],[Status]]="Returned","Returned",
 IF(logistics_data[[#This Row],[Status]]="Delayed","Delayed",
 "Delivered"))))</f>
        <v>Delivered</v>
      </c>
      <c r="M139" s="2">
        <f>logistics_data[[#This Row],[Cost]]/logistics_data[[#This Row],[Distance_miles]]</f>
        <v>0.14103658536585365</v>
      </c>
      <c r="N139" t="str">
        <f>IF(logistics_data[[#This Row],[Orginal staus of shipment]]&lt;&gt;"Delivered","not applicabel", IF(logistics_data[[#This Row],[Transit_Days]]&gt;=5,"slow","fast"))</f>
        <v>fast</v>
      </c>
    </row>
    <row r="140" spans="1:14" x14ac:dyDescent="0.3">
      <c r="A140" t="s">
        <v>186</v>
      </c>
      <c r="B140" t="s">
        <v>51</v>
      </c>
      <c r="C140" t="s">
        <v>21</v>
      </c>
      <c r="D140" t="s">
        <v>25</v>
      </c>
      <c r="E140" s="1">
        <v>45238</v>
      </c>
      <c r="F140" s="1">
        <v>45241</v>
      </c>
      <c r="G140">
        <v>66.5</v>
      </c>
      <c r="H140">
        <v>199.04</v>
      </c>
      <c r="I140" t="s">
        <v>15</v>
      </c>
      <c r="J140">
        <v>672</v>
      </c>
      <c r="K140">
        <v>3</v>
      </c>
      <c r="L140" t="str">
        <f>IF(logistics_data[[#This Row],[Delivery_Date]]="","In Transit",
 IF(logistics_data[[#This Row],[Status]]="Lost","Lost",
 IF(logistics_data[[#This Row],[Status]]="Returned","Returned",
 IF(logistics_data[[#This Row],[Status]]="Delayed","Delayed",
 "Delivered"))))</f>
        <v>Delivered</v>
      </c>
      <c r="M140" s="2">
        <f>logistics_data[[#This Row],[Cost]]/logistics_data[[#This Row],[Distance_miles]]</f>
        <v>0.29619047619047617</v>
      </c>
      <c r="N140" t="str">
        <f>IF(logistics_data[[#This Row],[Orginal staus of shipment]]&lt;&gt;"Delivered","not applicabel", IF(logistics_data[[#This Row],[Transit_Days]]&gt;=5,"slow","fast"))</f>
        <v>fast</v>
      </c>
    </row>
    <row r="141" spans="1:14" x14ac:dyDescent="0.3">
      <c r="A141" t="s">
        <v>187</v>
      </c>
      <c r="B141" t="s">
        <v>35</v>
      </c>
      <c r="C141" t="s">
        <v>21</v>
      </c>
      <c r="D141" t="s">
        <v>59</v>
      </c>
      <c r="E141" s="1">
        <v>44995</v>
      </c>
      <c r="F141" s="1">
        <v>44998</v>
      </c>
      <c r="G141">
        <v>19.399999999999999</v>
      </c>
      <c r="H141">
        <v>169.99</v>
      </c>
      <c r="I141" t="s">
        <v>15</v>
      </c>
      <c r="J141">
        <v>1300</v>
      </c>
      <c r="K141">
        <v>3</v>
      </c>
      <c r="L141" t="str">
        <f>IF(logistics_data[[#This Row],[Delivery_Date]]="","In Transit",
 IF(logistics_data[[#This Row],[Status]]="Lost","Lost",
 IF(logistics_data[[#This Row],[Status]]="Returned","Returned",
 IF(logistics_data[[#This Row],[Status]]="Delayed","Delayed",
 "Delivered"))))</f>
        <v>Delivered</v>
      </c>
      <c r="M141" s="2">
        <f>logistics_data[[#This Row],[Cost]]/logistics_data[[#This Row],[Distance_miles]]</f>
        <v>0.13076153846153846</v>
      </c>
      <c r="N141" t="str">
        <f>IF(logistics_data[[#This Row],[Orginal staus of shipment]]&lt;&gt;"Delivered","not applicabel", IF(logistics_data[[#This Row],[Transit_Days]]&gt;=5,"slow","fast"))</f>
        <v>fast</v>
      </c>
    </row>
    <row r="142" spans="1:14" x14ac:dyDescent="0.3">
      <c r="A142" t="s">
        <v>188</v>
      </c>
      <c r="B142" t="s">
        <v>49</v>
      </c>
      <c r="C142" t="s">
        <v>36</v>
      </c>
      <c r="D142" t="s">
        <v>59</v>
      </c>
      <c r="E142" s="1">
        <v>45262</v>
      </c>
      <c r="F142" s="1">
        <v>45264</v>
      </c>
      <c r="G142">
        <v>48</v>
      </c>
      <c r="H142">
        <v>133.97999999999999</v>
      </c>
      <c r="I142" t="s">
        <v>15</v>
      </c>
      <c r="J142">
        <v>593</v>
      </c>
      <c r="K142">
        <v>2</v>
      </c>
      <c r="L142" t="str">
        <f>IF(logistics_data[[#This Row],[Delivery_Date]]="","In Transit",
 IF(logistics_data[[#This Row],[Status]]="Lost","Lost",
 IF(logistics_data[[#This Row],[Status]]="Returned","Returned",
 IF(logistics_data[[#This Row],[Status]]="Delayed","Delayed",
 "Delivered"))))</f>
        <v>Delivered</v>
      </c>
      <c r="M142" s="2">
        <f>logistics_data[[#This Row],[Cost]]/logistics_data[[#This Row],[Distance_miles]]</f>
        <v>0.22593591905564922</v>
      </c>
      <c r="N142" t="str">
        <f>IF(logistics_data[[#This Row],[Orginal staus of shipment]]&lt;&gt;"Delivered","not applicabel", IF(logistics_data[[#This Row],[Transit_Days]]&gt;=5,"slow","fast"))</f>
        <v>fast</v>
      </c>
    </row>
    <row r="143" spans="1:14" x14ac:dyDescent="0.3">
      <c r="A143" t="s">
        <v>189</v>
      </c>
      <c r="B143" t="s">
        <v>23</v>
      </c>
      <c r="C143" t="s">
        <v>44</v>
      </c>
      <c r="D143" t="s">
        <v>59</v>
      </c>
      <c r="E143" s="1">
        <v>45214</v>
      </c>
      <c r="F143" s="1">
        <v>45219</v>
      </c>
      <c r="G143">
        <v>18.399999999999999</v>
      </c>
      <c r="H143">
        <v>237.17</v>
      </c>
      <c r="I143" t="s">
        <v>15</v>
      </c>
      <c r="J143">
        <v>1939</v>
      </c>
      <c r="K143">
        <v>5</v>
      </c>
      <c r="L143" t="str">
        <f>IF(logistics_data[[#This Row],[Delivery_Date]]="","In Transit",
 IF(logistics_data[[#This Row],[Status]]="Lost","Lost",
 IF(logistics_data[[#This Row],[Status]]="Returned","Returned",
 IF(logistics_data[[#This Row],[Status]]="Delayed","Delayed",
 "Delivered"))))</f>
        <v>Delivered</v>
      </c>
      <c r="M143" s="2">
        <f>logistics_data[[#This Row],[Cost]]/logistics_data[[#This Row],[Distance_miles]]</f>
        <v>0.12231562661165549</v>
      </c>
      <c r="N143" t="str">
        <f>IF(logistics_data[[#This Row],[Orginal staus of shipment]]&lt;&gt;"Delivered","not applicabel", IF(logistics_data[[#This Row],[Transit_Days]]&gt;=5,"slow","fast"))</f>
        <v>slow</v>
      </c>
    </row>
    <row r="144" spans="1:14" x14ac:dyDescent="0.3">
      <c r="A144" t="s">
        <v>190</v>
      </c>
      <c r="B144" t="s">
        <v>51</v>
      </c>
      <c r="C144" t="s">
        <v>44</v>
      </c>
      <c r="D144" t="s">
        <v>25</v>
      </c>
      <c r="E144" s="1">
        <v>44932</v>
      </c>
      <c r="F144" s="1">
        <v>44935</v>
      </c>
      <c r="G144">
        <v>38.9</v>
      </c>
      <c r="H144">
        <v>137.82</v>
      </c>
      <c r="I144" t="s">
        <v>15</v>
      </c>
      <c r="J144">
        <v>790</v>
      </c>
      <c r="K144">
        <v>3</v>
      </c>
      <c r="L144" t="str">
        <f>IF(logistics_data[[#This Row],[Delivery_Date]]="","In Transit",
 IF(logistics_data[[#This Row],[Status]]="Lost","Lost",
 IF(logistics_data[[#This Row],[Status]]="Returned","Returned",
 IF(logistics_data[[#This Row],[Status]]="Delayed","Delayed",
 "Delivered"))))</f>
        <v>Delivered</v>
      </c>
      <c r="M144" s="2">
        <f>logistics_data[[#This Row],[Cost]]/logistics_data[[#This Row],[Distance_miles]]</f>
        <v>0.17445569620253162</v>
      </c>
      <c r="N144" t="str">
        <f>IF(logistics_data[[#This Row],[Orginal staus of shipment]]&lt;&gt;"Delivered","not applicabel", IF(logistics_data[[#This Row],[Transit_Days]]&gt;=5,"slow","fast"))</f>
        <v>fast</v>
      </c>
    </row>
    <row r="145" spans="1:14" x14ac:dyDescent="0.3">
      <c r="A145" t="s">
        <v>191</v>
      </c>
      <c r="B145" t="s">
        <v>20</v>
      </c>
      <c r="C145" t="s">
        <v>13</v>
      </c>
      <c r="D145" t="s">
        <v>25</v>
      </c>
      <c r="E145" s="1">
        <v>44962</v>
      </c>
      <c r="F145" s="1">
        <v>44969</v>
      </c>
      <c r="G145">
        <v>36.6</v>
      </c>
      <c r="H145">
        <v>310.16000000000003</v>
      </c>
      <c r="I145" t="s">
        <v>15</v>
      </c>
      <c r="J145">
        <v>2497</v>
      </c>
      <c r="K145">
        <v>7</v>
      </c>
      <c r="L145" t="str">
        <f>IF(logistics_data[[#This Row],[Delivery_Date]]="","In Transit",
 IF(logistics_data[[#This Row],[Status]]="Lost","Lost",
 IF(logistics_data[[#This Row],[Status]]="Returned","Returned",
 IF(logistics_data[[#This Row],[Status]]="Delayed","Delayed",
 "Delivered"))))</f>
        <v>Delivered</v>
      </c>
      <c r="M145" s="2">
        <f>logistics_data[[#This Row],[Cost]]/logistics_data[[#This Row],[Distance_miles]]</f>
        <v>0.12421305566680017</v>
      </c>
      <c r="N145" t="str">
        <f>IF(logistics_data[[#This Row],[Orginal staus of shipment]]&lt;&gt;"Delivered","not applicabel", IF(logistics_data[[#This Row],[Transit_Days]]&gt;=5,"slow","fast"))</f>
        <v>slow</v>
      </c>
    </row>
    <row r="146" spans="1:14" x14ac:dyDescent="0.3">
      <c r="A146" t="s">
        <v>192</v>
      </c>
      <c r="B146" t="s">
        <v>49</v>
      </c>
      <c r="C146" t="s">
        <v>31</v>
      </c>
      <c r="D146" t="s">
        <v>59</v>
      </c>
      <c r="E146" s="1">
        <v>45051</v>
      </c>
      <c r="F146" s="1">
        <v>45053</v>
      </c>
      <c r="G146">
        <v>19.2</v>
      </c>
      <c r="H146">
        <v>81.430000000000007</v>
      </c>
      <c r="I146" t="s">
        <v>15</v>
      </c>
      <c r="J146">
        <v>510</v>
      </c>
      <c r="K146">
        <v>2</v>
      </c>
      <c r="L146" t="str">
        <f>IF(logistics_data[[#This Row],[Delivery_Date]]="","In Transit",
 IF(logistics_data[[#This Row],[Status]]="Lost","Lost",
 IF(logistics_data[[#This Row],[Status]]="Returned","Returned",
 IF(logistics_data[[#This Row],[Status]]="Delayed","Delayed",
 "Delivered"))))</f>
        <v>Delivered</v>
      </c>
      <c r="M146" s="2">
        <f>logistics_data[[#This Row],[Cost]]/logistics_data[[#This Row],[Distance_miles]]</f>
        <v>0.15966666666666668</v>
      </c>
      <c r="N146" t="str">
        <f>IF(logistics_data[[#This Row],[Orginal staus of shipment]]&lt;&gt;"Delivered","not applicabel", IF(logistics_data[[#This Row],[Transit_Days]]&gt;=5,"slow","fast"))</f>
        <v>fast</v>
      </c>
    </row>
    <row r="147" spans="1:14" x14ac:dyDescent="0.3">
      <c r="A147" t="s">
        <v>193</v>
      </c>
      <c r="B147" t="s">
        <v>39</v>
      </c>
      <c r="C147" t="s">
        <v>17</v>
      </c>
      <c r="D147" t="s">
        <v>14</v>
      </c>
      <c r="E147" s="1">
        <v>45110</v>
      </c>
      <c r="F147" s="1">
        <v>45117</v>
      </c>
      <c r="G147">
        <v>23.4</v>
      </c>
      <c r="H147">
        <v>142.13</v>
      </c>
      <c r="I147" t="s">
        <v>47</v>
      </c>
      <c r="J147">
        <v>800</v>
      </c>
      <c r="K147">
        <v>3</v>
      </c>
      <c r="L147" t="str">
        <f>IF(logistics_data[[#This Row],[Delivery_Date]]="","In Transit",
 IF(logistics_data[[#This Row],[Status]]="Lost","Lost",
 IF(logistics_data[[#This Row],[Status]]="Returned","Returned",
 IF(logistics_data[[#This Row],[Status]]="Delayed","Delayed",
 "Delivered"))))</f>
        <v>Delayed</v>
      </c>
      <c r="M147" s="2">
        <f>logistics_data[[#This Row],[Cost]]/logistics_data[[#This Row],[Distance_miles]]</f>
        <v>0.1776625</v>
      </c>
      <c r="N147" t="str">
        <f>IF(logistics_data[[#This Row],[Orginal staus of shipment]]&lt;&gt;"Delivered","not applicabel", IF(logistics_data[[#This Row],[Transit_Days]]&gt;=5,"slow","fast"))</f>
        <v>not applicabel</v>
      </c>
    </row>
    <row r="148" spans="1:14" x14ac:dyDescent="0.3">
      <c r="A148" t="s">
        <v>194</v>
      </c>
      <c r="B148" t="s">
        <v>23</v>
      </c>
      <c r="C148" t="s">
        <v>36</v>
      </c>
      <c r="D148" t="s">
        <v>59</v>
      </c>
      <c r="E148" s="1">
        <v>45150</v>
      </c>
      <c r="F148" s="1">
        <v>45155</v>
      </c>
      <c r="G148">
        <v>23.7</v>
      </c>
      <c r="I148" t="s">
        <v>15</v>
      </c>
      <c r="J148">
        <v>1459</v>
      </c>
      <c r="K148">
        <v>5</v>
      </c>
      <c r="L148" t="str">
        <f>IF(logistics_data[[#This Row],[Delivery_Date]]="","In Transit",
 IF(logistics_data[[#This Row],[Status]]="Lost","Lost",
 IF(logistics_data[[#This Row],[Status]]="Returned","Returned",
 IF(logistics_data[[#This Row],[Status]]="Delayed","Delayed",
 "Delivered"))))</f>
        <v>Delivered</v>
      </c>
      <c r="M148" s="2">
        <f>logistics_data[[#This Row],[Cost]]/logistics_data[[#This Row],[Distance_miles]]</f>
        <v>0</v>
      </c>
      <c r="N148" t="str">
        <f>IF(logistics_data[[#This Row],[Orginal staus of shipment]]&lt;&gt;"Delivered","not applicabel", IF(logistics_data[[#This Row],[Transit_Days]]&gt;=5,"slow","fast"))</f>
        <v>slow</v>
      </c>
    </row>
    <row r="149" spans="1:14" x14ac:dyDescent="0.3">
      <c r="A149" t="s">
        <v>195</v>
      </c>
      <c r="B149" t="s">
        <v>30</v>
      </c>
      <c r="C149" t="s">
        <v>13</v>
      </c>
      <c r="D149" t="s">
        <v>14</v>
      </c>
      <c r="E149" s="1">
        <v>45121</v>
      </c>
      <c r="F149" s="1">
        <v>45126</v>
      </c>
      <c r="G149">
        <v>66.8</v>
      </c>
      <c r="H149">
        <v>336.2</v>
      </c>
      <c r="I149" t="s">
        <v>15</v>
      </c>
      <c r="J149">
        <v>2262</v>
      </c>
      <c r="K149">
        <v>5</v>
      </c>
      <c r="L149" t="str">
        <f>IF(logistics_data[[#This Row],[Delivery_Date]]="","In Transit",
 IF(logistics_data[[#This Row],[Status]]="Lost","Lost",
 IF(logistics_data[[#This Row],[Status]]="Returned","Returned",
 IF(logistics_data[[#This Row],[Status]]="Delayed","Delayed",
 "Delivered"))))</f>
        <v>Delivered</v>
      </c>
      <c r="M149" s="2">
        <f>logistics_data[[#This Row],[Cost]]/logistics_data[[#This Row],[Distance_miles]]</f>
        <v>0.14862953138815208</v>
      </c>
      <c r="N149" t="str">
        <f>IF(logistics_data[[#This Row],[Orginal staus of shipment]]&lt;&gt;"Delivered","not applicabel", IF(logistics_data[[#This Row],[Transit_Days]]&gt;=5,"slow","fast"))</f>
        <v>slow</v>
      </c>
    </row>
    <row r="150" spans="1:14" x14ac:dyDescent="0.3">
      <c r="A150" t="s">
        <v>196</v>
      </c>
      <c r="B150" t="s">
        <v>51</v>
      </c>
      <c r="C150" t="s">
        <v>57</v>
      </c>
      <c r="D150" t="s">
        <v>37</v>
      </c>
      <c r="E150" s="1">
        <v>45132</v>
      </c>
      <c r="F150" s="1">
        <v>45138</v>
      </c>
      <c r="G150">
        <v>25.8</v>
      </c>
      <c r="H150">
        <v>258.31</v>
      </c>
      <c r="I150" t="s">
        <v>15</v>
      </c>
      <c r="J150">
        <v>2078</v>
      </c>
      <c r="K150">
        <v>6</v>
      </c>
      <c r="L150" t="str">
        <f>IF(logistics_data[[#This Row],[Delivery_Date]]="","In Transit",
 IF(logistics_data[[#This Row],[Status]]="Lost","Lost",
 IF(logistics_data[[#This Row],[Status]]="Returned","Returned",
 IF(logistics_data[[#This Row],[Status]]="Delayed","Delayed",
 "Delivered"))))</f>
        <v>Delivered</v>
      </c>
      <c r="M150" s="2">
        <f>logistics_data[[#This Row],[Cost]]/logistics_data[[#This Row],[Distance_miles]]</f>
        <v>0.1243070259865255</v>
      </c>
      <c r="N150" t="str">
        <f>IF(logistics_data[[#This Row],[Orginal staus of shipment]]&lt;&gt;"Delivered","not applicabel", IF(logistics_data[[#This Row],[Transit_Days]]&gt;=5,"slow","fast"))</f>
        <v>slow</v>
      </c>
    </row>
    <row r="151" spans="1:14" x14ac:dyDescent="0.3">
      <c r="A151" t="s">
        <v>197</v>
      </c>
      <c r="B151" t="s">
        <v>20</v>
      </c>
      <c r="C151" t="s">
        <v>31</v>
      </c>
      <c r="D151" t="s">
        <v>18</v>
      </c>
      <c r="E151" s="1">
        <v>45068</v>
      </c>
      <c r="F151" s="1">
        <v>45084</v>
      </c>
      <c r="G151">
        <v>38.200000000000003</v>
      </c>
      <c r="H151">
        <v>151.35</v>
      </c>
      <c r="I151" t="s">
        <v>60</v>
      </c>
      <c r="J151">
        <v>775</v>
      </c>
      <c r="K151">
        <v>3</v>
      </c>
      <c r="L151" t="str">
        <f>IF(logistics_data[[#This Row],[Delivery_Date]]="","In Transit",
 IF(logistics_data[[#This Row],[Status]]="Lost","Lost",
 IF(logistics_data[[#This Row],[Status]]="Returned","Returned",
 IF(logistics_data[[#This Row],[Status]]="Delayed","Delayed",
 "Delivered"))))</f>
        <v>Lost</v>
      </c>
      <c r="M151" s="2">
        <f>logistics_data[[#This Row],[Cost]]/logistics_data[[#This Row],[Distance_miles]]</f>
        <v>0.19529032258064516</v>
      </c>
      <c r="N151" t="str">
        <f>IF(logistics_data[[#This Row],[Orginal staus of shipment]]&lt;&gt;"Delivered","not applicabel", IF(logistics_data[[#This Row],[Transit_Days]]&gt;=5,"slow","fast"))</f>
        <v>not applicabel</v>
      </c>
    </row>
    <row r="152" spans="1:14" x14ac:dyDescent="0.3">
      <c r="A152" t="s">
        <v>198</v>
      </c>
      <c r="B152" t="s">
        <v>27</v>
      </c>
      <c r="C152" t="s">
        <v>52</v>
      </c>
      <c r="D152" t="s">
        <v>42</v>
      </c>
      <c r="E152" s="1">
        <v>45073</v>
      </c>
      <c r="F152" s="1">
        <v>45078</v>
      </c>
      <c r="G152">
        <v>11.6</v>
      </c>
      <c r="H152">
        <v>278.85000000000002</v>
      </c>
      <c r="I152" t="s">
        <v>15</v>
      </c>
      <c r="J152">
        <v>2080</v>
      </c>
      <c r="K152">
        <v>5</v>
      </c>
      <c r="L152" t="str">
        <f>IF(logistics_data[[#This Row],[Delivery_Date]]="","In Transit",
 IF(logistics_data[[#This Row],[Status]]="Lost","Lost",
 IF(logistics_data[[#This Row],[Status]]="Returned","Returned",
 IF(logistics_data[[#This Row],[Status]]="Delayed","Delayed",
 "Delivered"))))</f>
        <v>Delivered</v>
      </c>
      <c r="M152" s="2">
        <f>logistics_data[[#This Row],[Cost]]/logistics_data[[#This Row],[Distance_miles]]</f>
        <v>0.1340625</v>
      </c>
      <c r="N152" t="str">
        <f>IF(logistics_data[[#This Row],[Orginal staus of shipment]]&lt;&gt;"Delivered","not applicabel", IF(logistics_data[[#This Row],[Transit_Days]]&gt;=5,"slow","fast"))</f>
        <v>slow</v>
      </c>
    </row>
    <row r="153" spans="1:14" x14ac:dyDescent="0.3">
      <c r="A153" t="s">
        <v>199</v>
      </c>
      <c r="B153" t="s">
        <v>30</v>
      </c>
      <c r="C153" t="s">
        <v>13</v>
      </c>
      <c r="D153" t="s">
        <v>14</v>
      </c>
      <c r="E153" s="1">
        <v>45245</v>
      </c>
      <c r="F153" s="1">
        <v>45260</v>
      </c>
      <c r="G153">
        <v>21.8</v>
      </c>
      <c r="H153">
        <v>123.4</v>
      </c>
      <c r="I153" t="s">
        <v>47</v>
      </c>
      <c r="J153">
        <v>573</v>
      </c>
      <c r="K153">
        <v>2</v>
      </c>
      <c r="L153" t="str">
        <f>IF(logistics_data[[#This Row],[Delivery_Date]]="","In Transit",
 IF(logistics_data[[#This Row],[Status]]="Lost","Lost",
 IF(logistics_data[[#This Row],[Status]]="Returned","Returned",
 IF(logistics_data[[#This Row],[Status]]="Delayed","Delayed",
 "Delivered"))))</f>
        <v>Delayed</v>
      </c>
      <c r="M153" s="2">
        <f>logistics_data[[#This Row],[Cost]]/logistics_data[[#This Row],[Distance_miles]]</f>
        <v>0.21535776614310648</v>
      </c>
      <c r="N153" t="str">
        <f>IF(logistics_data[[#This Row],[Orginal staus of shipment]]&lt;&gt;"Delivered","not applicabel", IF(logistics_data[[#This Row],[Transit_Days]]&gt;=5,"slow","fast"))</f>
        <v>not applicabel</v>
      </c>
    </row>
    <row r="154" spans="1:14" x14ac:dyDescent="0.3">
      <c r="A154" t="s">
        <v>200</v>
      </c>
      <c r="B154" t="s">
        <v>39</v>
      </c>
      <c r="C154" t="s">
        <v>24</v>
      </c>
      <c r="D154" t="s">
        <v>32</v>
      </c>
      <c r="E154" s="1">
        <v>45015</v>
      </c>
      <c r="F154" s="1">
        <v>45018</v>
      </c>
      <c r="G154">
        <v>11.5</v>
      </c>
      <c r="H154">
        <v>167.08</v>
      </c>
      <c r="I154" t="s">
        <v>15</v>
      </c>
      <c r="J154">
        <v>1125</v>
      </c>
      <c r="K154">
        <v>3</v>
      </c>
      <c r="L154" t="str">
        <f>IF(logistics_data[[#This Row],[Delivery_Date]]="","In Transit",
 IF(logistics_data[[#This Row],[Status]]="Lost","Lost",
 IF(logistics_data[[#This Row],[Status]]="Returned","Returned",
 IF(logistics_data[[#This Row],[Status]]="Delayed","Delayed",
 "Delivered"))))</f>
        <v>Delivered</v>
      </c>
      <c r="M154" s="2">
        <f>logistics_data[[#This Row],[Cost]]/logistics_data[[#This Row],[Distance_miles]]</f>
        <v>0.14851555555555557</v>
      </c>
      <c r="N154" t="str">
        <f>IF(logistics_data[[#This Row],[Orginal staus of shipment]]&lt;&gt;"Delivered","not applicabel", IF(logistics_data[[#This Row],[Transit_Days]]&gt;=5,"slow","fast"))</f>
        <v>fast</v>
      </c>
    </row>
    <row r="155" spans="1:14" x14ac:dyDescent="0.3">
      <c r="A155" t="s">
        <v>201</v>
      </c>
      <c r="B155" t="s">
        <v>12</v>
      </c>
      <c r="C155" t="s">
        <v>44</v>
      </c>
      <c r="D155" t="s">
        <v>42</v>
      </c>
      <c r="E155" s="1">
        <v>45232</v>
      </c>
      <c r="F155" s="1">
        <v>45247</v>
      </c>
      <c r="G155">
        <v>45</v>
      </c>
      <c r="H155">
        <v>118.74</v>
      </c>
      <c r="I155" t="s">
        <v>47</v>
      </c>
      <c r="J155">
        <v>382</v>
      </c>
      <c r="K155">
        <v>5</v>
      </c>
      <c r="L155" t="str">
        <f>IF(logistics_data[[#This Row],[Delivery_Date]]="","In Transit",
 IF(logistics_data[[#This Row],[Status]]="Lost","Lost",
 IF(logistics_data[[#This Row],[Status]]="Returned","Returned",
 IF(logistics_data[[#This Row],[Status]]="Delayed","Delayed",
 "Delivered"))))</f>
        <v>Delayed</v>
      </c>
      <c r="M155" s="2">
        <f>logistics_data[[#This Row],[Cost]]/logistics_data[[#This Row],[Distance_miles]]</f>
        <v>0.31083769633507852</v>
      </c>
      <c r="N155" t="str">
        <f>IF(logistics_data[[#This Row],[Orginal staus of shipment]]&lt;&gt;"Delivered","not applicabel", IF(logistics_data[[#This Row],[Transit_Days]]&gt;=5,"slow","fast"))</f>
        <v>not applicabel</v>
      </c>
    </row>
    <row r="156" spans="1:14" x14ac:dyDescent="0.3">
      <c r="A156" t="s">
        <v>202</v>
      </c>
      <c r="B156" t="s">
        <v>12</v>
      </c>
      <c r="C156" t="s">
        <v>57</v>
      </c>
      <c r="D156" t="s">
        <v>18</v>
      </c>
      <c r="E156" s="1">
        <v>45061</v>
      </c>
      <c r="G156">
        <v>55.3</v>
      </c>
      <c r="H156">
        <v>362.11</v>
      </c>
      <c r="I156" t="s">
        <v>15</v>
      </c>
      <c r="J156">
        <v>2192</v>
      </c>
      <c r="K156">
        <v>6</v>
      </c>
      <c r="L156" t="str">
        <f>IF(logistics_data[[#This Row],[Delivery_Date]]="","In Transit",
 IF(logistics_data[[#This Row],[Status]]="Lost","Lost",
 IF(logistics_data[[#This Row],[Status]]="Returned","Returned",
 IF(logistics_data[[#This Row],[Status]]="Delayed","Delayed",
 "Delivered"))))</f>
        <v>In Transit</v>
      </c>
      <c r="M156" s="2">
        <f>logistics_data[[#This Row],[Cost]]/logistics_data[[#This Row],[Distance_miles]]</f>
        <v>0.16519616788321168</v>
      </c>
      <c r="N156" t="str">
        <f>IF(logistics_data[[#This Row],[Orginal staus of shipment]]&lt;&gt;"Delivered","not applicabel", IF(logistics_data[[#This Row],[Transit_Days]]&gt;=5,"slow","fast"))</f>
        <v>not applicabel</v>
      </c>
    </row>
    <row r="157" spans="1:14" x14ac:dyDescent="0.3">
      <c r="A157" t="s">
        <v>203</v>
      </c>
      <c r="B157" t="s">
        <v>27</v>
      </c>
      <c r="C157" t="s">
        <v>24</v>
      </c>
      <c r="D157" t="s">
        <v>59</v>
      </c>
      <c r="E157" s="1">
        <v>45129</v>
      </c>
      <c r="F157" s="1">
        <v>45134</v>
      </c>
      <c r="G157">
        <v>12.2</v>
      </c>
      <c r="H157">
        <v>278.14999999999998</v>
      </c>
      <c r="I157" t="s">
        <v>15</v>
      </c>
      <c r="J157">
        <v>2161</v>
      </c>
      <c r="K157">
        <v>5</v>
      </c>
      <c r="L157" t="str">
        <f>IF(logistics_data[[#This Row],[Delivery_Date]]="","In Transit",
 IF(logistics_data[[#This Row],[Status]]="Lost","Lost",
 IF(logistics_data[[#This Row],[Status]]="Returned","Returned",
 IF(logistics_data[[#This Row],[Status]]="Delayed","Delayed",
 "Delivered"))))</f>
        <v>Delivered</v>
      </c>
      <c r="M157" s="2">
        <f>logistics_data[[#This Row],[Cost]]/logistics_data[[#This Row],[Distance_miles]]</f>
        <v>0.12871355853771402</v>
      </c>
      <c r="N157" t="str">
        <f>IF(logistics_data[[#This Row],[Orginal staus of shipment]]&lt;&gt;"Delivered","not applicabel", IF(logistics_data[[#This Row],[Transit_Days]]&gt;=5,"slow","fast"))</f>
        <v>slow</v>
      </c>
    </row>
    <row r="158" spans="1:14" x14ac:dyDescent="0.3">
      <c r="A158" t="s">
        <v>204</v>
      </c>
      <c r="B158" t="s">
        <v>20</v>
      </c>
      <c r="C158" t="s">
        <v>31</v>
      </c>
      <c r="D158" t="s">
        <v>32</v>
      </c>
      <c r="E158" s="1">
        <v>44992</v>
      </c>
      <c r="F158" s="1">
        <v>44997</v>
      </c>
      <c r="G158">
        <v>54.9</v>
      </c>
      <c r="H158">
        <v>332.76</v>
      </c>
      <c r="I158" t="s">
        <v>15</v>
      </c>
      <c r="J158">
        <v>2244</v>
      </c>
      <c r="K158">
        <v>5</v>
      </c>
      <c r="L158" t="str">
        <f>IF(logistics_data[[#This Row],[Delivery_Date]]="","In Transit",
 IF(logistics_data[[#This Row],[Status]]="Lost","Lost",
 IF(logistics_data[[#This Row],[Status]]="Returned","Returned",
 IF(logistics_data[[#This Row],[Status]]="Delayed","Delayed",
 "Delivered"))))</f>
        <v>Delivered</v>
      </c>
      <c r="M158" s="2">
        <f>logistics_data[[#This Row],[Cost]]/logistics_data[[#This Row],[Distance_miles]]</f>
        <v>0.14828877005347593</v>
      </c>
      <c r="N158" t="str">
        <f>IF(logistics_data[[#This Row],[Orginal staus of shipment]]&lt;&gt;"Delivered","not applicabel", IF(logistics_data[[#This Row],[Transit_Days]]&gt;=5,"slow","fast"))</f>
        <v>slow</v>
      </c>
    </row>
    <row r="159" spans="1:14" x14ac:dyDescent="0.3">
      <c r="A159" t="s">
        <v>205</v>
      </c>
      <c r="B159" t="s">
        <v>49</v>
      </c>
      <c r="C159" t="s">
        <v>24</v>
      </c>
      <c r="D159" t="s">
        <v>42</v>
      </c>
      <c r="E159" s="1">
        <v>45050</v>
      </c>
      <c r="F159" s="1">
        <v>45052</v>
      </c>
      <c r="G159">
        <v>11.9</v>
      </c>
      <c r="H159">
        <v>83.93</v>
      </c>
      <c r="I159" t="s">
        <v>15</v>
      </c>
      <c r="J159">
        <v>561</v>
      </c>
      <c r="K159">
        <v>2</v>
      </c>
      <c r="L159" t="str">
        <f>IF(logistics_data[[#This Row],[Delivery_Date]]="","In Transit",
 IF(logistics_data[[#This Row],[Status]]="Lost","Lost",
 IF(logistics_data[[#This Row],[Status]]="Returned","Returned",
 IF(logistics_data[[#This Row],[Status]]="Delayed","Delayed",
 "Delivered"))))</f>
        <v>Delivered</v>
      </c>
      <c r="M159" s="2">
        <f>logistics_data[[#This Row],[Cost]]/logistics_data[[#This Row],[Distance_miles]]</f>
        <v>0.14960784313725492</v>
      </c>
      <c r="N159" t="str">
        <f>IF(logistics_data[[#This Row],[Orginal staus of shipment]]&lt;&gt;"Delivered","not applicabel", IF(logistics_data[[#This Row],[Transit_Days]]&gt;=5,"slow","fast"))</f>
        <v>fast</v>
      </c>
    </row>
    <row r="160" spans="1:14" x14ac:dyDescent="0.3">
      <c r="A160" t="s">
        <v>206</v>
      </c>
      <c r="B160" t="s">
        <v>51</v>
      </c>
      <c r="C160" t="s">
        <v>52</v>
      </c>
      <c r="D160" t="s">
        <v>37</v>
      </c>
      <c r="E160" s="1">
        <v>45267</v>
      </c>
      <c r="F160" s="1">
        <v>45269</v>
      </c>
      <c r="G160">
        <v>11.5</v>
      </c>
      <c r="H160">
        <v>69.7</v>
      </c>
      <c r="I160" t="s">
        <v>15</v>
      </c>
      <c r="J160">
        <v>388</v>
      </c>
      <c r="K160">
        <v>2</v>
      </c>
      <c r="L160" t="str">
        <f>IF(logistics_data[[#This Row],[Delivery_Date]]="","In Transit",
 IF(logistics_data[[#This Row],[Status]]="Lost","Lost",
 IF(logistics_data[[#This Row],[Status]]="Returned","Returned",
 IF(logistics_data[[#This Row],[Status]]="Delayed","Delayed",
 "Delivered"))))</f>
        <v>Delivered</v>
      </c>
      <c r="M160" s="2">
        <f>logistics_data[[#This Row],[Cost]]/logistics_data[[#This Row],[Distance_miles]]</f>
        <v>0.17963917525773196</v>
      </c>
      <c r="N160" t="str">
        <f>IF(logistics_data[[#This Row],[Orginal staus of shipment]]&lt;&gt;"Delivered","not applicabel", IF(logistics_data[[#This Row],[Transit_Days]]&gt;=5,"slow","fast"))</f>
        <v>fast</v>
      </c>
    </row>
    <row r="161" spans="1:14" x14ac:dyDescent="0.3">
      <c r="A161" t="s">
        <v>207</v>
      </c>
      <c r="B161" t="s">
        <v>39</v>
      </c>
      <c r="C161" t="s">
        <v>36</v>
      </c>
      <c r="D161" t="s">
        <v>14</v>
      </c>
      <c r="E161" s="1">
        <v>45060</v>
      </c>
      <c r="F161" s="1">
        <v>45069</v>
      </c>
      <c r="G161">
        <v>32.200000000000003</v>
      </c>
      <c r="H161">
        <v>334.49</v>
      </c>
      <c r="I161" t="s">
        <v>15</v>
      </c>
      <c r="J161">
        <v>2453</v>
      </c>
      <c r="K161">
        <v>9</v>
      </c>
      <c r="L161" t="str">
        <f>IF(logistics_data[[#This Row],[Delivery_Date]]="","In Transit",
 IF(logistics_data[[#This Row],[Status]]="Lost","Lost",
 IF(logistics_data[[#This Row],[Status]]="Returned","Returned",
 IF(logistics_data[[#This Row],[Status]]="Delayed","Delayed",
 "Delivered"))))</f>
        <v>Delivered</v>
      </c>
      <c r="M161" s="2">
        <f>logistics_data[[#This Row],[Cost]]/logistics_data[[#This Row],[Distance_miles]]</f>
        <v>0.13635955972278843</v>
      </c>
      <c r="N161" t="str">
        <f>IF(logistics_data[[#This Row],[Orginal staus of shipment]]&lt;&gt;"Delivered","not applicabel", IF(logistics_data[[#This Row],[Transit_Days]]&gt;=5,"slow","fast"))</f>
        <v>slow</v>
      </c>
    </row>
    <row r="162" spans="1:14" x14ac:dyDescent="0.3">
      <c r="A162" t="s">
        <v>208</v>
      </c>
      <c r="B162" t="s">
        <v>20</v>
      </c>
      <c r="C162" t="s">
        <v>17</v>
      </c>
      <c r="D162" t="s">
        <v>14</v>
      </c>
      <c r="E162" s="1">
        <v>45242</v>
      </c>
      <c r="F162" s="1">
        <v>45246</v>
      </c>
      <c r="G162">
        <v>22.1</v>
      </c>
      <c r="H162">
        <v>169.82</v>
      </c>
      <c r="I162" t="s">
        <v>15</v>
      </c>
      <c r="J162">
        <v>821</v>
      </c>
      <c r="K162">
        <v>4</v>
      </c>
      <c r="L162" t="str">
        <f>IF(logistics_data[[#This Row],[Delivery_Date]]="","In Transit",
 IF(logistics_data[[#This Row],[Status]]="Lost","Lost",
 IF(logistics_data[[#This Row],[Status]]="Returned","Returned",
 IF(logistics_data[[#This Row],[Status]]="Delayed","Delayed",
 "Delivered"))))</f>
        <v>Delivered</v>
      </c>
      <c r="M162" s="2">
        <f>logistics_data[[#This Row],[Cost]]/logistics_data[[#This Row],[Distance_miles]]</f>
        <v>0.20684531059683312</v>
      </c>
      <c r="N162" t="str">
        <f>IF(logistics_data[[#This Row],[Orginal staus of shipment]]&lt;&gt;"Delivered","not applicabel", IF(logistics_data[[#This Row],[Transit_Days]]&gt;=5,"slow","fast"))</f>
        <v>fast</v>
      </c>
    </row>
    <row r="163" spans="1:14" x14ac:dyDescent="0.3">
      <c r="A163" t="s">
        <v>209</v>
      </c>
      <c r="B163" t="s">
        <v>39</v>
      </c>
      <c r="C163" t="s">
        <v>44</v>
      </c>
      <c r="D163" t="s">
        <v>42</v>
      </c>
      <c r="E163" s="1">
        <v>45188</v>
      </c>
      <c r="F163" s="1">
        <v>45192</v>
      </c>
      <c r="G163">
        <v>23.8</v>
      </c>
      <c r="H163">
        <v>206.9</v>
      </c>
      <c r="I163" t="s">
        <v>15</v>
      </c>
      <c r="J163">
        <v>1566</v>
      </c>
      <c r="K163">
        <v>4</v>
      </c>
      <c r="L163" t="str">
        <f>IF(logistics_data[[#This Row],[Delivery_Date]]="","In Transit",
 IF(logistics_data[[#This Row],[Status]]="Lost","Lost",
 IF(logistics_data[[#This Row],[Status]]="Returned","Returned",
 IF(logistics_data[[#This Row],[Status]]="Delayed","Delayed",
 "Delivered"))))</f>
        <v>Delivered</v>
      </c>
      <c r="M163" s="2">
        <f>logistics_data[[#This Row],[Cost]]/logistics_data[[#This Row],[Distance_miles]]</f>
        <v>0.13212005108556832</v>
      </c>
      <c r="N163" t="str">
        <f>IF(logistics_data[[#This Row],[Orginal staus of shipment]]&lt;&gt;"Delivered","not applicabel", IF(logistics_data[[#This Row],[Transit_Days]]&gt;=5,"slow","fast"))</f>
        <v>fast</v>
      </c>
    </row>
    <row r="164" spans="1:14" x14ac:dyDescent="0.3">
      <c r="A164" t="s">
        <v>210</v>
      </c>
      <c r="B164" t="s">
        <v>23</v>
      </c>
      <c r="C164" t="s">
        <v>21</v>
      </c>
      <c r="D164" t="s">
        <v>59</v>
      </c>
      <c r="E164" s="1">
        <v>44999</v>
      </c>
      <c r="F164" s="1">
        <v>45001</v>
      </c>
      <c r="G164">
        <v>22.1</v>
      </c>
      <c r="H164">
        <v>79.13</v>
      </c>
      <c r="I164" t="s">
        <v>15</v>
      </c>
      <c r="J164">
        <v>465</v>
      </c>
      <c r="K164">
        <v>2</v>
      </c>
      <c r="L164" t="str">
        <f>IF(logistics_data[[#This Row],[Delivery_Date]]="","In Transit",
 IF(logistics_data[[#This Row],[Status]]="Lost","Lost",
 IF(logistics_data[[#This Row],[Status]]="Returned","Returned",
 IF(logistics_data[[#This Row],[Status]]="Delayed","Delayed",
 "Delivered"))))</f>
        <v>Delivered</v>
      </c>
      <c r="M164" s="2">
        <f>logistics_data[[#This Row],[Cost]]/logistics_data[[#This Row],[Distance_miles]]</f>
        <v>0.17017204301075267</v>
      </c>
      <c r="N164" t="str">
        <f>IF(logistics_data[[#This Row],[Orginal staus of shipment]]&lt;&gt;"Delivered","not applicabel", IF(logistics_data[[#This Row],[Transit_Days]]&gt;=5,"slow","fast"))</f>
        <v>fast</v>
      </c>
    </row>
    <row r="165" spans="1:14" x14ac:dyDescent="0.3">
      <c r="A165" t="s">
        <v>211</v>
      </c>
      <c r="B165" t="s">
        <v>35</v>
      </c>
      <c r="C165" t="s">
        <v>54</v>
      </c>
      <c r="D165" t="s">
        <v>37</v>
      </c>
      <c r="E165" s="1">
        <v>45216</v>
      </c>
      <c r="F165" s="1">
        <v>45220</v>
      </c>
      <c r="G165">
        <v>19.7</v>
      </c>
      <c r="H165">
        <v>196.56</v>
      </c>
      <c r="I165" t="s">
        <v>15</v>
      </c>
      <c r="J165">
        <v>1350</v>
      </c>
      <c r="K165">
        <v>4</v>
      </c>
      <c r="L165" t="str">
        <f>IF(logistics_data[[#This Row],[Delivery_Date]]="","In Transit",
 IF(logistics_data[[#This Row],[Status]]="Lost","Lost",
 IF(logistics_data[[#This Row],[Status]]="Returned","Returned",
 IF(logistics_data[[#This Row],[Status]]="Delayed","Delayed",
 "Delivered"))))</f>
        <v>Delivered</v>
      </c>
      <c r="M165" s="2">
        <f>logistics_data[[#This Row],[Cost]]/logistics_data[[#This Row],[Distance_miles]]</f>
        <v>0.14560000000000001</v>
      </c>
      <c r="N165" t="str">
        <f>IF(logistics_data[[#This Row],[Orginal staus of shipment]]&lt;&gt;"Delivered","not applicabel", IF(logistics_data[[#This Row],[Transit_Days]]&gt;=5,"slow","fast"))</f>
        <v>fast</v>
      </c>
    </row>
    <row r="166" spans="1:14" x14ac:dyDescent="0.3">
      <c r="A166" t="s">
        <v>212</v>
      </c>
      <c r="B166" t="s">
        <v>35</v>
      </c>
      <c r="C166" t="s">
        <v>17</v>
      </c>
      <c r="D166" t="s">
        <v>59</v>
      </c>
      <c r="E166" s="1">
        <v>45188</v>
      </c>
      <c r="F166" s="1">
        <v>45190</v>
      </c>
      <c r="G166">
        <v>14.6</v>
      </c>
      <c r="H166">
        <v>94.67</v>
      </c>
      <c r="I166" t="s">
        <v>15</v>
      </c>
      <c r="J166">
        <v>648</v>
      </c>
      <c r="K166">
        <v>2</v>
      </c>
      <c r="L166" t="str">
        <f>IF(logistics_data[[#This Row],[Delivery_Date]]="","In Transit",
 IF(logistics_data[[#This Row],[Status]]="Lost","Lost",
 IF(logistics_data[[#This Row],[Status]]="Returned","Returned",
 IF(logistics_data[[#This Row],[Status]]="Delayed","Delayed",
 "Delivered"))))</f>
        <v>Delivered</v>
      </c>
      <c r="M166" s="2">
        <f>logistics_data[[#This Row],[Cost]]/logistics_data[[#This Row],[Distance_miles]]</f>
        <v>0.14609567901234569</v>
      </c>
      <c r="N166" t="str">
        <f>IF(logistics_data[[#This Row],[Orginal staus of shipment]]&lt;&gt;"Delivered","not applicabel", IF(logistics_data[[#This Row],[Transit_Days]]&gt;=5,"slow","fast"))</f>
        <v>fast</v>
      </c>
    </row>
    <row r="167" spans="1:14" x14ac:dyDescent="0.3">
      <c r="A167" t="s">
        <v>213</v>
      </c>
      <c r="B167" t="s">
        <v>20</v>
      </c>
      <c r="C167" t="s">
        <v>81</v>
      </c>
      <c r="D167" t="s">
        <v>25</v>
      </c>
      <c r="E167" s="1">
        <v>45249</v>
      </c>
      <c r="F167" s="1">
        <v>45251</v>
      </c>
      <c r="G167">
        <v>23.3</v>
      </c>
      <c r="H167">
        <v>117.91</v>
      </c>
      <c r="I167" t="s">
        <v>15</v>
      </c>
      <c r="J167">
        <v>586</v>
      </c>
      <c r="K167">
        <v>2</v>
      </c>
      <c r="L167" t="str">
        <f>IF(logistics_data[[#This Row],[Delivery_Date]]="","In Transit",
 IF(logistics_data[[#This Row],[Status]]="Lost","Lost",
 IF(logistics_data[[#This Row],[Status]]="Returned","Returned",
 IF(logistics_data[[#This Row],[Status]]="Delayed","Delayed",
 "Delivered"))))</f>
        <v>Delivered</v>
      </c>
      <c r="M167" s="2">
        <f>logistics_data[[#This Row],[Cost]]/logistics_data[[#This Row],[Distance_miles]]</f>
        <v>0.20121160409556313</v>
      </c>
      <c r="N167" t="str">
        <f>IF(logistics_data[[#This Row],[Orginal staus of shipment]]&lt;&gt;"Delivered","not applicabel", IF(logistics_data[[#This Row],[Transit_Days]]&gt;=5,"slow","fast"))</f>
        <v>fast</v>
      </c>
    </row>
    <row r="168" spans="1:14" x14ac:dyDescent="0.3">
      <c r="A168" t="s">
        <v>214</v>
      </c>
      <c r="B168" t="s">
        <v>49</v>
      </c>
      <c r="C168" t="s">
        <v>57</v>
      </c>
      <c r="D168" t="s">
        <v>32</v>
      </c>
      <c r="E168" s="1">
        <v>45052</v>
      </c>
      <c r="F168" s="1">
        <v>45057</v>
      </c>
      <c r="G168">
        <v>20.2</v>
      </c>
      <c r="H168">
        <v>309.57</v>
      </c>
      <c r="I168" t="s">
        <v>15</v>
      </c>
      <c r="J168">
        <v>1964</v>
      </c>
      <c r="K168">
        <v>5</v>
      </c>
      <c r="L168" t="str">
        <f>IF(logistics_data[[#This Row],[Delivery_Date]]="","In Transit",
 IF(logistics_data[[#This Row],[Status]]="Lost","Lost",
 IF(logistics_data[[#This Row],[Status]]="Returned","Returned",
 IF(logistics_data[[#This Row],[Status]]="Delayed","Delayed",
 "Delivered"))))</f>
        <v>Delivered</v>
      </c>
      <c r="M168" s="2">
        <f>logistics_data[[#This Row],[Cost]]/logistics_data[[#This Row],[Distance_miles]]</f>
        <v>0.15762219959266802</v>
      </c>
      <c r="N168" t="str">
        <f>IF(logistics_data[[#This Row],[Orginal staus of shipment]]&lt;&gt;"Delivered","not applicabel", IF(logistics_data[[#This Row],[Transit_Days]]&gt;=5,"slow","fast"))</f>
        <v>slow</v>
      </c>
    </row>
    <row r="169" spans="1:14" x14ac:dyDescent="0.3">
      <c r="A169" t="s">
        <v>215</v>
      </c>
      <c r="B169" t="s">
        <v>20</v>
      </c>
      <c r="C169" t="s">
        <v>54</v>
      </c>
      <c r="D169" t="s">
        <v>14</v>
      </c>
      <c r="E169" s="1">
        <v>45161</v>
      </c>
      <c r="F169" s="1">
        <v>45163</v>
      </c>
      <c r="G169">
        <v>5.7</v>
      </c>
      <c r="H169">
        <v>24.11</v>
      </c>
      <c r="I169" t="s">
        <v>15</v>
      </c>
      <c r="J169">
        <v>143</v>
      </c>
      <c r="K169">
        <v>2</v>
      </c>
      <c r="L169" t="str">
        <f>IF(logistics_data[[#This Row],[Delivery_Date]]="","In Transit",
 IF(logistics_data[[#This Row],[Status]]="Lost","Lost",
 IF(logistics_data[[#This Row],[Status]]="Returned","Returned",
 IF(logistics_data[[#This Row],[Status]]="Delayed","Delayed",
 "Delivered"))))</f>
        <v>Delivered</v>
      </c>
      <c r="M169" s="2">
        <f>logistics_data[[#This Row],[Cost]]/logistics_data[[#This Row],[Distance_miles]]</f>
        <v>0.16860139860139861</v>
      </c>
      <c r="N169" t="str">
        <f>IF(logistics_data[[#This Row],[Orginal staus of shipment]]&lt;&gt;"Delivered","not applicabel", IF(logistics_data[[#This Row],[Transit_Days]]&gt;=5,"slow","fast"))</f>
        <v>fast</v>
      </c>
    </row>
    <row r="170" spans="1:14" x14ac:dyDescent="0.3">
      <c r="A170" t="s">
        <v>216</v>
      </c>
      <c r="B170" t="s">
        <v>35</v>
      </c>
      <c r="C170" t="s">
        <v>21</v>
      </c>
      <c r="D170" t="s">
        <v>37</v>
      </c>
      <c r="E170" s="1">
        <v>45132</v>
      </c>
      <c r="F170" s="1">
        <v>45136</v>
      </c>
      <c r="G170">
        <v>7.5</v>
      </c>
      <c r="H170">
        <v>157.13</v>
      </c>
      <c r="I170" t="s">
        <v>15</v>
      </c>
      <c r="J170">
        <v>1262</v>
      </c>
      <c r="K170">
        <v>4</v>
      </c>
      <c r="L170" t="str">
        <f>IF(logistics_data[[#This Row],[Delivery_Date]]="","In Transit",
 IF(logistics_data[[#This Row],[Status]]="Lost","Lost",
 IF(logistics_data[[#This Row],[Status]]="Returned","Returned",
 IF(logistics_data[[#This Row],[Status]]="Delayed","Delayed",
 "Delivered"))))</f>
        <v>Delivered</v>
      </c>
      <c r="M170" s="2">
        <f>logistics_data[[#This Row],[Cost]]/logistics_data[[#This Row],[Distance_miles]]</f>
        <v>0.12450871632329635</v>
      </c>
      <c r="N170" t="str">
        <f>IF(logistics_data[[#This Row],[Orginal staus of shipment]]&lt;&gt;"Delivered","not applicabel", IF(logistics_data[[#This Row],[Transit_Days]]&gt;=5,"slow","fast"))</f>
        <v>fast</v>
      </c>
    </row>
    <row r="171" spans="1:14" x14ac:dyDescent="0.3">
      <c r="A171" t="s">
        <v>217</v>
      </c>
      <c r="B171" t="s">
        <v>56</v>
      </c>
      <c r="C171" t="s">
        <v>52</v>
      </c>
      <c r="D171" t="s">
        <v>32</v>
      </c>
      <c r="E171" s="1">
        <v>45170</v>
      </c>
      <c r="F171" s="1">
        <v>45175</v>
      </c>
      <c r="G171">
        <v>84.2</v>
      </c>
      <c r="H171">
        <v>414.53</v>
      </c>
      <c r="I171" t="s">
        <v>15</v>
      </c>
      <c r="J171">
        <v>2302</v>
      </c>
      <c r="K171">
        <v>5</v>
      </c>
      <c r="L171" t="str">
        <f>IF(logistics_data[[#This Row],[Delivery_Date]]="","In Transit",
 IF(logistics_data[[#This Row],[Status]]="Lost","Lost",
 IF(logistics_data[[#This Row],[Status]]="Returned","Returned",
 IF(logistics_data[[#This Row],[Status]]="Delayed","Delayed",
 "Delivered"))))</f>
        <v>Delivered</v>
      </c>
      <c r="M171" s="2">
        <f>logistics_data[[#This Row],[Cost]]/logistics_data[[#This Row],[Distance_miles]]</f>
        <v>0.18007384882710686</v>
      </c>
      <c r="N171" t="str">
        <f>IF(logistics_data[[#This Row],[Orginal staus of shipment]]&lt;&gt;"Delivered","not applicabel", IF(logistics_data[[#This Row],[Transit_Days]]&gt;=5,"slow","fast"))</f>
        <v>slow</v>
      </c>
    </row>
    <row r="172" spans="1:14" x14ac:dyDescent="0.3">
      <c r="A172" t="s">
        <v>218</v>
      </c>
      <c r="B172" t="s">
        <v>12</v>
      </c>
      <c r="C172" t="s">
        <v>17</v>
      </c>
      <c r="D172" t="s">
        <v>59</v>
      </c>
      <c r="E172" s="1">
        <v>45194</v>
      </c>
      <c r="F172" s="1">
        <v>45197</v>
      </c>
      <c r="G172">
        <v>18.2</v>
      </c>
      <c r="H172">
        <v>103.05</v>
      </c>
      <c r="I172" t="s">
        <v>15</v>
      </c>
      <c r="J172">
        <v>679</v>
      </c>
      <c r="K172">
        <v>3</v>
      </c>
      <c r="L172" t="str">
        <f>IF(logistics_data[[#This Row],[Delivery_Date]]="","In Transit",
 IF(logistics_data[[#This Row],[Status]]="Lost","Lost",
 IF(logistics_data[[#This Row],[Status]]="Returned","Returned",
 IF(logistics_data[[#This Row],[Status]]="Delayed","Delayed",
 "Delivered"))))</f>
        <v>Delivered</v>
      </c>
      <c r="M172" s="2">
        <f>logistics_data[[#This Row],[Cost]]/logistics_data[[#This Row],[Distance_miles]]</f>
        <v>0.15176730486008835</v>
      </c>
      <c r="N172" t="str">
        <f>IF(logistics_data[[#This Row],[Orginal staus of shipment]]&lt;&gt;"Delivered","not applicabel", IF(logistics_data[[#This Row],[Transit_Days]]&gt;=5,"slow","fast"))</f>
        <v>fast</v>
      </c>
    </row>
    <row r="173" spans="1:14" x14ac:dyDescent="0.3">
      <c r="A173" t="s">
        <v>219</v>
      </c>
      <c r="B173" t="s">
        <v>20</v>
      </c>
      <c r="C173" t="s">
        <v>44</v>
      </c>
      <c r="D173" t="s">
        <v>37</v>
      </c>
      <c r="E173" s="1">
        <v>45184</v>
      </c>
      <c r="F173" s="1">
        <v>45186</v>
      </c>
      <c r="G173">
        <v>12.9</v>
      </c>
      <c r="H173">
        <v>114.88</v>
      </c>
      <c r="I173" t="s">
        <v>15</v>
      </c>
      <c r="J173">
        <v>755</v>
      </c>
      <c r="K173">
        <v>2</v>
      </c>
      <c r="L173" t="str">
        <f>IF(logistics_data[[#This Row],[Delivery_Date]]="","In Transit",
 IF(logistics_data[[#This Row],[Status]]="Lost","Lost",
 IF(logistics_data[[#This Row],[Status]]="Returned","Returned",
 IF(logistics_data[[#This Row],[Status]]="Delayed","Delayed",
 "Delivered"))))</f>
        <v>Delivered</v>
      </c>
      <c r="M173" s="2">
        <f>logistics_data[[#This Row],[Cost]]/logistics_data[[#This Row],[Distance_miles]]</f>
        <v>0.15215894039735098</v>
      </c>
      <c r="N173" t="str">
        <f>IF(logistics_data[[#This Row],[Orginal staus of shipment]]&lt;&gt;"Delivered","not applicabel", IF(logistics_data[[#This Row],[Transit_Days]]&gt;=5,"slow","fast"))</f>
        <v>fast</v>
      </c>
    </row>
    <row r="174" spans="1:14" x14ac:dyDescent="0.3">
      <c r="A174" t="s">
        <v>220</v>
      </c>
      <c r="B174" t="s">
        <v>49</v>
      </c>
      <c r="C174" t="s">
        <v>31</v>
      </c>
      <c r="D174" t="s">
        <v>37</v>
      </c>
      <c r="E174" s="1">
        <v>45039</v>
      </c>
      <c r="F174" s="1">
        <v>45047</v>
      </c>
      <c r="G174">
        <v>35.1</v>
      </c>
      <c r="H174">
        <v>272.06</v>
      </c>
      <c r="I174" t="s">
        <v>15</v>
      </c>
      <c r="J174">
        <v>2056</v>
      </c>
      <c r="K174">
        <v>8</v>
      </c>
      <c r="L174" t="str">
        <f>IF(logistics_data[[#This Row],[Delivery_Date]]="","In Transit",
 IF(logistics_data[[#This Row],[Status]]="Lost","Lost",
 IF(logistics_data[[#This Row],[Status]]="Returned","Returned",
 IF(logistics_data[[#This Row],[Status]]="Delayed","Delayed",
 "Delivered"))))</f>
        <v>Delivered</v>
      </c>
      <c r="M174" s="2">
        <f>logistics_data[[#This Row],[Cost]]/logistics_data[[#This Row],[Distance_miles]]</f>
        <v>0.1323249027237354</v>
      </c>
      <c r="N174" t="str">
        <f>IF(logistics_data[[#This Row],[Orginal staus of shipment]]&lt;&gt;"Delivered","not applicabel", IF(logistics_data[[#This Row],[Transit_Days]]&gt;=5,"slow","fast"))</f>
        <v>slow</v>
      </c>
    </row>
    <row r="175" spans="1:14" x14ac:dyDescent="0.3">
      <c r="A175" t="s">
        <v>221</v>
      </c>
      <c r="B175" t="s">
        <v>12</v>
      </c>
      <c r="C175" t="s">
        <v>40</v>
      </c>
      <c r="D175" t="s">
        <v>14</v>
      </c>
      <c r="E175" s="1">
        <v>45135</v>
      </c>
      <c r="F175" s="1">
        <v>45139</v>
      </c>
      <c r="G175">
        <v>6.6</v>
      </c>
      <c r="H175">
        <v>156.36000000000001</v>
      </c>
      <c r="I175" t="s">
        <v>62</v>
      </c>
      <c r="J175">
        <v>1222</v>
      </c>
      <c r="K175">
        <v>4</v>
      </c>
      <c r="L175" t="str">
        <f>IF(logistics_data[[#This Row],[Delivery_Date]]="","In Transit",
 IF(logistics_data[[#This Row],[Status]]="Lost","Lost",
 IF(logistics_data[[#This Row],[Status]]="Returned","Returned",
 IF(logistics_data[[#This Row],[Status]]="Delayed","Delayed",
 "Delivered"))))</f>
        <v>Delivered</v>
      </c>
      <c r="M175" s="2">
        <f>logistics_data[[#This Row],[Cost]]/logistics_data[[#This Row],[Distance_miles]]</f>
        <v>0.1279541734860884</v>
      </c>
      <c r="N175" t="str">
        <f>IF(logistics_data[[#This Row],[Orginal staus of shipment]]&lt;&gt;"Delivered","not applicabel", IF(logistics_data[[#This Row],[Transit_Days]]&gt;=5,"slow","fast"))</f>
        <v>fast</v>
      </c>
    </row>
    <row r="176" spans="1:14" x14ac:dyDescent="0.3">
      <c r="A176" t="s">
        <v>222</v>
      </c>
      <c r="B176" t="s">
        <v>20</v>
      </c>
      <c r="C176" t="s">
        <v>21</v>
      </c>
      <c r="D176" t="s">
        <v>32</v>
      </c>
      <c r="E176" s="1">
        <v>44931</v>
      </c>
      <c r="F176" s="1">
        <v>44949</v>
      </c>
      <c r="G176">
        <v>11.5</v>
      </c>
      <c r="H176">
        <v>244.22</v>
      </c>
      <c r="I176" t="s">
        <v>47</v>
      </c>
      <c r="J176">
        <v>1814</v>
      </c>
      <c r="K176">
        <v>8</v>
      </c>
      <c r="L176" t="str">
        <f>IF(logistics_data[[#This Row],[Delivery_Date]]="","In Transit",
 IF(logistics_data[[#This Row],[Status]]="Lost","Lost",
 IF(logistics_data[[#This Row],[Status]]="Returned","Returned",
 IF(logistics_data[[#This Row],[Status]]="Delayed","Delayed",
 "Delivered"))))</f>
        <v>Delayed</v>
      </c>
      <c r="M176" s="2">
        <f>logistics_data[[#This Row],[Cost]]/logistics_data[[#This Row],[Distance_miles]]</f>
        <v>0.13463065049614112</v>
      </c>
      <c r="N176" t="str">
        <f>IF(logistics_data[[#This Row],[Orginal staus of shipment]]&lt;&gt;"Delivered","not applicabel", IF(logistics_data[[#This Row],[Transit_Days]]&gt;=5,"slow","fast"))</f>
        <v>not applicabel</v>
      </c>
    </row>
    <row r="177" spans="1:14" x14ac:dyDescent="0.3">
      <c r="A177" t="s">
        <v>223</v>
      </c>
      <c r="B177" t="s">
        <v>12</v>
      </c>
      <c r="C177" t="s">
        <v>57</v>
      </c>
      <c r="D177" t="s">
        <v>59</v>
      </c>
      <c r="E177" s="1">
        <v>45126</v>
      </c>
      <c r="F177" s="1">
        <v>45132</v>
      </c>
      <c r="G177">
        <v>11.6</v>
      </c>
      <c r="H177">
        <v>184.5</v>
      </c>
      <c r="I177" t="s">
        <v>15</v>
      </c>
      <c r="J177">
        <v>1454</v>
      </c>
      <c r="K177">
        <v>6</v>
      </c>
      <c r="L177" t="str">
        <f>IF(logistics_data[[#This Row],[Delivery_Date]]="","In Transit",
 IF(logistics_data[[#This Row],[Status]]="Lost","Lost",
 IF(logistics_data[[#This Row],[Status]]="Returned","Returned",
 IF(logistics_data[[#This Row],[Status]]="Delayed","Delayed",
 "Delivered"))))</f>
        <v>Delivered</v>
      </c>
      <c r="M177" s="2">
        <f>logistics_data[[#This Row],[Cost]]/logistics_data[[#This Row],[Distance_miles]]</f>
        <v>0.12689133425034388</v>
      </c>
      <c r="N177" t="str">
        <f>IF(logistics_data[[#This Row],[Orginal staus of shipment]]&lt;&gt;"Delivered","not applicabel", IF(logistics_data[[#This Row],[Transit_Days]]&gt;=5,"slow","fast"))</f>
        <v>slow</v>
      </c>
    </row>
    <row r="178" spans="1:14" x14ac:dyDescent="0.3">
      <c r="A178" t="s">
        <v>224</v>
      </c>
      <c r="B178" t="s">
        <v>51</v>
      </c>
      <c r="C178" t="s">
        <v>54</v>
      </c>
      <c r="D178" t="s">
        <v>59</v>
      </c>
      <c r="E178" s="1">
        <v>45094</v>
      </c>
      <c r="F178" s="1">
        <v>45096</v>
      </c>
      <c r="G178">
        <v>105</v>
      </c>
      <c r="H178">
        <v>180.26</v>
      </c>
      <c r="I178" t="s">
        <v>67</v>
      </c>
      <c r="J178">
        <v>543</v>
      </c>
      <c r="K178">
        <v>2</v>
      </c>
      <c r="L178" t="str">
        <f>IF(logistics_data[[#This Row],[Delivery_Date]]="","In Transit",
 IF(logistics_data[[#This Row],[Status]]="Lost","Lost",
 IF(logistics_data[[#This Row],[Status]]="Returned","Returned",
 IF(logistics_data[[#This Row],[Status]]="Delayed","Delayed",
 "Delivered"))))</f>
        <v>Returned</v>
      </c>
      <c r="M178" s="2">
        <f>logistics_data[[#This Row],[Cost]]/logistics_data[[#This Row],[Distance_miles]]</f>
        <v>0.33197053406998156</v>
      </c>
      <c r="N178" t="str">
        <f>IF(logistics_data[[#This Row],[Orginal staus of shipment]]&lt;&gt;"Delivered","not applicabel", IF(logistics_data[[#This Row],[Transit_Days]]&gt;=5,"slow","fast"))</f>
        <v>not applicabel</v>
      </c>
    </row>
    <row r="179" spans="1:14" x14ac:dyDescent="0.3">
      <c r="A179" t="s">
        <v>225</v>
      </c>
      <c r="B179" t="s">
        <v>23</v>
      </c>
      <c r="C179" t="s">
        <v>17</v>
      </c>
      <c r="D179" t="s">
        <v>18</v>
      </c>
      <c r="E179" s="1">
        <v>45137</v>
      </c>
      <c r="F179" s="1">
        <v>45140</v>
      </c>
      <c r="G179">
        <v>13.8</v>
      </c>
      <c r="H179">
        <v>167.23</v>
      </c>
      <c r="I179" t="s">
        <v>15</v>
      </c>
      <c r="J179">
        <v>1142</v>
      </c>
      <c r="K179">
        <v>3</v>
      </c>
      <c r="L179" t="str">
        <f>IF(logistics_data[[#This Row],[Delivery_Date]]="","In Transit",
 IF(logistics_data[[#This Row],[Status]]="Lost","Lost",
 IF(logistics_data[[#This Row],[Status]]="Returned","Returned",
 IF(logistics_data[[#This Row],[Status]]="Delayed","Delayed",
 "Delivered"))))</f>
        <v>Delivered</v>
      </c>
      <c r="M179" s="2">
        <f>logistics_data[[#This Row],[Cost]]/logistics_data[[#This Row],[Distance_miles]]</f>
        <v>0.14643607705779332</v>
      </c>
      <c r="N179" t="str">
        <f>IF(logistics_data[[#This Row],[Orginal staus of shipment]]&lt;&gt;"Delivered","not applicabel", IF(logistics_data[[#This Row],[Transit_Days]]&gt;=5,"slow","fast"))</f>
        <v>fast</v>
      </c>
    </row>
    <row r="180" spans="1:14" x14ac:dyDescent="0.3">
      <c r="A180" t="s">
        <v>226</v>
      </c>
      <c r="B180" t="s">
        <v>12</v>
      </c>
      <c r="C180" t="s">
        <v>36</v>
      </c>
      <c r="D180" t="s">
        <v>32</v>
      </c>
      <c r="E180" s="1">
        <v>45084</v>
      </c>
      <c r="F180" s="1">
        <v>45087</v>
      </c>
      <c r="G180">
        <v>14.1</v>
      </c>
      <c r="H180">
        <v>137.25</v>
      </c>
      <c r="I180" t="s">
        <v>15</v>
      </c>
      <c r="J180">
        <v>810</v>
      </c>
      <c r="K180">
        <v>3</v>
      </c>
      <c r="L180" t="str">
        <f>IF(logistics_data[[#This Row],[Delivery_Date]]="","In Transit",
 IF(logistics_data[[#This Row],[Status]]="Lost","Lost",
 IF(logistics_data[[#This Row],[Status]]="Returned","Returned",
 IF(logistics_data[[#This Row],[Status]]="Delayed","Delayed",
 "Delivered"))))</f>
        <v>Delivered</v>
      </c>
      <c r="M180" s="2">
        <f>logistics_data[[#This Row],[Cost]]/logistics_data[[#This Row],[Distance_miles]]</f>
        <v>0.16944444444444445</v>
      </c>
      <c r="N180" t="str">
        <f>IF(logistics_data[[#This Row],[Orginal staus of shipment]]&lt;&gt;"Delivered","not applicabel", IF(logistics_data[[#This Row],[Transit_Days]]&gt;=5,"slow","fast"))</f>
        <v>fast</v>
      </c>
    </row>
    <row r="181" spans="1:14" x14ac:dyDescent="0.3">
      <c r="A181" t="s">
        <v>227</v>
      </c>
      <c r="B181" t="s">
        <v>35</v>
      </c>
      <c r="C181" t="s">
        <v>36</v>
      </c>
      <c r="D181" t="s">
        <v>37</v>
      </c>
      <c r="E181" s="1">
        <v>45152</v>
      </c>
      <c r="F181" s="1">
        <v>45165</v>
      </c>
      <c r="G181">
        <v>30.3</v>
      </c>
      <c r="H181">
        <v>154.16</v>
      </c>
      <c r="I181" t="s">
        <v>47</v>
      </c>
      <c r="J181">
        <v>1081</v>
      </c>
      <c r="K181">
        <v>3</v>
      </c>
      <c r="L181" t="str">
        <f>IF(logistics_data[[#This Row],[Delivery_Date]]="","In Transit",
 IF(logistics_data[[#This Row],[Status]]="Lost","Lost",
 IF(logistics_data[[#This Row],[Status]]="Returned","Returned",
 IF(logistics_data[[#This Row],[Status]]="Delayed","Delayed",
 "Delivered"))))</f>
        <v>Delayed</v>
      </c>
      <c r="M181" s="2">
        <f>logistics_data[[#This Row],[Cost]]/logistics_data[[#This Row],[Distance_miles]]</f>
        <v>0.14260869565217391</v>
      </c>
      <c r="N181" t="str">
        <f>IF(logistics_data[[#This Row],[Orginal staus of shipment]]&lt;&gt;"Delivered","not applicabel", IF(logistics_data[[#This Row],[Transit_Days]]&gt;=5,"slow","fast"))</f>
        <v>not applicabel</v>
      </c>
    </row>
    <row r="182" spans="1:14" x14ac:dyDescent="0.3">
      <c r="A182" t="s">
        <v>228</v>
      </c>
      <c r="B182" t="s">
        <v>56</v>
      </c>
      <c r="C182" t="s">
        <v>52</v>
      </c>
      <c r="D182" t="s">
        <v>37</v>
      </c>
      <c r="E182" s="1">
        <v>44947</v>
      </c>
      <c r="F182" s="1">
        <v>44948</v>
      </c>
      <c r="G182">
        <v>19.399999999999999</v>
      </c>
      <c r="H182">
        <v>40.24</v>
      </c>
      <c r="I182" t="s">
        <v>15</v>
      </c>
      <c r="J182">
        <v>152</v>
      </c>
      <c r="K182">
        <v>1</v>
      </c>
      <c r="L182" t="str">
        <f>IF(logistics_data[[#This Row],[Delivery_Date]]="","In Transit",
 IF(logistics_data[[#This Row],[Status]]="Lost","Lost",
 IF(logistics_data[[#This Row],[Status]]="Returned","Returned",
 IF(logistics_data[[#This Row],[Status]]="Delayed","Delayed",
 "Delivered"))))</f>
        <v>Delivered</v>
      </c>
      <c r="M182" s="2">
        <f>logistics_data[[#This Row],[Cost]]/logistics_data[[#This Row],[Distance_miles]]</f>
        <v>0.26473684210526316</v>
      </c>
      <c r="N182" t="str">
        <f>IF(logistics_data[[#This Row],[Orginal staus of shipment]]&lt;&gt;"Delivered","not applicabel", IF(logistics_data[[#This Row],[Transit_Days]]&gt;=5,"slow","fast"))</f>
        <v>fast</v>
      </c>
    </row>
    <row r="183" spans="1:14" x14ac:dyDescent="0.3">
      <c r="A183" t="s">
        <v>229</v>
      </c>
      <c r="B183" t="s">
        <v>51</v>
      </c>
      <c r="C183" t="s">
        <v>52</v>
      </c>
      <c r="D183" t="s">
        <v>18</v>
      </c>
      <c r="E183" s="1">
        <v>45184</v>
      </c>
      <c r="F183" s="1">
        <v>45189</v>
      </c>
      <c r="G183">
        <v>10</v>
      </c>
      <c r="H183">
        <v>156.13</v>
      </c>
      <c r="I183" t="s">
        <v>15</v>
      </c>
      <c r="J183">
        <v>1120</v>
      </c>
      <c r="K183">
        <v>5</v>
      </c>
      <c r="L183" t="str">
        <f>IF(logistics_data[[#This Row],[Delivery_Date]]="","In Transit",
 IF(logistics_data[[#This Row],[Status]]="Lost","Lost",
 IF(logistics_data[[#This Row],[Status]]="Returned","Returned",
 IF(logistics_data[[#This Row],[Status]]="Delayed","Delayed",
 "Delivered"))))</f>
        <v>Delivered</v>
      </c>
      <c r="M183" s="2">
        <f>logistics_data[[#This Row],[Cost]]/logistics_data[[#This Row],[Distance_miles]]</f>
        <v>0.13940178571428571</v>
      </c>
      <c r="N183" t="str">
        <f>IF(logistics_data[[#This Row],[Orginal staus of shipment]]&lt;&gt;"Delivered","not applicabel", IF(logistics_data[[#This Row],[Transit_Days]]&gt;=5,"slow","fast"))</f>
        <v>slow</v>
      </c>
    </row>
    <row r="184" spans="1:14" x14ac:dyDescent="0.3">
      <c r="A184" t="s">
        <v>230</v>
      </c>
      <c r="B184" t="s">
        <v>49</v>
      </c>
      <c r="C184" t="s">
        <v>36</v>
      </c>
      <c r="D184" t="s">
        <v>37</v>
      </c>
      <c r="E184" s="1">
        <v>44927</v>
      </c>
      <c r="F184" s="1">
        <v>44936</v>
      </c>
      <c r="G184">
        <v>22.8</v>
      </c>
      <c r="H184">
        <v>319.99</v>
      </c>
      <c r="I184" t="s">
        <v>15</v>
      </c>
      <c r="J184">
        <v>2327</v>
      </c>
      <c r="K184">
        <v>9</v>
      </c>
      <c r="L184" t="str">
        <f>IF(logistics_data[[#This Row],[Delivery_Date]]="","In Transit",
 IF(logistics_data[[#This Row],[Status]]="Lost","Lost",
 IF(logistics_data[[#This Row],[Status]]="Returned","Returned",
 IF(logistics_data[[#This Row],[Status]]="Delayed","Delayed",
 "Delivered"))))</f>
        <v>Delivered</v>
      </c>
      <c r="M184" s="2">
        <f>logistics_data[[#This Row],[Cost]]/logistics_data[[#This Row],[Distance_miles]]</f>
        <v>0.13751181779114741</v>
      </c>
      <c r="N184" t="str">
        <f>IF(logistics_data[[#This Row],[Orginal staus of shipment]]&lt;&gt;"Delivered","not applicabel", IF(logistics_data[[#This Row],[Transit_Days]]&gt;=5,"slow","fast"))</f>
        <v>slow</v>
      </c>
    </row>
    <row r="185" spans="1:14" x14ac:dyDescent="0.3">
      <c r="A185" t="s">
        <v>231</v>
      </c>
      <c r="B185" t="s">
        <v>39</v>
      </c>
      <c r="C185" t="s">
        <v>28</v>
      </c>
      <c r="D185" t="s">
        <v>37</v>
      </c>
      <c r="E185" s="1">
        <v>45193</v>
      </c>
      <c r="F185" s="1">
        <v>45205</v>
      </c>
      <c r="G185">
        <v>7.1</v>
      </c>
      <c r="I185" t="s">
        <v>47</v>
      </c>
      <c r="J185">
        <v>1376</v>
      </c>
      <c r="K185">
        <v>5</v>
      </c>
      <c r="L185" t="str">
        <f>IF(logistics_data[[#This Row],[Delivery_Date]]="","In Transit",
 IF(logistics_data[[#This Row],[Status]]="Lost","Lost",
 IF(logistics_data[[#This Row],[Status]]="Returned","Returned",
 IF(logistics_data[[#This Row],[Status]]="Delayed","Delayed",
 "Delivered"))))</f>
        <v>Delayed</v>
      </c>
      <c r="M185" s="2">
        <f>logistics_data[[#This Row],[Cost]]/logistics_data[[#This Row],[Distance_miles]]</f>
        <v>0</v>
      </c>
      <c r="N185" t="str">
        <f>IF(logistics_data[[#This Row],[Orginal staus of shipment]]&lt;&gt;"Delivered","not applicabel", IF(logistics_data[[#This Row],[Transit_Days]]&gt;=5,"slow","fast"))</f>
        <v>not applicabel</v>
      </c>
    </row>
    <row r="186" spans="1:14" x14ac:dyDescent="0.3">
      <c r="A186" t="s">
        <v>232</v>
      </c>
      <c r="B186" t="s">
        <v>27</v>
      </c>
      <c r="C186" t="s">
        <v>21</v>
      </c>
      <c r="D186" t="s">
        <v>37</v>
      </c>
      <c r="E186" s="1">
        <v>45255</v>
      </c>
      <c r="F186" s="1">
        <v>45260</v>
      </c>
      <c r="G186">
        <v>17.5</v>
      </c>
      <c r="H186">
        <v>347.71</v>
      </c>
      <c r="I186" t="s">
        <v>15</v>
      </c>
      <c r="J186">
        <v>2380</v>
      </c>
      <c r="K186">
        <v>5</v>
      </c>
      <c r="L186" t="str">
        <f>IF(logistics_data[[#This Row],[Delivery_Date]]="","In Transit",
 IF(logistics_data[[#This Row],[Status]]="Lost","Lost",
 IF(logistics_data[[#This Row],[Status]]="Returned","Returned",
 IF(logistics_data[[#This Row],[Status]]="Delayed","Delayed",
 "Delivered"))))</f>
        <v>Delivered</v>
      </c>
      <c r="M186" s="2">
        <f>logistics_data[[#This Row],[Cost]]/logistics_data[[#This Row],[Distance_miles]]</f>
        <v>0.14609663865546219</v>
      </c>
      <c r="N186" t="str">
        <f>IF(logistics_data[[#This Row],[Orginal staus of shipment]]&lt;&gt;"Delivered","not applicabel", IF(logistics_data[[#This Row],[Transit_Days]]&gt;=5,"slow","fast"))</f>
        <v>slow</v>
      </c>
    </row>
    <row r="187" spans="1:14" x14ac:dyDescent="0.3">
      <c r="A187" t="s">
        <v>233</v>
      </c>
      <c r="B187" t="s">
        <v>20</v>
      </c>
      <c r="C187" t="s">
        <v>57</v>
      </c>
      <c r="D187" t="s">
        <v>42</v>
      </c>
      <c r="E187" s="1">
        <v>45189</v>
      </c>
      <c r="F187" s="1">
        <v>45193</v>
      </c>
      <c r="G187">
        <v>25.6</v>
      </c>
      <c r="H187">
        <v>108.01</v>
      </c>
      <c r="I187" t="s">
        <v>15</v>
      </c>
      <c r="J187">
        <v>694</v>
      </c>
      <c r="K187">
        <v>4</v>
      </c>
      <c r="L187" t="str">
        <f>IF(logistics_data[[#This Row],[Delivery_Date]]="","In Transit",
 IF(logistics_data[[#This Row],[Status]]="Lost","Lost",
 IF(logistics_data[[#This Row],[Status]]="Returned","Returned",
 IF(logistics_data[[#This Row],[Status]]="Delayed","Delayed",
 "Delivered"))))</f>
        <v>Delivered</v>
      </c>
      <c r="M187" s="2">
        <f>logistics_data[[#This Row],[Cost]]/logistics_data[[#This Row],[Distance_miles]]</f>
        <v>0.15563400576368877</v>
      </c>
      <c r="N187" t="str">
        <f>IF(logistics_data[[#This Row],[Orginal staus of shipment]]&lt;&gt;"Delivered","not applicabel", IF(logistics_data[[#This Row],[Transit_Days]]&gt;=5,"slow","fast"))</f>
        <v>fast</v>
      </c>
    </row>
    <row r="188" spans="1:14" x14ac:dyDescent="0.3">
      <c r="A188" t="s">
        <v>234</v>
      </c>
      <c r="B188" t="s">
        <v>39</v>
      </c>
      <c r="C188" t="s">
        <v>31</v>
      </c>
      <c r="D188" t="s">
        <v>32</v>
      </c>
      <c r="E188" s="1">
        <v>45111</v>
      </c>
      <c r="F188" s="1">
        <v>45115</v>
      </c>
      <c r="G188">
        <v>19.600000000000001</v>
      </c>
      <c r="H188">
        <v>261.42</v>
      </c>
      <c r="I188" t="s">
        <v>15</v>
      </c>
      <c r="J188">
        <v>1791</v>
      </c>
      <c r="K188">
        <v>4</v>
      </c>
      <c r="L188" t="str">
        <f>IF(logistics_data[[#This Row],[Delivery_Date]]="","In Transit",
 IF(logistics_data[[#This Row],[Status]]="Lost","Lost",
 IF(logistics_data[[#This Row],[Status]]="Returned","Returned",
 IF(logistics_data[[#This Row],[Status]]="Delayed","Delayed",
 "Delivered"))))</f>
        <v>Delivered</v>
      </c>
      <c r="M188" s="2">
        <f>logistics_data[[#This Row],[Cost]]/logistics_data[[#This Row],[Distance_miles]]</f>
        <v>0.14596314907872698</v>
      </c>
      <c r="N188" t="str">
        <f>IF(logistics_data[[#This Row],[Orginal staus of shipment]]&lt;&gt;"Delivered","not applicabel", IF(logistics_data[[#This Row],[Transit_Days]]&gt;=5,"slow","fast"))</f>
        <v>fast</v>
      </c>
    </row>
    <row r="189" spans="1:14" x14ac:dyDescent="0.3">
      <c r="A189" t="s">
        <v>235</v>
      </c>
      <c r="B189" t="s">
        <v>20</v>
      </c>
      <c r="C189" t="s">
        <v>31</v>
      </c>
      <c r="D189" t="s">
        <v>25</v>
      </c>
      <c r="E189" s="1">
        <v>45046</v>
      </c>
      <c r="F189" s="1">
        <v>45048</v>
      </c>
      <c r="G189">
        <v>15.7</v>
      </c>
      <c r="H189">
        <v>67.25</v>
      </c>
      <c r="I189" t="s">
        <v>15</v>
      </c>
      <c r="J189">
        <v>411</v>
      </c>
      <c r="K189">
        <v>2</v>
      </c>
      <c r="L189" t="str">
        <f>IF(logistics_data[[#This Row],[Delivery_Date]]="","In Transit",
 IF(logistics_data[[#This Row],[Status]]="Lost","Lost",
 IF(logistics_data[[#This Row],[Status]]="Returned","Returned",
 IF(logistics_data[[#This Row],[Status]]="Delayed","Delayed",
 "Delivered"))))</f>
        <v>Delivered</v>
      </c>
      <c r="M189" s="2">
        <f>logistics_data[[#This Row],[Cost]]/logistics_data[[#This Row],[Distance_miles]]</f>
        <v>0.16362530413625304</v>
      </c>
      <c r="N189" t="str">
        <f>IF(logistics_data[[#This Row],[Orginal staus of shipment]]&lt;&gt;"Delivered","not applicabel", IF(logistics_data[[#This Row],[Transit_Days]]&gt;=5,"slow","fast"))</f>
        <v>fast</v>
      </c>
    </row>
    <row r="190" spans="1:14" x14ac:dyDescent="0.3">
      <c r="A190" t="s">
        <v>236</v>
      </c>
      <c r="B190" t="s">
        <v>49</v>
      </c>
      <c r="C190" t="s">
        <v>13</v>
      </c>
      <c r="D190" t="s">
        <v>25</v>
      </c>
      <c r="E190" s="1">
        <v>45280</v>
      </c>
      <c r="F190" s="1">
        <v>45286</v>
      </c>
      <c r="G190">
        <v>7.5</v>
      </c>
      <c r="H190">
        <v>158.02000000000001</v>
      </c>
      <c r="I190" t="s">
        <v>15</v>
      </c>
      <c r="J190">
        <v>1073</v>
      </c>
      <c r="K190">
        <v>6</v>
      </c>
      <c r="L190" t="str">
        <f>IF(logistics_data[[#This Row],[Delivery_Date]]="","In Transit",
 IF(logistics_data[[#This Row],[Status]]="Lost","Lost",
 IF(logistics_data[[#This Row],[Status]]="Returned","Returned",
 IF(logistics_data[[#This Row],[Status]]="Delayed","Delayed",
 "Delivered"))))</f>
        <v>Delivered</v>
      </c>
      <c r="M190" s="2">
        <f>logistics_data[[#This Row],[Cost]]/logistics_data[[#This Row],[Distance_miles]]</f>
        <v>0.14726933830382108</v>
      </c>
      <c r="N190" t="str">
        <f>IF(logistics_data[[#This Row],[Orginal staus of shipment]]&lt;&gt;"Delivered","not applicabel", IF(logistics_data[[#This Row],[Transit_Days]]&gt;=5,"slow","fast"))</f>
        <v>slow</v>
      </c>
    </row>
    <row r="191" spans="1:14" x14ac:dyDescent="0.3">
      <c r="A191" t="s">
        <v>237</v>
      </c>
      <c r="B191" t="s">
        <v>12</v>
      </c>
      <c r="C191" t="s">
        <v>57</v>
      </c>
      <c r="D191" t="s">
        <v>32</v>
      </c>
      <c r="E191" s="1">
        <v>45136</v>
      </c>
      <c r="F191" s="1">
        <v>45140</v>
      </c>
      <c r="G191">
        <v>23.5</v>
      </c>
      <c r="H191">
        <v>261.49</v>
      </c>
      <c r="I191" t="s">
        <v>15</v>
      </c>
      <c r="J191">
        <v>1634</v>
      </c>
      <c r="K191">
        <v>4</v>
      </c>
      <c r="L191" t="str">
        <f>IF(logistics_data[[#This Row],[Delivery_Date]]="","In Transit",
 IF(logistics_data[[#This Row],[Status]]="Lost","Lost",
 IF(logistics_data[[#This Row],[Status]]="Returned","Returned",
 IF(logistics_data[[#This Row],[Status]]="Delayed","Delayed",
 "Delivered"))))</f>
        <v>Delivered</v>
      </c>
      <c r="M191" s="2">
        <f>logistics_data[[#This Row],[Cost]]/logistics_data[[#This Row],[Distance_miles]]</f>
        <v>0.16003059975520195</v>
      </c>
      <c r="N191" t="str">
        <f>IF(logistics_data[[#This Row],[Orginal staus of shipment]]&lt;&gt;"Delivered","not applicabel", IF(logistics_data[[#This Row],[Transit_Days]]&gt;=5,"slow","fast"))</f>
        <v>fast</v>
      </c>
    </row>
    <row r="192" spans="1:14" x14ac:dyDescent="0.3">
      <c r="A192" t="s">
        <v>238</v>
      </c>
      <c r="B192" t="s">
        <v>23</v>
      </c>
      <c r="C192" t="s">
        <v>13</v>
      </c>
      <c r="D192" t="s">
        <v>59</v>
      </c>
      <c r="E192" s="1">
        <v>44976</v>
      </c>
      <c r="F192" s="1">
        <v>44982</v>
      </c>
      <c r="G192">
        <v>4.5</v>
      </c>
      <c r="H192">
        <v>277.56</v>
      </c>
      <c r="I192" t="s">
        <v>15</v>
      </c>
      <c r="J192">
        <v>2411</v>
      </c>
      <c r="K192">
        <v>6</v>
      </c>
      <c r="L192" t="str">
        <f>IF(logistics_data[[#This Row],[Delivery_Date]]="","In Transit",
 IF(logistics_data[[#This Row],[Status]]="Lost","Lost",
 IF(logistics_data[[#This Row],[Status]]="Returned","Returned",
 IF(logistics_data[[#This Row],[Status]]="Delayed","Delayed",
 "Delivered"))))</f>
        <v>Delivered</v>
      </c>
      <c r="M192" s="2">
        <f>logistics_data[[#This Row],[Cost]]/logistics_data[[#This Row],[Distance_miles]]</f>
        <v>0.11512235586893406</v>
      </c>
      <c r="N192" t="str">
        <f>IF(logistics_data[[#This Row],[Orginal staus of shipment]]&lt;&gt;"Delivered","not applicabel", IF(logistics_data[[#This Row],[Transit_Days]]&gt;=5,"slow","fast"))</f>
        <v>slow</v>
      </c>
    </row>
    <row r="193" spans="1:14" x14ac:dyDescent="0.3">
      <c r="A193" t="s">
        <v>239</v>
      </c>
      <c r="B193" t="s">
        <v>49</v>
      </c>
      <c r="C193" t="s">
        <v>40</v>
      </c>
      <c r="D193" t="s">
        <v>14</v>
      </c>
      <c r="E193" s="1">
        <v>44987</v>
      </c>
      <c r="F193" s="1">
        <v>44995</v>
      </c>
      <c r="G193">
        <v>11.9</v>
      </c>
      <c r="I193" t="s">
        <v>15</v>
      </c>
      <c r="J193">
        <v>2481</v>
      </c>
      <c r="K193">
        <v>8</v>
      </c>
      <c r="L193" t="str">
        <f>IF(logistics_data[[#This Row],[Delivery_Date]]="","In Transit",
 IF(logistics_data[[#This Row],[Status]]="Lost","Lost",
 IF(logistics_data[[#This Row],[Status]]="Returned","Returned",
 IF(logistics_data[[#This Row],[Status]]="Delayed","Delayed",
 "Delivered"))))</f>
        <v>Delivered</v>
      </c>
      <c r="M193" s="2">
        <f>logistics_data[[#This Row],[Cost]]/logistics_data[[#This Row],[Distance_miles]]</f>
        <v>0</v>
      </c>
      <c r="N193" t="str">
        <f>IF(logistics_data[[#This Row],[Orginal staus of shipment]]&lt;&gt;"Delivered","not applicabel", IF(logistics_data[[#This Row],[Transit_Days]]&gt;=5,"slow","fast"))</f>
        <v>slow</v>
      </c>
    </row>
    <row r="194" spans="1:14" x14ac:dyDescent="0.3">
      <c r="A194" t="s">
        <v>240</v>
      </c>
      <c r="B194" t="s">
        <v>49</v>
      </c>
      <c r="C194" t="s">
        <v>40</v>
      </c>
      <c r="D194" t="s">
        <v>32</v>
      </c>
      <c r="E194" s="1">
        <v>45270</v>
      </c>
      <c r="F194" s="1">
        <v>45275</v>
      </c>
      <c r="G194">
        <v>26.5</v>
      </c>
      <c r="H194">
        <v>345.27</v>
      </c>
      <c r="I194" t="s">
        <v>15</v>
      </c>
      <c r="J194">
        <v>2052</v>
      </c>
      <c r="K194">
        <v>5</v>
      </c>
      <c r="L194" t="str">
        <f>IF(logistics_data[[#This Row],[Delivery_Date]]="","In Transit",
 IF(logistics_data[[#This Row],[Status]]="Lost","Lost",
 IF(logistics_data[[#This Row],[Status]]="Returned","Returned",
 IF(logistics_data[[#This Row],[Status]]="Delayed","Delayed",
 "Delivered"))))</f>
        <v>Delivered</v>
      </c>
      <c r="M194" s="2">
        <f>logistics_data[[#This Row],[Cost]]/logistics_data[[#This Row],[Distance_miles]]</f>
        <v>0.16826023391812864</v>
      </c>
      <c r="N194" t="str">
        <f>IF(logistics_data[[#This Row],[Orginal staus of shipment]]&lt;&gt;"Delivered","not applicabel", IF(logistics_data[[#This Row],[Transit_Days]]&gt;=5,"slow","fast"))</f>
        <v>slow</v>
      </c>
    </row>
    <row r="195" spans="1:14" x14ac:dyDescent="0.3">
      <c r="A195" t="s">
        <v>241</v>
      </c>
      <c r="B195" t="s">
        <v>51</v>
      </c>
      <c r="C195" t="s">
        <v>28</v>
      </c>
      <c r="D195" t="s">
        <v>42</v>
      </c>
      <c r="E195" s="1">
        <v>45236</v>
      </c>
      <c r="F195" s="1">
        <v>45244</v>
      </c>
      <c r="G195">
        <v>12.8</v>
      </c>
      <c r="H195">
        <v>378.16</v>
      </c>
      <c r="I195" t="s">
        <v>15</v>
      </c>
      <c r="J195">
        <v>2465</v>
      </c>
      <c r="K195">
        <v>8</v>
      </c>
      <c r="L195" t="str">
        <f>IF(logistics_data[[#This Row],[Delivery_Date]]="","In Transit",
 IF(logistics_data[[#This Row],[Status]]="Lost","Lost",
 IF(logistics_data[[#This Row],[Status]]="Returned","Returned",
 IF(logistics_data[[#This Row],[Status]]="Delayed","Delayed",
 "Delivered"))))</f>
        <v>Delivered</v>
      </c>
      <c r="M195" s="2">
        <f>logistics_data[[#This Row],[Cost]]/logistics_data[[#This Row],[Distance_miles]]</f>
        <v>0.15341176470588236</v>
      </c>
      <c r="N195" t="str">
        <f>IF(logistics_data[[#This Row],[Orginal staus of shipment]]&lt;&gt;"Delivered","not applicabel", IF(logistics_data[[#This Row],[Transit_Days]]&gt;=5,"slow","fast"))</f>
        <v>slow</v>
      </c>
    </row>
    <row r="196" spans="1:14" x14ac:dyDescent="0.3">
      <c r="A196" t="s">
        <v>242</v>
      </c>
      <c r="B196" t="s">
        <v>20</v>
      </c>
      <c r="C196" t="s">
        <v>44</v>
      </c>
      <c r="D196" t="s">
        <v>18</v>
      </c>
      <c r="E196" s="1">
        <v>44976</v>
      </c>
      <c r="F196" s="1">
        <v>44981</v>
      </c>
      <c r="G196">
        <v>29.3</v>
      </c>
      <c r="H196">
        <v>206.8</v>
      </c>
      <c r="I196" t="s">
        <v>15</v>
      </c>
      <c r="J196">
        <v>1213</v>
      </c>
      <c r="K196">
        <v>5</v>
      </c>
      <c r="L196" t="str">
        <f>IF(logistics_data[[#This Row],[Delivery_Date]]="","In Transit",
 IF(logistics_data[[#This Row],[Status]]="Lost","Lost",
 IF(logistics_data[[#This Row],[Status]]="Returned","Returned",
 IF(logistics_data[[#This Row],[Status]]="Delayed","Delayed",
 "Delivered"))))</f>
        <v>Delivered</v>
      </c>
      <c r="M196" s="2">
        <f>logistics_data[[#This Row],[Cost]]/logistics_data[[#This Row],[Distance_miles]]</f>
        <v>0.17048639736191262</v>
      </c>
      <c r="N196" t="str">
        <f>IF(logistics_data[[#This Row],[Orginal staus of shipment]]&lt;&gt;"Delivered","not applicabel", IF(logistics_data[[#This Row],[Transit_Days]]&gt;=5,"slow","fast"))</f>
        <v>slow</v>
      </c>
    </row>
    <row r="197" spans="1:14" x14ac:dyDescent="0.3">
      <c r="A197" t="s">
        <v>243</v>
      </c>
      <c r="B197" t="s">
        <v>20</v>
      </c>
      <c r="C197" t="s">
        <v>21</v>
      </c>
      <c r="D197" t="s">
        <v>42</v>
      </c>
      <c r="E197" s="1">
        <v>45060</v>
      </c>
      <c r="F197" s="1">
        <v>45064</v>
      </c>
      <c r="G197">
        <v>15.5</v>
      </c>
      <c r="H197">
        <v>174.55</v>
      </c>
      <c r="I197" t="s">
        <v>15</v>
      </c>
      <c r="J197">
        <v>1247</v>
      </c>
      <c r="K197">
        <v>4</v>
      </c>
      <c r="L197" t="str">
        <f>IF(logistics_data[[#This Row],[Delivery_Date]]="","In Transit",
 IF(logistics_data[[#This Row],[Status]]="Lost","Lost",
 IF(logistics_data[[#This Row],[Status]]="Returned","Returned",
 IF(logistics_data[[#This Row],[Status]]="Delayed","Delayed",
 "Delivered"))))</f>
        <v>Delivered</v>
      </c>
      <c r="M197" s="2">
        <f>logistics_data[[#This Row],[Cost]]/logistics_data[[#This Row],[Distance_miles]]</f>
        <v>0.13997594226142743</v>
      </c>
      <c r="N197" t="str">
        <f>IF(logistics_data[[#This Row],[Orginal staus of shipment]]&lt;&gt;"Delivered","not applicabel", IF(logistics_data[[#This Row],[Transit_Days]]&gt;=5,"slow","fast"))</f>
        <v>fast</v>
      </c>
    </row>
    <row r="198" spans="1:14" x14ac:dyDescent="0.3">
      <c r="A198" t="s">
        <v>244</v>
      </c>
      <c r="B198" t="s">
        <v>27</v>
      </c>
      <c r="C198" t="s">
        <v>31</v>
      </c>
      <c r="D198" t="s">
        <v>25</v>
      </c>
      <c r="E198" s="1">
        <v>45215</v>
      </c>
      <c r="F198" s="1">
        <v>45221</v>
      </c>
      <c r="G198">
        <v>19</v>
      </c>
      <c r="H198">
        <v>321.04000000000002</v>
      </c>
      <c r="I198" t="s">
        <v>60</v>
      </c>
      <c r="J198">
        <v>2278</v>
      </c>
      <c r="K198">
        <v>6</v>
      </c>
      <c r="L198" t="str">
        <f>IF(logistics_data[[#This Row],[Delivery_Date]]="","In Transit",
 IF(logistics_data[[#This Row],[Status]]="Lost","Lost",
 IF(logistics_data[[#This Row],[Status]]="Returned","Returned",
 IF(logistics_data[[#This Row],[Status]]="Delayed","Delayed",
 "Delivered"))))</f>
        <v>Lost</v>
      </c>
      <c r="M198" s="2">
        <f>logistics_data[[#This Row],[Cost]]/logistics_data[[#This Row],[Distance_miles]]</f>
        <v>0.14093064091308166</v>
      </c>
      <c r="N198" t="str">
        <f>IF(logistics_data[[#This Row],[Orginal staus of shipment]]&lt;&gt;"Delivered","not applicabel", IF(logistics_data[[#This Row],[Transit_Days]]&gt;=5,"slow","fast"))</f>
        <v>not applicabel</v>
      </c>
    </row>
    <row r="199" spans="1:14" x14ac:dyDescent="0.3">
      <c r="A199" t="s">
        <v>245</v>
      </c>
      <c r="B199" t="s">
        <v>23</v>
      </c>
      <c r="C199" t="s">
        <v>13</v>
      </c>
      <c r="D199" t="s">
        <v>59</v>
      </c>
      <c r="E199" s="1">
        <v>45076</v>
      </c>
      <c r="F199" s="1">
        <v>45084</v>
      </c>
      <c r="G199">
        <v>15.3</v>
      </c>
      <c r="H199">
        <v>300.44</v>
      </c>
      <c r="I199" t="s">
        <v>47</v>
      </c>
      <c r="J199">
        <v>2406</v>
      </c>
      <c r="K199">
        <v>7</v>
      </c>
      <c r="L199" t="str">
        <f>IF(logistics_data[[#This Row],[Delivery_Date]]="","In Transit",
 IF(logistics_data[[#This Row],[Status]]="Lost","Lost",
 IF(logistics_data[[#This Row],[Status]]="Returned","Returned",
 IF(logistics_data[[#This Row],[Status]]="Delayed","Delayed",
 "Delivered"))))</f>
        <v>Delayed</v>
      </c>
      <c r="M199" s="2">
        <f>logistics_data[[#This Row],[Cost]]/logistics_data[[#This Row],[Distance_miles]]</f>
        <v>0.12487115544472153</v>
      </c>
      <c r="N199" t="str">
        <f>IF(logistics_data[[#This Row],[Orginal staus of shipment]]&lt;&gt;"Delivered","not applicabel", IF(logistics_data[[#This Row],[Transit_Days]]&gt;=5,"slow","fast"))</f>
        <v>not applicabel</v>
      </c>
    </row>
    <row r="200" spans="1:14" x14ac:dyDescent="0.3">
      <c r="A200" t="s">
        <v>246</v>
      </c>
      <c r="B200" t="s">
        <v>23</v>
      </c>
      <c r="C200" t="s">
        <v>81</v>
      </c>
      <c r="D200" t="s">
        <v>14</v>
      </c>
      <c r="E200" s="1">
        <v>45122</v>
      </c>
      <c r="F200" s="1">
        <v>45126</v>
      </c>
      <c r="G200">
        <v>4.2</v>
      </c>
      <c r="H200">
        <v>208.73</v>
      </c>
      <c r="I200" t="s">
        <v>15</v>
      </c>
      <c r="J200">
        <v>1596</v>
      </c>
      <c r="K200">
        <v>4</v>
      </c>
      <c r="L200" t="str">
        <f>IF(logistics_data[[#This Row],[Delivery_Date]]="","In Transit",
 IF(logistics_data[[#This Row],[Status]]="Lost","Lost",
 IF(logistics_data[[#This Row],[Status]]="Returned","Returned",
 IF(logistics_data[[#This Row],[Status]]="Delayed","Delayed",
 "Delivered"))))</f>
        <v>Delivered</v>
      </c>
      <c r="M200" s="2">
        <f>logistics_data[[#This Row],[Cost]]/logistics_data[[#This Row],[Distance_miles]]</f>
        <v>0.13078320802005011</v>
      </c>
      <c r="N200" t="str">
        <f>IF(logistics_data[[#This Row],[Orginal staus of shipment]]&lt;&gt;"Delivered","not applicabel", IF(logistics_data[[#This Row],[Transit_Days]]&gt;=5,"slow","fast"))</f>
        <v>fast</v>
      </c>
    </row>
    <row r="201" spans="1:14" x14ac:dyDescent="0.3">
      <c r="A201" t="s">
        <v>247</v>
      </c>
      <c r="B201" t="s">
        <v>39</v>
      </c>
      <c r="C201" t="s">
        <v>13</v>
      </c>
      <c r="D201" t="s">
        <v>25</v>
      </c>
      <c r="E201" s="1">
        <v>44957</v>
      </c>
      <c r="F201" s="1">
        <v>44960</v>
      </c>
      <c r="G201">
        <v>20.100000000000001</v>
      </c>
      <c r="H201">
        <v>169.98</v>
      </c>
      <c r="I201" t="s">
        <v>15</v>
      </c>
      <c r="J201">
        <v>1108</v>
      </c>
      <c r="K201">
        <v>3</v>
      </c>
      <c r="L201" t="str">
        <f>IF(logistics_data[[#This Row],[Delivery_Date]]="","In Transit",
 IF(logistics_data[[#This Row],[Status]]="Lost","Lost",
 IF(logistics_data[[#This Row],[Status]]="Returned","Returned",
 IF(logistics_data[[#This Row],[Status]]="Delayed","Delayed",
 "Delivered"))))</f>
        <v>Delivered</v>
      </c>
      <c r="M201" s="2">
        <f>logistics_data[[#This Row],[Cost]]/logistics_data[[#This Row],[Distance_miles]]</f>
        <v>0.15341155234657039</v>
      </c>
      <c r="N201" t="str">
        <f>IF(logistics_data[[#This Row],[Orginal staus of shipment]]&lt;&gt;"Delivered","not applicabel", IF(logistics_data[[#This Row],[Transit_Days]]&gt;=5,"slow","fast"))</f>
        <v>fast</v>
      </c>
    </row>
    <row r="202" spans="1:14" x14ac:dyDescent="0.3">
      <c r="A202" t="s">
        <v>248</v>
      </c>
      <c r="B202" t="s">
        <v>20</v>
      </c>
      <c r="C202" t="s">
        <v>36</v>
      </c>
      <c r="D202" t="s">
        <v>42</v>
      </c>
      <c r="E202" s="1">
        <v>45288</v>
      </c>
      <c r="F202" s="1">
        <v>45294</v>
      </c>
      <c r="G202">
        <v>9.6</v>
      </c>
      <c r="H202">
        <v>195.3</v>
      </c>
      <c r="I202" t="s">
        <v>15</v>
      </c>
      <c r="J202">
        <v>1380</v>
      </c>
      <c r="K202">
        <v>6</v>
      </c>
      <c r="L202" t="str">
        <f>IF(logistics_data[[#This Row],[Delivery_Date]]="","In Transit",
 IF(logistics_data[[#This Row],[Status]]="Lost","Lost",
 IF(logistics_data[[#This Row],[Status]]="Returned","Returned",
 IF(logistics_data[[#This Row],[Status]]="Delayed","Delayed",
 "Delivered"))))</f>
        <v>Delivered</v>
      </c>
      <c r="M202" s="2">
        <f>logistics_data[[#This Row],[Cost]]/logistics_data[[#This Row],[Distance_miles]]</f>
        <v>0.14152173913043478</v>
      </c>
      <c r="N202" t="str">
        <f>IF(logistics_data[[#This Row],[Orginal staus of shipment]]&lt;&gt;"Delivered","not applicabel", IF(logistics_data[[#This Row],[Transit_Days]]&gt;=5,"slow","fast"))</f>
        <v>slow</v>
      </c>
    </row>
    <row r="203" spans="1:14" x14ac:dyDescent="0.3">
      <c r="A203" t="s">
        <v>249</v>
      </c>
      <c r="B203" t="s">
        <v>56</v>
      </c>
      <c r="C203" t="s">
        <v>28</v>
      </c>
      <c r="D203" t="s">
        <v>14</v>
      </c>
      <c r="E203" s="1">
        <v>45013</v>
      </c>
      <c r="F203" s="1">
        <v>45018</v>
      </c>
      <c r="G203">
        <v>5.3</v>
      </c>
      <c r="H203">
        <v>197.9</v>
      </c>
      <c r="I203" t="s">
        <v>15</v>
      </c>
      <c r="J203">
        <v>1605</v>
      </c>
      <c r="K203">
        <v>5</v>
      </c>
      <c r="L203" t="str">
        <f>IF(logistics_data[[#This Row],[Delivery_Date]]="","In Transit",
 IF(logistics_data[[#This Row],[Status]]="Lost","Lost",
 IF(logistics_data[[#This Row],[Status]]="Returned","Returned",
 IF(logistics_data[[#This Row],[Status]]="Delayed","Delayed",
 "Delivered"))))</f>
        <v>Delivered</v>
      </c>
      <c r="M203" s="2">
        <f>logistics_data[[#This Row],[Cost]]/logistics_data[[#This Row],[Distance_miles]]</f>
        <v>0.12330218068535825</v>
      </c>
      <c r="N203" t="str">
        <f>IF(logistics_data[[#This Row],[Orginal staus of shipment]]&lt;&gt;"Delivered","not applicabel", IF(logistics_data[[#This Row],[Transit_Days]]&gt;=5,"slow","fast"))</f>
        <v>slow</v>
      </c>
    </row>
    <row r="204" spans="1:14" x14ac:dyDescent="0.3">
      <c r="A204" t="s">
        <v>250</v>
      </c>
      <c r="B204" t="s">
        <v>20</v>
      </c>
      <c r="C204" t="s">
        <v>17</v>
      </c>
      <c r="D204" t="s">
        <v>59</v>
      </c>
      <c r="E204" s="1">
        <v>45269</v>
      </c>
      <c r="F204" s="1">
        <v>45283</v>
      </c>
      <c r="G204">
        <v>10.8</v>
      </c>
      <c r="H204">
        <v>232.88</v>
      </c>
      <c r="I204" t="s">
        <v>47</v>
      </c>
      <c r="J204">
        <v>1504</v>
      </c>
      <c r="K204">
        <v>4</v>
      </c>
      <c r="L204" t="str">
        <f>IF(logistics_data[[#This Row],[Delivery_Date]]="","In Transit",
 IF(logistics_data[[#This Row],[Status]]="Lost","Lost",
 IF(logistics_data[[#This Row],[Status]]="Returned","Returned",
 IF(logistics_data[[#This Row],[Status]]="Delayed","Delayed",
 "Delivered"))))</f>
        <v>Delayed</v>
      </c>
      <c r="M204" s="2">
        <f>logistics_data[[#This Row],[Cost]]/logistics_data[[#This Row],[Distance_miles]]</f>
        <v>0.15484042553191488</v>
      </c>
      <c r="N204" t="str">
        <f>IF(logistics_data[[#This Row],[Orginal staus of shipment]]&lt;&gt;"Delivered","not applicabel", IF(logistics_data[[#This Row],[Transit_Days]]&gt;=5,"slow","fast"))</f>
        <v>not applicabel</v>
      </c>
    </row>
    <row r="205" spans="1:14" x14ac:dyDescent="0.3">
      <c r="A205" t="s">
        <v>251</v>
      </c>
      <c r="B205" t="s">
        <v>27</v>
      </c>
      <c r="C205" t="s">
        <v>46</v>
      </c>
      <c r="D205" t="s">
        <v>18</v>
      </c>
      <c r="E205" s="1">
        <v>44957</v>
      </c>
      <c r="F205" s="1">
        <v>44962</v>
      </c>
      <c r="G205">
        <v>61.1</v>
      </c>
      <c r="H205">
        <v>350.67</v>
      </c>
      <c r="I205" t="s">
        <v>15</v>
      </c>
      <c r="J205">
        <v>2138</v>
      </c>
      <c r="K205">
        <v>5</v>
      </c>
      <c r="L205" t="str">
        <f>IF(logistics_data[[#This Row],[Delivery_Date]]="","In Transit",
 IF(logistics_data[[#This Row],[Status]]="Lost","Lost",
 IF(logistics_data[[#This Row],[Status]]="Returned","Returned",
 IF(logistics_data[[#This Row],[Status]]="Delayed","Delayed",
 "Delivered"))))</f>
        <v>Delivered</v>
      </c>
      <c r="M205" s="2">
        <f>logistics_data[[#This Row],[Cost]]/logistics_data[[#This Row],[Distance_miles]]</f>
        <v>0.16401777362020581</v>
      </c>
      <c r="N205" t="str">
        <f>IF(logistics_data[[#This Row],[Orginal staus of shipment]]&lt;&gt;"Delivered","not applicabel", IF(logistics_data[[#This Row],[Transit_Days]]&gt;=5,"slow","fast"))</f>
        <v>slow</v>
      </c>
    </row>
    <row r="206" spans="1:14" x14ac:dyDescent="0.3">
      <c r="A206" t="s">
        <v>252</v>
      </c>
      <c r="B206" t="s">
        <v>39</v>
      </c>
      <c r="C206" t="s">
        <v>31</v>
      </c>
      <c r="D206" t="s">
        <v>25</v>
      </c>
      <c r="E206" s="1">
        <v>45185</v>
      </c>
      <c r="F206" s="1">
        <v>45197</v>
      </c>
      <c r="G206">
        <v>20.100000000000001</v>
      </c>
      <c r="H206">
        <v>112.36</v>
      </c>
      <c r="I206" t="s">
        <v>47</v>
      </c>
      <c r="J206">
        <v>754</v>
      </c>
      <c r="K206">
        <v>3</v>
      </c>
      <c r="L206" t="str">
        <f>IF(logistics_data[[#This Row],[Delivery_Date]]="","In Transit",
 IF(logistics_data[[#This Row],[Status]]="Lost","Lost",
 IF(logistics_data[[#This Row],[Status]]="Returned","Returned",
 IF(logistics_data[[#This Row],[Status]]="Delayed","Delayed",
 "Delivered"))))</f>
        <v>Delayed</v>
      </c>
      <c r="M206" s="2">
        <f>logistics_data[[#This Row],[Cost]]/logistics_data[[#This Row],[Distance_miles]]</f>
        <v>0.1490185676392573</v>
      </c>
      <c r="N206" t="str">
        <f>IF(logistics_data[[#This Row],[Orginal staus of shipment]]&lt;&gt;"Delivered","not applicabel", IF(logistics_data[[#This Row],[Transit_Days]]&gt;=5,"slow","fast"))</f>
        <v>not applicabel</v>
      </c>
    </row>
    <row r="207" spans="1:14" x14ac:dyDescent="0.3">
      <c r="A207" t="s">
        <v>253</v>
      </c>
      <c r="B207" t="s">
        <v>51</v>
      </c>
      <c r="C207" t="s">
        <v>70</v>
      </c>
      <c r="D207" t="s">
        <v>59</v>
      </c>
      <c r="E207" s="1">
        <v>45001</v>
      </c>
      <c r="G207">
        <v>27.9</v>
      </c>
      <c r="H207">
        <v>65.87</v>
      </c>
      <c r="I207" t="s">
        <v>15</v>
      </c>
      <c r="J207">
        <v>320</v>
      </c>
      <c r="K207">
        <v>2</v>
      </c>
      <c r="L207" t="str">
        <f>IF(logistics_data[[#This Row],[Delivery_Date]]="","In Transit",
 IF(logistics_data[[#This Row],[Status]]="Lost","Lost",
 IF(logistics_data[[#This Row],[Status]]="Returned","Returned",
 IF(logistics_data[[#This Row],[Status]]="Delayed","Delayed",
 "Delivered"))))</f>
        <v>In Transit</v>
      </c>
      <c r="M207" s="2">
        <f>logistics_data[[#This Row],[Cost]]/logistics_data[[#This Row],[Distance_miles]]</f>
        <v>0.20584375000000002</v>
      </c>
      <c r="N207" t="str">
        <f>IF(logistics_data[[#This Row],[Orginal staus of shipment]]&lt;&gt;"Delivered","not applicabel", IF(logistics_data[[#This Row],[Transit_Days]]&gt;=5,"slow","fast"))</f>
        <v>not applicabel</v>
      </c>
    </row>
    <row r="208" spans="1:14" x14ac:dyDescent="0.3">
      <c r="A208" t="s">
        <v>254</v>
      </c>
      <c r="B208" t="s">
        <v>20</v>
      </c>
      <c r="C208" t="s">
        <v>21</v>
      </c>
      <c r="D208" t="s">
        <v>42</v>
      </c>
      <c r="E208" s="1">
        <v>45001</v>
      </c>
      <c r="F208" s="1">
        <v>45005</v>
      </c>
      <c r="G208">
        <v>22.8</v>
      </c>
      <c r="H208">
        <v>242.14</v>
      </c>
      <c r="I208" t="s">
        <v>15</v>
      </c>
      <c r="J208">
        <v>1657</v>
      </c>
      <c r="K208">
        <v>4</v>
      </c>
      <c r="L208" t="str">
        <f>IF(logistics_data[[#This Row],[Delivery_Date]]="","In Transit",
 IF(logistics_data[[#This Row],[Status]]="Lost","Lost",
 IF(logistics_data[[#This Row],[Status]]="Returned","Returned",
 IF(logistics_data[[#This Row],[Status]]="Delayed","Delayed",
 "Delivered"))))</f>
        <v>Delivered</v>
      </c>
      <c r="M208" s="2">
        <f>logistics_data[[#This Row],[Cost]]/logistics_data[[#This Row],[Distance_miles]]</f>
        <v>0.14613156306578151</v>
      </c>
      <c r="N208" t="str">
        <f>IF(logistics_data[[#This Row],[Orginal staus of shipment]]&lt;&gt;"Delivered","not applicabel", IF(logistics_data[[#This Row],[Transit_Days]]&gt;=5,"slow","fast"))</f>
        <v>fast</v>
      </c>
    </row>
    <row r="209" spans="1:14" x14ac:dyDescent="0.3">
      <c r="A209" t="s">
        <v>255</v>
      </c>
      <c r="B209" t="s">
        <v>12</v>
      </c>
      <c r="C209" t="s">
        <v>40</v>
      </c>
      <c r="D209" t="s">
        <v>18</v>
      </c>
      <c r="E209" s="1">
        <v>45233</v>
      </c>
      <c r="F209" s="1">
        <v>45237</v>
      </c>
      <c r="G209">
        <v>14.7</v>
      </c>
      <c r="H209">
        <v>285.58999999999997</v>
      </c>
      <c r="I209" t="s">
        <v>15</v>
      </c>
      <c r="J209">
        <v>1423</v>
      </c>
      <c r="K209">
        <v>4</v>
      </c>
      <c r="L209" t="str">
        <f>IF(logistics_data[[#This Row],[Delivery_Date]]="","In Transit",
 IF(logistics_data[[#This Row],[Status]]="Lost","Lost",
 IF(logistics_data[[#This Row],[Status]]="Returned","Returned",
 IF(logistics_data[[#This Row],[Status]]="Delayed","Delayed",
 "Delivered"))))</f>
        <v>Delivered</v>
      </c>
      <c r="M209" s="2">
        <f>logistics_data[[#This Row],[Cost]]/logistics_data[[#This Row],[Distance_miles]]</f>
        <v>0.200695713281799</v>
      </c>
      <c r="N209" t="str">
        <f>IF(logistics_data[[#This Row],[Orginal staus of shipment]]&lt;&gt;"Delivered","not applicabel", IF(logistics_data[[#This Row],[Transit_Days]]&gt;=5,"slow","fast"))</f>
        <v>fast</v>
      </c>
    </row>
    <row r="210" spans="1:14" x14ac:dyDescent="0.3">
      <c r="A210" t="s">
        <v>256</v>
      </c>
      <c r="B210" t="s">
        <v>20</v>
      </c>
      <c r="C210" t="s">
        <v>24</v>
      </c>
      <c r="D210" t="s">
        <v>32</v>
      </c>
      <c r="E210" s="1">
        <v>45181</v>
      </c>
      <c r="F210" s="1">
        <v>45186</v>
      </c>
      <c r="G210">
        <v>32.1</v>
      </c>
      <c r="H210">
        <v>193.72</v>
      </c>
      <c r="I210" t="s">
        <v>15</v>
      </c>
      <c r="J210">
        <v>1135</v>
      </c>
      <c r="K210">
        <v>5</v>
      </c>
      <c r="L210" t="str">
        <f>IF(logistics_data[[#This Row],[Delivery_Date]]="","In Transit",
 IF(logistics_data[[#This Row],[Status]]="Lost","Lost",
 IF(logistics_data[[#This Row],[Status]]="Returned","Returned",
 IF(logistics_data[[#This Row],[Status]]="Delayed","Delayed",
 "Delivered"))))</f>
        <v>Delivered</v>
      </c>
      <c r="M210" s="2">
        <f>logistics_data[[#This Row],[Cost]]/logistics_data[[#This Row],[Distance_miles]]</f>
        <v>0.17067841409691631</v>
      </c>
      <c r="N210" t="str">
        <f>IF(logistics_data[[#This Row],[Orginal staus of shipment]]&lt;&gt;"Delivered","not applicabel", IF(logistics_data[[#This Row],[Transit_Days]]&gt;=5,"slow","fast"))</f>
        <v>slow</v>
      </c>
    </row>
    <row r="211" spans="1:14" x14ac:dyDescent="0.3">
      <c r="A211" t="s">
        <v>257</v>
      </c>
      <c r="B211" t="s">
        <v>23</v>
      </c>
      <c r="C211" t="s">
        <v>52</v>
      </c>
      <c r="D211" t="s">
        <v>18</v>
      </c>
      <c r="E211" s="1">
        <v>45064</v>
      </c>
      <c r="F211" s="1">
        <v>45081</v>
      </c>
      <c r="G211">
        <v>8.6999999999999993</v>
      </c>
      <c r="H211">
        <v>121.73</v>
      </c>
      <c r="I211" t="s">
        <v>47</v>
      </c>
      <c r="J211">
        <v>737</v>
      </c>
      <c r="K211">
        <v>4</v>
      </c>
      <c r="L211" t="str">
        <f>IF(logistics_data[[#This Row],[Delivery_Date]]="","In Transit",
 IF(logistics_data[[#This Row],[Status]]="Lost","Lost",
 IF(logistics_data[[#This Row],[Status]]="Returned","Returned",
 IF(logistics_data[[#This Row],[Status]]="Delayed","Delayed",
 "Delivered"))))</f>
        <v>Delayed</v>
      </c>
      <c r="M211" s="2">
        <f>logistics_data[[#This Row],[Cost]]/logistics_data[[#This Row],[Distance_miles]]</f>
        <v>0.16516960651289009</v>
      </c>
      <c r="N211" t="str">
        <f>IF(logistics_data[[#This Row],[Orginal staus of shipment]]&lt;&gt;"Delivered","not applicabel", IF(logistics_data[[#This Row],[Transit_Days]]&gt;=5,"slow","fast"))</f>
        <v>not applicabel</v>
      </c>
    </row>
    <row r="212" spans="1:14" x14ac:dyDescent="0.3">
      <c r="A212" t="s">
        <v>258</v>
      </c>
      <c r="B212" t="s">
        <v>23</v>
      </c>
      <c r="C212" t="s">
        <v>40</v>
      </c>
      <c r="D212" t="s">
        <v>18</v>
      </c>
      <c r="E212" s="1">
        <v>45224</v>
      </c>
      <c r="F212" s="1">
        <v>45226</v>
      </c>
      <c r="G212">
        <v>33.700000000000003</v>
      </c>
      <c r="H212">
        <v>162.31</v>
      </c>
      <c r="I212" t="s">
        <v>15</v>
      </c>
      <c r="J212">
        <v>796</v>
      </c>
      <c r="K212">
        <v>2</v>
      </c>
      <c r="L212" t="str">
        <f>IF(logistics_data[[#This Row],[Delivery_Date]]="","In Transit",
 IF(logistics_data[[#This Row],[Status]]="Lost","Lost",
 IF(logistics_data[[#This Row],[Status]]="Returned","Returned",
 IF(logistics_data[[#This Row],[Status]]="Delayed","Delayed",
 "Delivered"))))</f>
        <v>Delivered</v>
      </c>
      <c r="M212" s="2">
        <f>logistics_data[[#This Row],[Cost]]/logistics_data[[#This Row],[Distance_miles]]</f>
        <v>0.20390703517587941</v>
      </c>
      <c r="N212" t="str">
        <f>IF(logistics_data[[#This Row],[Orginal staus of shipment]]&lt;&gt;"Delivered","not applicabel", IF(logistics_data[[#This Row],[Transit_Days]]&gt;=5,"slow","fast"))</f>
        <v>fast</v>
      </c>
    </row>
    <row r="213" spans="1:14" x14ac:dyDescent="0.3">
      <c r="A213" t="s">
        <v>259</v>
      </c>
      <c r="B213" t="s">
        <v>35</v>
      </c>
      <c r="C213" t="s">
        <v>44</v>
      </c>
      <c r="D213" t="s">
        <v>32</v>
      </c>
      <c r="E213" s="1">
        <v>45275</v>
      </c>
      <c r="F213" s="1">
        <v>45277</v>
      </c>
      <c r="G213">
        <v>28.8</v>
      </c>
      <c r="H213">
        <v>96.12</v>
      </c>
      <c r="I213" t="s">
        <v>15</v>
      </c>
      <c r="J213">
        <v>308</v>
      </c>
      <c r="K213">
        <v>2</v>
      </c>
      <c r="L213" t="str">
        <f>IF(logistics_data[[#This Row],[Delivery_Date]]="","In Transit",
 IF(logistics_data[[#This Row],[Status]]="Lost","Lost",
 IF(logistics_data[[#This Row],[Status]]="Returned","Returned",
 IF(logistics_data[[#This Row],[Status]]="Delayed","Delayed",
 "Delivered"))))</f>
        <v>Delivered</v>
      </c>
      <c r="M213" s="2">
        <f>logistics_data[[#This Row],[Cost]]/logistics_data[[#This Row],[Distance_miles]]</f>
        <v>0.31207792207792207</v>
      </c>
      <c r="N213" t="str">
        <f>IF(logistics_data[[#This Row],[Orginal staus of shipment]]&lt;&gt;"Delivered","not applicabel", IF(logistics_data[[#This Row],[Transit_Days]]&gt;=5,"slow","fast"))</f>
        <v>fast</v>
      </c>
    </row>
    <row r="214" spans="1:14" x14ac:dyDescent="0.3">
      <c r="A214" t="s">
        <v>260</v>
      </c>
      <c r="B214" t="s">
        <v>39</v>
      </c>
      <c r="C214" t="s">
        <v>13</v>
      </c>
      <c r="D214" t="s">
        <v>32</v>
      </c>
      <c r="E214" s="1">
        <v>45275</v>
      </c>
      <c r="F214" s="1">
        <v>45280</v>
      </c>
      <c r="G214">
        <v>9.1</v>
      </c>
      <c r="H214">
        <v>125.92</v>
      </c>
      <c r="I214" t="s">
        <v>67</v>
      </c>
      <c r="J214">
        <v>787</v>
      </c>
      <c r="K214">
        <v>5</v>
      </c>
      <c r="L214" t="str">
        <f>IF(logistics_data[[#This Row],[Delivery_Date]]="","In Transit",
 IF(logistics_data[[#This Row],[Status]]="Lost","Lost",
 IF(logistics_data[[#This Row],[Status]]="Returned","Returned",
 IF(logistics_data[[#This Row],[Status]]="Delayed","Delayed",
 "Delivered"))))</f>
        <v>Returned</v>
      </c>
      <c r="M214" s="2">
        <f>logistics_data[[#This Row],[Cost]]/logistics_data[[#This Row],[Distance_miles]]</f>
        <v>0.16</v>
      </c>
      <c r="N214" t="str">
        <f>IF(logistics_data[[#This Row],[Orginal staus of shipment]]&lt;&gt;"Delivered","not applicabel", IF(logistics_data[[#This Row],[Transit_Days]]&gt;=5,"slow","fast"))</f>
        <v>not applicabel</v>
      </c>
    </row>
    <row r="215" spans="1:14" x14ac:dyDescent="0.3">
      <c r="A215" t="s">
        <v>261</v>
      </c>
      <c r="B215" t="s">
        <v>30</v>
      </c>
      <c r="C215" t="s">
        <v>81</v>
      </c>
      <c r="D215" t="s">
        <v>37</v>
      </c>
      <c r="E215" s="1">
        <v>45166</v>
      </c>
      <c r="F215" s="1">
        <v>45174</v>
      </c>
      <c r="G215">
        <v>28.5</v>
      </c>
      <c r="H215">
        <v>284.39999999999998</v>
      </c>
      <c r="I215" t="s">
        <v>15</v>
      </c>
      <c r="J215">
        <v>2074</v>
      </c>
      <c r="K215">
        <v>8</v>
      </c>
      <c r="L215" t="str">
        <f>IF(logistics_data[[#This Row],[Delivery_Date]]="","In Transit",
 IF(logistics_data[[#This Row],[Status]]="Lost","Lost",
 IF(logistics_data[[#This Row],[Status]]="Returned","Returned",
 IF(logistics_data[[#This Row],[Status]]="Delayed","Delayed",
 "Delivered"))))</f>
        <v>Delivered</v>
      </c>
      <c r="M215" s="2">
        <f>logistics_data[[#This Row],[Cost]]/logistics_data[[#This Row],[Distance_miles]]</f>
        <v>0.13712632594021215</v>
      </c>
      <c r="N215" t="str">
        <f>IF(logistics_data[[#This Row],[Orginal staus of shipment]]&lt;&gt;"Delivered","not applicabel", IF(logistics_data[[#This Row],[Transit_Days]]&gt;=5,"slow","fast"))</f>
        <v>slow</v>
      </c>
    </row>
    <row r="216" spans="1:14" x14ac:dyDescent="0.3">
      <c r="A216" t="s">
        <v>262</v>
      </c>
      <c r="B216" t="s">
        <v>39</v>
      </c>
      <c r="C216" t="s">
        <v>44</v>
      </c>
      <c r="D216" t="s">
        <v>18</v>
      </c>
      <c r="E216" s="1">
        <v>45191</v>
      </c>
      <c r="F216" s="1">
        <v>45196</v>
      </c>
      <c r="G216">
        <v>88</v>
      </c>
      <c r="H216">
        <v>297.27999999999997</v>
      </c>
      <c r="I216" t="s">
        <v>15</v>
      </c>
      <c r="J216">
        <v>1145</v>
      </c>
      <c r="K216">
        <v>5</v>
      </c>
      <c r="L216" t="str">
        <f>IF(logistics_data[[#This Row],[Delivery_Date]]="","In Transit",
 IF(logistics_data[[#This Row],[Status]]="Lost","Lost",
 IF(logistics_data[[#This Row],[Status]]="Returned","Returned",
 IF(logistics_data[[#This Row],[Status]]="Delayed","Delayed",
 "Delivered"))))</f>
        <v>Delivered</v>
      </c>
      <c r="M216" s="2">
        <f>logistics_data[[#This Row],[Cost]]/logistics_data[[#This Row],[Distance_miles]]</f>
        <v>0.25963318777292577</v>
      </c>
      <c r="N216" t="str">
        <f>IF(logistics_data[[#This Row],[Orginal staus of shipment]]&lt;&gt;"Delivered","not applicabel", IF(logistics_data[[#This Row],[Transit_Days]]&gt;=5,"slow","fast"))</f>
        <v>slow</v>
      </c>
    </row>
    <row r="217" spans="1:14" x14ac:dyDescent="0.3">
      <c r="A217" t="s">
        <v>263</v>
      </c>
      <c r="B217" t="s">
        <v>56</v>
      </c>
      <c r="C217" t="s">
        <v>57</v>
      </c>
      <c r="D217" t="s">
        <v>25</v>
      </c>
      <c r="E217" s="1">
        <v>45084</v>
      </c>
      <c r="F217" s="1">
        <v>45089</v>
      </c>
      <c r="G217">
        <v>21.9</v>
      </c>
      <c r="I217" t="s">
        <v>15</v>
      </c>
      <c r="J217">
        <v>1719</v>
      </c>
      <c r="K217">
        <v>5</v>
      </c>
      <c r="L217" t="str">
        <f>IF(logistics_data[[#This Row],[Delivery_Date]]="","In Transit",
 IF(logistics_data[[#This Row],[Status]]="Lost","Lost",
 IF(logistics_data[[#This Row],[Status]]="Returned","Returned",
 IF(logistics_data[[#This Row],[Status]]="Delayed","Delayed",
 "Delivered"))))</f>
        <v>Delivered</v>
      </c>
      <c r="M217" s="2">
        <f>logistics_data[[#This Row],[Cost]]/logistics_data[[#This Row],[Distance_miles]]</f>
        <v>0</v>
      </c>
      <c r="N217" t="str">
        <f>IF(logistics_data[[#This Row],[Orginal staus of shipment]]&lt;&gt;"Delivered","not applicabel", IF(logistics_data[[#This Row],[Transit_Days]]&gt;=5,"slow","fast"))</f>
        <v>slow</v>
      </c>
    </row>
    <row r="218" spans="1:14" x14ac:dyDescent="0.3">
      <c r="A218" t="s">
        <v>264</v>
      </c>
      <c r="B218" t="s">
        <v>51</v>
      </c>
      <c r="C218" t="s">
        <v>70</v>
      </c>
      <c r="D218" t="s">
        <v>59</v>
      </c>
      <c r="E218" s="1">
        <v>45142</v>
      </c>
      <c r="F218" s="1">
        <v>45147</v>
      </c>
      <c r="G218">
        <v>24.1</v>
      </c>
      <c r="H218">
        <v>141.81</v>
      </c>
      <c r="I218" t="s">
        <v>15</v>
      </c>
      <c r="J218">
        <v>1082</v>
      </c>
      <c r="K218">
        <v>5</v>
      </c>
      <c r="L218" t="str">
        <f>IF(logistics_data[[#This Row],[Delivery_Date]]="","In Transit",
 IF(logistics_data[[#This Row],[Status]]="Lost","Lost",
 IF(logistics_data[[#This Row],[Status]]="Returned","Returned",
 IF(logistics_data[[#This Row],[Status]]="Delayed","Delayed",
 "Delivered"))))</f>
        <v>Delivered</v>
      </c>
      <c r="M218" s="2">
        <f>logistics_data[[#This Row],[Cost]]/logistics_data[[#This Row],[Distance_miles]]</f>
        <v>0.13106284658040665</v>
      </c>
      <c r="N218" t="str">
        <f>IF(logistics_data[[#This Row],[Orginal staus of shipment]]&lt;&gt;"Delivered","not applicabel", IF(logistics_data[[#This Row],[Transit_Days]]&gt;=5,"slow","fast"))</f>
        <v>slow</v>
      </c>
    </row>
    <row r="219" spans="1:14" x14ac:dyDescent="0.3">
      <c r="A219" t="s">
        <v>265</v>
      </c>
      <c r="B219" t="s">
        <v>30</v>
      </c>
      <c r="C219" t="s">
        <v>28</v>
      </c>
      <c r="D219" t="s">
        <v>32</v>
      </c>
      <c r="E219" s="1">
        <v>45283</v>
      </c>
      <c r="F219" s="1">
        <v>45286</v>
      </c>
      <c r="G219">
        <v>11.9</v>
      </c>
      <c r="H219">
        <v>192.63</v>
      </c>
      <c r="I219" t="s">
        <v>15</v>
      </c>
      <c r="J219">
        <v>1204</v>
      </c>
      <c r="K219">
        <v>3</v>
      </c>
      <c r="L219" t="str">
        <f>IF(logistics_data[[#This Row],[Delivery_Date]]="","In Transit",
 IF(logistics_data[[#This Row],[Status]]="Lost","Lost",
 IF(logistics_data[[#This Row],[Status]]="Returned","Returned",
 IF(logistics_data[[#This Row],[Status]]="Delayed","Delayed",
 "Delivered"))))</f>
        <v>Delivered</v>
      </c>
      <c r="M219" s="2">
        <f>logistics_data[[#This Row],[Cost]]/logistics_data[[#This Row],[Distance_miles]]</f>
        <v>0.15999169435215946</v>
      </c>
      <c r="N219" t="str">
        <f>IF(logistics_data[[#This Row],[Orginal staus of shipment]]&lt;&gt;"Delivered","not applicabel", IF(logistics_data[[#This Row],[Transit_Days]]&gt;=5,"slow","fast"))</f>
        <v>fast</v>
      </c>
    </row>
    <row r="220" spans="1:14" x14ac:dyDescent="0.3">
      <c r="A220" t="s">
        <v>266</v>
      </c>
      <c r="B220" t="s">
        <v>39</v>
      </c>
      <c r="C220" t="s">
        <v>81</v>
      </c>
      <c r="D220" t="s">
        <v>42</v>
      </c>
      <c r="E220" s="1">
        <v>45173</v>
      </c>
      <c r="F220" s="1">
        <v>45176</v>
      </c>
      <c r="G220">
        <v>17.899999999999999</v>
      </c>
      <c r="H220">
        <v>133.27000000000001</v>
      </c>
      <c r="I220" t="s">
        <v>15</v>
      </c>
      <c r="J220">
        <v>1030</v>
      </c>
      <c r="K220">
        <v>3</v>
      </c>
      <c r="L220" t="str">
        <f>IF(logistics_data[[#This Row],[Delivery_Date]]="","In Transit",
 IF(logistics_data[[#This Row],[Status]]="Lost","Lost",
 IF(logistics_data[[#This Row],[Status]]="Returned","Returned",
 IF(logistics_data[[#This Row],[Status]]="Delayed","Delayed",
 "Delivered"))))</f>
        <v>Delivered</v>
      </c>
      <c r="M220" s="2">
        <f>logistics_data[[#This Row],[Cost]]/logistics_data[[#This Row],[Distance_miles]]</f>
        <v>0.12938834951456313</v>
      </c>
      <c r="N220" t="str">
        <f>IF(logistics_data[[#This Row],[Orginal staus of shipment]]&lt;&gt;"Delivered","not applicabel", IF(logistics_data[[#This Row],[Transit_Days]]&gt;=5,"slow","fast"))</f>
        <v>fast</v>
      </c>
    </row>
    <row r="221" spans="1:14" x14ac:dyDescent="0.3">
      <c r="A221" t="s">
        <v>267</v>
      </c>
      <c r="B221" t="s">
        <v>23</v>
      </c>
      <c r="C221" t="s">
        <v>28</v>
      </c>
      <c r="D221" t="s">
        <v>37</v>
      </c>
      <c r="E221" s="1">
        <v>45064</v>
      </c>
      <c r="F221" s="1">
        <v>45066</v>
      </c>
      <c r="G221">
        <v>38.1</v>
      </c>
      <c r="H221">
        <v>120.04</v>
      </c>
      <c r="I221" t="s">
        <v>15</v>
      </c>
      <c r="J221">
        <v>603</v>
      </c>
      <c r="K221">
        <v>2</v>
      </c>
      <c r="L221" t="str">
        <f>IF(logistics_data[[#This Row],[Delivery_Date]]="","In Transit",
 IF(logistics_data[[#This Row],[Status]]="Lost","Lost",
 IF(logistics_data[[#This Row],[Status]]="Returned","Returned",
 IF(logistics_data[[#This Row],[Status]]="Delayed","Delayed",
 "Delivered"))))</f>
        <v>Delivered</v>
      </c>
      <c r="M221" s="2">
        <f>logistics_data[[#This Row],[Cost]]/logistics_data[[#This Row],[Distance_miles]]</f>
        <v>0.19907131011608625</v>
      </c>
      <c r="N221" t="str">
        <f>IF(logistics_data[[#This Row],[Orginal staus of shipment]]&lt;&gt;"Delivered","not applicabel", IF(logistics_data[[#This Row],[Transit_Days]]&gt;=5,"slow","fast"))</f>
        <v>fast</v>
      </c>
    </row>
    <row r="222" spans="1:14" x14ac:dyDescent="0.3">
      <c r="A222" t="s">
        <v>268</v>
      </c>
      <c r="B222" t="s">
        <v>30</v>
      </c>
      <c r="C222" t="s">
        <v>46</v>
      </c>
      <c r="D222" t="s">
        <v>14</v>
      </c>
      <c r="E222" s="1">
        <v>45121</v>
      </c>
      <c r="F222" s="1">
        <v>45126</v>
      </c>
      <c r="G222">
        <v>4.9000000000000004</v>
      </c>
      <c r="H222">
        <v>203.03</v>
      </c>
      <c r="I222" t="s">
        <v>15</v>
      </c>
      <c r="J222">
        <v>1660</v>
      </c>
      <c r="K222">
        <v>5</v>
      </c>
      <c r="L222" t="str">
        <f>IF(logistics_data[[#This Row],[Delivery_Date]]="","In Transit",
 IF(logistics_data[[#This Row],[Status]]="Lost","Lost",
 IF(logistics_data[[#This Row],[Status]]="Returned","Returned",
 IF(logistics_data[[#This Row],[Status]]="Delayed","Delayed",
 "Delivered"))))</f>
        <v>Delivered</v>
      </c>
      <c r="M222" s="2">
        <f>logistics_data[[#This Row],[Cost]]/logistics_data[[#This Row],[Distance_miles]]</f>
        <v>0.12230722891566265</v>
      </c>
      <c r="N222" t="str">
        <f>IF(logistics_data[[#This Row],[Orginal staus of shipment]]&lt;&gt;"Delivered","not applicabel", IF(logistics_data[[#This Row],[Transit_Days]]&gt;=5,"slow","fast"))</f>
        <v>slow</v>
      </c>
    </row>
    <row r="223" spans="1:14" x14ac:dyDescent="0.3">
      <c r="A223" t="s">
        <v>269</v>
      </c>
      <c r="B223" t="s">
        <v>35</v>
      </c>
      <c r="C223" t="s">
        <v>44</v>
      </c>
      <c r="D223" t="s">
        <v>32</v>
      </c>
      <c r="E223" s="1">
        <v>45175</v>
      </c>
      <c r="F223" s="1">
        <v>45178</v>
      </c>
      <c r="G223">
        <v>86.2</v>
      </c>
      <c r="H223">
        <v>210.89</v>
      </c>
      <c r="I223" t="s">
        <v>15</v>
      </c>
      <c r="J223">
        <v>862</v>
      </c>
      <c r="K223">
        <v>3</v>
      </c>
      <c r="L223" t="str">
        <f>IF(logistics_data[[#This Row],[Delivery_Date]]="","In Transit",
 IF(logistics_data[[#This Row],[Status]]="Lost","Lost",
 IF(logistics_data[[#This Row],[Status]]="Returned","Returned",
 IF(logistics_data[[#This Row],[Status]]="Delayed","Delayed",
 "Delivered"))))</f>
        <v>Delivered</v>
      </c>
      <c r="M223" s="2">
        <f>logistics_data[[#This Row],[Cost]]/logistics_data[[#This Row],[Distance_miles]]</f>
        <v>0.2446519721577726</v>
      </c>
      <c r="N223" t="str">
        <f>IF(logistics_data[[#This Row],[Orginal staus of shipment]]&lt;&gt;"Delivered","not applicabel", IF(logistics_data[[#This Row],[Transit_Days]]&gt;=5,"slow","fast"))</f>
        <v>fast</v>
      </c>
    </row>
    <row r="224" spans="1:14" x14ac:dyDescent="0.3">
      <c r="A224" t="s">
        <v>270</v>
      </c>
      <c r="B224" t="s">
        <v>35</v>
      </c>
      <c r="C224" t="s">
        <v>28</v>
      </c>
      <c r="D224" t="s">
        <v>14</v>
      </c>
      <c r="E224" s="1">
        <v>45105</v>
      </c>
      <c r="F224" s="1">
        <v>45110</v>
      </c>
      <c r="G224">
        <v>12.6</v>
      </c>
      <c r="H224">
        <v>176.77</v>
      </c>
      <c r="I224" t="s">
        <v>15</v>
      </c>
      <c r="J224">
        <v>1322</v>
      </c>
      <c r="K224">
        <v>5</v>
      </c>
      <c r="L224" t="str">
        <f>IF(logistics_data[[#This Row],[Delivery_Date]]="","In Transit",
 IF(logistics_data[[#This Row],[Status]]="Lost","Lost",
 IF(logistics_data[[#This Row],[Status]]="Returned","Returned",
 IF(logistics_data[[#This Row],[Status]]="Delayed","Delayed",
 "Delivered"))))</f>
        <v>Delivered</v>
      </c>
      <c r="M224" s="2">
        <f>logistics_data[[#This Row],[Cost]]/logistics_data[[#This Row],[Distance_miles]]</f>
        <v>0.13371406959152798</v>
      </c>
      <c r="N224" t="str">
        <f>IF(logistics_data[[#This Row],[Orginal staus of shipment]]&lt;&gt;"Delivered","not applicabel", IF(logistics_data[[#This Row],[Transit_Days]]&gt;=5,"slow","fast"))</f>
        <v>slow</v>
      </c>
    </row>
    <row r="225" spans="1:14" x14ac:dyDescent="0.3">
      <c r="A225" t="s">
        <v>271</v>
      </c>
      <c r="B225" t="s">
        <v>39</v>
      </c>
      <c r="C225" t="s">
        <v>81</v>
      </c>
      <c r="D225" t="s">
        <v>14</v>
      </c>
      <c r="E225" s="1">
        <v>45096</v>
      </c>
      <c r="F225" s="1">
        <v>45099</v>
      </c>
      <c r="G225">
        <v>33.799999999999997</v>
      </c>
      <c r="H225">
        <v>161.44999999999999</v>
      </c>
      <c r="I225" t="s">
        <v>15</v>
      </c>
      <c r="J225">
        <v>1030</v>
      </c>
      <c r="K225">
        <v>3</v>
      </c>
      <c r="L225" t="str">
        <f>IF(logistics_data[[#This Row],[Delivery_Date]]="","In Transit",
 IF(logistics_data[[#This Row],[Status]]="Lost","Lost",
 IF(logistics_data[[#This Row],[Status]]="Returned","Returned",
 IF(logistics_data[[#This Row],[Status]]="Delayed","Delayed",
 "Delivered"))))</f>
        <v>Delivered</v>
      </c>
      <c r="M225" s="2">
        <f>logistics_data[[#This Row],[Cost]]/logistics_data[[#This Row],[Distance_miles]]</f>
        <v>0.15674757281553398</v>
      </c>
      <c r="N225" t="str">
        <f>IF(logistics_data[[#This Row],[Orginal staus of shipment]]&lt;&gt;"Delivered","not applicabel", IF(logistics_data[[#This Row],[Transit_Days]]&gt;=5,"slow","fast"))</f>
        <v>fast</v>
      </c>
    </row>
    <row r="226" spans="1:14" x14ac:dyDescent="0.3">
      <c r="A226" t="s">
        <v>272</v>
      </c>
      <c r="B226" t="s">
        <v>12</v>
      </c>
      <c r="C226" t="s">
        <v>57</v>
      </c>
      <c r="D226" t="s">
        <v>32</v>
      </c>
      <c r="E226" s="1">
        <v>45044</v>
      </c>
      <c r="F226" s="1">
        <v>45053</v>
      </c>
      <c r="G226">
        <v>14.1</v>
      </c>
      <c r="H226">
        <v>87.12</v>
      </c>
      <c r="I226" t="s">
        <v>47</v>
      </c>
      <c r="J226">
        <v>573</v>
      </c>
      <c r="K226">
        <v>3</v>
      </c>
      <c r="L226" t="str">
        <f>IF(logistics_data[[#This Row],[Delivery_Date]]="","In Transit",
 IF(logistics_data[[#This Row],[Status]]="Lost","Lost",
 IF(logistics_data[[#This Row],[Status]]="Returned","Returned",
 IF(logistics_data[[#This Row],[Status]]="Delayed","Delayed",
 "Delivered"))))</f>
        <v>Delayed</v>
      </c>
      <c r="M226" s="2">
        <f>logistics_data[[#This Row],[Cost]]/logistics_data[[#This Row],[Distance_miles]]</f>
        <v>0.15204188481675393</v>
      </c>
      <c r="N226" t="str">
        <f>IF(logistics_data[[#This Row],[Orginal staus of shipment]]&lt;&gt;"Delivered","not applicabel", IF(logistics_data[[#This Row],[Transit_Days]]&gt;=5,"slow","fast"))</f>
        <v>not applicabel</v>
      </c>
    </row>
    <row r="227" spans="1:14" x14ac:dyDescent="0.3">
      <c r="A227" t="s">
        <v>273</v>
      </c>
      <c r="B227" t="s">
        <v>23</v>
      </c>
      <c r="C227" t="s">
        <v>36</v>
      </c>
      <c r="D227" t="s">
        <v>37</v>
      </c>
      <c r="E227" s="1">
        <v>45182</v>
      </c>
      <c r="F227" s="1">
        <v>45187</v>
      </c>
      <c r="G227">
        <v>19.3</v>
      </c>
      <c r="H227">
        <v>98.54</v>
      </c>
      <c r="I227" t="s">
        <v>47</v>
      </c>
      <c r="J227">
        <v>585</v>
      </c>
      <c r="K227">
        <v>1</v>
      </c>
      <c r="L227" t="str">
        <f>IF(logistics_data[[#This Row],[Delivery_Date]]="","In Transit",
 IF(logistics_data[[#This Row],[Status]]="Lost","Lost",
 IF(logistics_data[[#This Row],[Status]]="Returned","Returned",
 IF(logistics_data[[#This Row],[Status]]="Delayed","Delayed",
 "Delivered"))))</f>
        <v>Delayed</v>
      </c>
      <c r="M227" s="2">
        <f>logistics_data[[#This Row],[Cost]]/logistics_data[[#This Row],[Distance_miles]]</f>
        <v>0.16844444444444445</v>
      </c>
      <c r="N227" t="str">
        <f>IF(logistics_data[[#This Row],[Orginal staus of shipment]]&lt;&gt;"Delivered","not applicabel", IF(logistics_data[[#This Row],[Transit_Days]]&gt;=5,"slow","fast"))</f>
        <v>not applicabel</v>
      </c>
    </row>
    <row r="228" spans="1:14" x14ac:dyDescent="0.3">
      <c r="A228" t="s">
        <v>274</v>
      </c>
      <c r="B228" t="s">
        <v>39</v>
      </c>
      <c r="C228" t="s">
        <v>52</v>
      </c>
      <c r="D228" t="s">
        <v>59</v>
      </c>
      <c r="E228" s="1">
        <v>45270</v>
      </c>
      <c r="F228" s="1">
        <v>45273</v>
      </c>
      <c r="G228">
        <v>16.600000000000001</v>
      </c>
      <c r="H228">
        <v>219.37</v>
      </c>
      <c r="I228" t="s">
        <v>15</v>
      </c>
      <c r="J228">
        <v>1469</v>
      </c>
      <c r="K228">
        <v>3</v>
      </c>
      <c r="L228" t="str">
        <f>IF(logistics_data[[#This Row],[Delivery_Date]]="","In Transit",
 IF(logistics_data[[#This Row],[Status]]="Lost","Lost",
 IF(logistics_data[[#This Row],[Status]]="Returned","Returned",
 IF(logistics_data[[#This Row],[Status]]="Delayed","Delayed",
 "Delivered"))))</f>
        <v>Delivered</v>
      </c>
      <c r="M228" s="2">
        <f>logistics_data[[#This Row],[Cost]]/logistics_data[[#This Row],[Distance_miles]]</f>
        <v>0.14933287950987068</v>
      </c>
      <c r="N228" t="str">
        <f>IF(logistics_data[[#This Row],[Orginal staus of shipment]]&lt;&gt;"Delivered","not applicabel", IF(logistics_data[[#This Row],[Transit_Days]]&gt;=5,"slow","fast"))</f>
        <v>fast</v>
      </c>
    </row>
    <row r="229" spans="1:14" x14ac:dyDescent="0.3">
      <c r="A229" t="s">
        <v>275</v>
      </c>
      <c r="B229" t="s">
        <v>49</v>
      </c>
      <c r="C229" t="s">
        <v>31</v>
      </c>
      <c r="D229" t="s">
        <v>25</v>
      </c>
      <c r="E229" s="1">
        <v>45259</v>
      </c>
      <c r="F229" s="1">
        <v>45265</v>
      </c>
      <c r="G229">
        <v>16.100000000000001</v>
      </c>
      <c r="H229">
        <v>161.74</v>
      </c>
      <c r="I229" t="s">
        <v>15</v>
      </c>
      <c r="J229">
        <v>1053</v>
      </c>
      <c r="K229">
        <v>6</v>
      </c>
      <c r="L229" t="str">
        <f>IF(logistics_data[[#This Row],[Delivery_Date]]="","In Transit",
 IF(logistics_data[[#This Row],[Status]]="Lost","Lost",
 IF(logistics_data[[#This Row],[Status]]="Returned","Returned",
 IF(logistics_data[[#This Row],[Status]]="Delayed","Delayed",
 "Delivered"))))</f>
        <v>Delivered</v>
      </c>
      <c r="M229" s="2">
        <f>logistics_data[[#This Row],[Cost]]/logistics_data[[#This Row],[Distance_miles]]</f>
        <v>0.15359924026590693</v>
      </c>
      <c r="N229" t="str">
        <f>IF(logistics_data[[#This Row],[Orginal staus of shipment]]&lt;&gt;"Delivered","not applicabel", IF(logistics_data[[#This Row],[Transit_Days]]&gt;=5,"slow","fast"))</f>
        <v>slow</v>
      </c>
    </row>
    <row r="230" spans="1:14" x14ac:dyDescent="0.3">
      <c r="A230" t="s">
        <v>276</v>
      </c>
      <c r="B230" t="s">
        <v>49</v>
      </c>
      <c r="C230" t="s">
        <v>46</v>
      </c>
      <c r="D230" t="s">
        <v>18</v>
      </c>
      <c r="E230" s="1">
        <v>45057</v>
      </c>
      <c r="F230" s="1">
        <v>45060</v>
      </c>
      <c r="G230">
        <v>10.8</v>
      </c>
      <c r="H230">
        <v>188.69</v>
      </c>
      <c r="I230" t="s">
        <v>62</v>
      </c>
      <c r="J230">
        <v>1329</v>
      </c>
      <c r="K230">
        <v>3</v>
      </c>
      <c r="L230" t="str">
        <f>IF(logistics_data[[#This Row],[Delivery_Date]]="","In Transit",
 IF(logistics_data[[#This Row],[Status]]="Lost","Lost",
 IF(logistics_data[[#This Row],[Status]]="Returned","Returned",
 IF(logistics_data[[#This Row],[Status]]="Delayed","Delayed",
 "Delivered"))))</f>
        <v>Delivered</v>
      </c>
      <c r="M230" s="2">
        <f>logistics_data[[#This Row],[Cost]]/logistics_data[[#This Row],[Distance_miles]]</f>
        <v>0.14197893152746427</v>
      </c>
      <c r="N230" t="str">
        <f>IF(logistics_data[[#This Row],[Orginal staus of shipment]]&lt;&gt;"Delivered","not applicabel", IF(logistics_data[[#This Row],[Transit_Days]]&gt;=5,"slow","fast"))</f>
        <v>fast</v>
      </c>
    </row>
    <row r="231" spans="1:14" x14ac:dyDescent="0.3">
      <c r="A231" t="s">
        <v>277</v>
      </c>
      <c r="B231" t="s">
        <v>56</v>
      </c>
      <c r="C231" t="s">
        <v>36</v>
      </c>
      <c r="D231" t="s">
        <v>37</v>
      </c>
      <c r="E231" s="1">
        <v>44998</v>
      </c>
      <c r="F231" s="1">
        <v>44999</v>
      </c>
      <c r="G231">
        <v>8.8000000000000007</v>
      </c>
      <c r="H231">
        <v>27.23</v>
      </c>
      <c r="I231" t="s">
        <v>15</v>
      </c>
      <c r="J231">
        <v>156</v>
      </c>
      <c r="K231">
        <v>1</v>
      </c>
      <c r="L231" t="str">
        <f>IF(logistics_data[[#This Row],[Delivery_Date]]="","In Transit",
 IF(logistics_data[[#This Row],[Status]]="Lost","Lost",
 IF(logistics_data[[#This Row],[Status]]="Returned","Returned",
 IF(logistics_data[[#This Row],[Status]]="Delayed","Delayed",
 "Delivered"))))</f>
        <v>Delivered</v>
      </c>
      <c r="M231" s="2">
        <f>logistics_data[[#This Row],[Cost]]/logistics_data[[#This Row],[Distance_miles]]</f>
        <v>0.17455128205128206</v>
      </c>
      <c r="N231" t="str">
        <f>IF(logistics_data[[#This Row],[Orginal staus of shipment]]&lt;&gt;"Delivered","not applicabel", IF(logistics_data[[#This Row],[Transit_Days]]&gt;=5,"slow","fast"))</f>
        <v>fast</v>
      </c>
    </row>
    <row r="232" spans="1:14" x14ac:dyDescent="0.3">
      <c r="A232" t="s">
        <v>278</v>
      </c>
      <c r="B232" t="s">
        <v>23</v>
      </c>
      <c r="C232" t="s">
        <v>36</v>
      </c>
      <c r="D232" t="s">
        <v>37</v>
      </c>
      <c r="E232" s="1">
        <v>44986</v>
      </c>
      <c r="F232" s="1">
        <v>44991</v>
      </c>
      <c r="G232">
        <v>12.1</v>
      </c>
      <c r="H232">
        <v>247.5</v>
      </c>
      <c r="I232" t="s">
        <v>47</v>
      </c>
      <c r="J232">
        <v>1760</v>
      </c>
      <c r="K232">
        <v>4</v>
      </c>
      <c r="L232" t="str">
        <f>IF(logistics_data[[#This Row],[Delivery_Date]]="","In Transit",
 IF(logistics_data[[#This Row],[Status]]="Lost","Lost",
 IF(logistics_data[[#This Row],[Status]]="Returned","Returned",
 IF(logistics_data[[#This Row],[Status]]="Delayed","Delayed",
 "Delivered"))))</f>
        <v>Delayed</v>
      </c>
      <c r="M232" s="2">
        <f>logistics_data[[#This Row],[Cost]]/logistics_data[[#This Row],[Distance_miles]]</f>
        <v>0.140625</v>
      </c>
      <c r="N232" t="str">
        <f>IF(logistics_data[[#This Row],[Orginal staus of shipment]]&lt;&gt;"Delivered","not applicabel", IF(logistics_data[[#This Row],[Transit_Days]]&gt;=5,"slow","fast"))</f>
        <v>not applicabel</v>
      </c>
    </row>
    <row r="233" spans="1:14" x14ac:dyDescent="0.3">
      <c r="A233" t="s">
        <v>279</v>
      </c>
      <c r="B233" t="s">
        <v>35</v>
      </c>
      <c r="C233" t="s">
        <v>40</v>
      </c>
      <c r="D233" t="s">
        <v>32</v>
      </c>
      <c r="E233" s="1">
        <v>45168</v>
      </c>
      <c r="F233" s="1">
        <v>45181</v>
      </c>
      <c r="G233">
        <v>19.8</v>
      </c>
      <c r="H233">
        <v>63.39</v>
      </c>
      <c r="I233" t="s">
        <v>47</v>
      </c>
      <c r="J233">
        <v>283</v>
      </c>
      <c r="K233">
        <v>2</v>
      </c>
      <c r="L233" t="str">
        <f>IF(logistics_data[[#This Row],[Delivery_Date]]="","In Transit",
 IF(logistics_data[[#This Row],[Status]]="Lost","Lost",
 IF(logistics_data[[#This Row],[Status]]="Returned","Returned",
 IF(logistics_data[[#This Row],[Status]]="Delayed","Delayed",
 "Delivered"))))</f>
        <v>Delayed</v>
      </c>
      <c r="M233" s="2">
        <f>logistics_data[[#This Row],[Cost]]/logistics_data[[#This Row],[Distance_miles]]</f>
        <v>0.22399293286219082</v>
      </c>
      <c r="N233" t="str">
        <f>IF(logistics_data[[#This Row],[Orginal staus of shipment]]&lt;&gt;"Delivered","not applicabel", IF(logistics_data[[#This Row],[Transit_Days]]&gt;=5,"slow","fast"))</f>
        <v>not applicabel</v>
      </c>
    </row>
    <row r="234" spans="1:14" x14ac:dyDescent="0.3">
      <c r="A234" t="s">
        <v>280</v>
      </c>
      <c r="B234" t="s">
        <v>39</v>
      </c>
      <c r="C234" t="s">
        <v>21</v>
      </c>
      <c r="D234" t="s">
        <v>25</v>
      </c>
      <c r="E234" s="1">
        <v>45284</v>
      </c>
      <c r="F234" s="1">
        <v>45287</v>
      </c>
      <c r="G234">
        <v>22.2</v>
      </c>
      <c r="H234">
        <v>81.13</v>
      </c>
      <c r="I234" t="s">
        <v>15</v>
      </c>
      <c r="J234">
        <v>397</v>
      </c>
      <c r="K234">
        <v>3</v>
      </c>
      <c r="L234" t="str">
        <f>IF(logistics_data[[#This Row],[Delivery_Date]]="","In Transit",
 IF(logistics_data[[#This Row],[Status]]="Lost","Lost",
 IF(logistics_data[[#This Row],[Status]]="Returned","Returned",
 IF(logistics_data[[#This Row],[Status]]="Delayed","Delayed",
 "Delivered"))))</f>
        <v>Delivered</v>
      </c>
      <c r="M234" s="2">
        <f>logistics_data[[#This Row],[Cost]]/logistics_data[[#This Row],[Distance_miles]]</f>
        <v>0.20435768261964735</v>
      </c>
      <c r="N234" t="str">
        <f>IF(logistics_data[[#This Row],[Orginal staus of shipment]]&lt;&gt;"Delivered","not applicabel", IF(logistics_data[[#This Row],[Transit_Days]]&gt;=5,"slow","fast"))</f>
        <v>fast</v>
      </c>
    </row>
    <row r="235" spans="1:14" x14ac:dyDescent="0.3">
      <c r="A235" t="s">
        <v>281</v>
      </c>
      <c r="B235" t="s">
        <v>30</v>
      </c>
      <c r="C235" t="s">
        <v>70</v>
      </c>
      <c r="D235" t="s">
        <v>37</v>
      </c>
      <c r="E235" s="1">
        <v>45150</v>
      </c>
      <c r="F235" s="1">
        <v>45154</v>
      </c>
      <c r="G235">
        <v>18.5</v>
      </c>
      <c r="H235">
        <v>109.5</v>
      </c>
      <c r="I235" t="s">
        <v>15</v>
      </c>
      <c r="J235">
        <v>816</v>
      </c>
      <c r="K235">
        <v>4</v>
      </c>
      <c r="L235" t="str">
        <f>IF(logistics_data[[#This Row],[Delivery_Date]]="","In Transit",
 IF(logistics_data[[#This Row],[Status]]="Lost","Lost",
 IF(logistics_data[[#This Row],[Status]]="Returned","Returned",
 IF(logistics_data[[#This Row],[Status]]="Delayed","Delayed",
 "Delivered"))))</f>
        <v>Delivered</v>
      </c>
      <c r="M235" s="2">
        <f>logistics_data[[#This Row],[Cost]]/logistics_data[[#This Row],[Distance_miles]]</f>
        <v>0.13419117647058823</v>
      </c>
      <c r="N235" t="str">
        <f>IF(logistics_data[[#This Row],[Orginal staus of shipment]]&lt;&gt;"Delivered","not applicabel", IF(logistics_data[[#This Row],[Transit_Days]]&gt;=5,"slow","fast"))</f>
        <v>fast</v>
      </c>
    </row>
    <row r="236" spans="1:14" x14ac:dyDescent="0.3">
      <c r="A236" t="s">
        <v>282</v>
      </c>
      <c r="B236" t="s">
        <v>39</v>
      </c>
      <c r="C236" t="s">
        <v>70</v>
      </c>
      <c r="D236" t="s">
        <v>42</v>
      </c>
      <c r="E236" s="1">
        <v>45044</v>
      </c>
      <c r="F236" s="1">
        <v>45047</v>
      </c>
      <c r="G236">
        <v>10</v>
      </c>
      <c r="H236">
        <v>96.03</v>
      </c>
      <c r="I236" t="s">
        <v>67</v>
      </c>
      <c r="J236">
        <v>715</v>
      </c>
      <c r="K236">
        <v>3</v>
      </c>
      <c r="L236" t="str">
        <f>IF(logistics_data[[#This Row],[Delivery_Date]]="","In Transit",
 IF(logistics_data[[#This Row],[Status]]="Lost","Lost",
 IF(logistics_data[[#This Row],[Status]]="Returned","Returned",
 IF(logistics_data[[#This Row],[Status]]="Delayed","Delayed",
 "Delivered"))))</f>
        <v>Returned</v>
      </c>
      <c r="M236" s="2">
        <f>logistics_data[[#This Row],[Cost]]/logistics_data[[#This Row],[Distance_miles]]</f>
        <v>0.13430769230769232</v>
      </c>
      <c r="N236" t="str">
        <f>IF(logistics_data[[#This Row],[Orginal staus of shipment]]&lt;&gt;"Delivered","not applicabel", IF(logistics_data[[#This Row],[Transit_Days]]&gt;=5,"slow","fast"))</f>
        <v>not applicabel</v>
      </c>
    </row>
    <row r="237" spans="1:14" x14ac:dyDescent="0.3">
      <c r="A237" t="s">
        <v>283</v>
      </c>
      <c r="B237" t="s">
        <v>51</v>
      </c>
      <c r="C237" t="s">
        <v>52</v>
      </c>
      <c r="D237" t="s">
        <v>14</v>
      </c>
      <c r="E237" s="1">
        <v>45070</v>
      </c>
      <c r="F237" s="1">
        <v>45074</v>
      </c>
      <c r="G237">
        <v>25.9</v>
      </c>
      <c r="H237">
        <v>285.87</v>
      </c>
      <c r="I237" t="s">
        <v>15</v>
      </c>
      <c r="J237">
        <v>1956</v>
      </c>
      <c r="K237">
        <v>4</v>
      </c>
      <c r="L237" t="str">
        <f>IF(logistics_data[[#This Row],[Delivery_Date]]="","In Transit",
 IF(logistics_data[[#This Row],[Status]]="Lost","Lost",
 IF(logistics_data[[#This Row],[Status]]="Returned","Returned",
 IF(logistics_data[[#This Row],[Status]]="Delayed","Delayed",
 "Delivered"))))</f>
        <v>Delivered</v>
      </c>
      <c r="M237" s="2">
        <f>logistics_data[[#This Row],[Cost]]/logistics_data[[#This Row],[Distance_miles]]</f>
        <v>0.14615030674846627</v>
      </c>
      <c r="N237" t="str">
        <f>IF(logistics_data[[#This Row],[Orginal staus of shipment]]&lt;&gt;"Delivered","not applicabel", IF(logistics_data[[#This Row],[Transit_Days]]&gt;=5,"slow","fast"))</f>
        <v>fast</v>
      </c>
    </row>
    <row r="238" spans="1:14" x14ac:dyDescent="0.3">
      <c r="A238" t="s">
        <v>284</v>
      </c>
      <c r="B238" t="s">
        <v>23</v>
      </c>
      <c r="C238" t="s">
        <v>44</v>
      </c>
      <c r="D238" t="s">
        <v>37</v>
      </c>
      <c r="E238" s="1">
        <v>45137</v>
      </c>
      <c r="F238" s="1">
        <v>45142</v>
      </c>
      <c r="G238">
        <v>22.8</v>
      </c>
      <c r="H238">
        <v>277.89999999999998</v>
      </c>
      <c r="I238" t="s">
        <v>15</v>
      </c>
      <c r="J238">
        <v>2187</v>
      </c>
      <c r="K238">
        <v>5</v>
      </c>
      <c r="L238" t="str">
        <f>IF(logistics_data[[#This Row],[Delivery_Date]]="","In Transit",
 IF(logistics_data[[#This Row],[Status]]="Lost","Lost",
 IF(logistics_data[[#This Row],[Status]]="Returned","Returned",
 IF(logistics_data[[#This Row],[Status]]="Delayed","Delayed",
 "Delivered"))))</f>
        <v>Delivered</v>
      </c>
      <c r="M238" s="2">
        <f>logistics_data[[#This Row],[Cost]]/logistics_data[[#This Row],[Distance_miles]]</f>
        <v>0.12706904435299496</v>
      </c>
      <c r="N238" t="str">
        <f>IF(logistics_data[[#This Row],[Orginal staus of shipment]]&lt;&gt;"Delivered","not applicabel", IF(logistics_data[[#This Row],[Transit_Days]]&gt;=5,"slow","fast"))</f>
        <v>slow</v>
      </c>
    </row>
    <row r="239" spans="1:14" x14ac:dyDescent="0.3">
      <c r="A239" t="s">
        <v>285</v>
      </c>
      <c r="B239" t="s">
        <v>51</v>
      </c>
      <c r="C239" t="s">
        <v>24</v>
      </c>
      <c r="D239" t="s">
        <v>59</v>
      </c>
      <c r="E239" s="1">
        <v>45183</v>
      </c>
      <c r="F239" s="1">
        <v>45189</v>
      </c>
      <c r="G239">
        <v>85.5</v>
      </c>
      <c r="H239">
        <v>345.35</v>
      </c>
      <c r="I239" t="s">
        <v>15</v>
      </c>
      <c r="J239">
        <v>2172</v>
      </c>
      <c r="K239">
        <v>6</v>
      </c>
      <c r="L239" t="str">
        <f>IF(logistics_data[[#This Row],[Delivery_Date]]="","In Transit",
 IF(logistics_data[[#This Row],[Status]]="Lost","Lost",
 IF(logistics_data[[#This Row],[Status]]="Returned","Returned",
 IF(logistics_data[[#This Row],[Status]]="Delayed","Delayed",
 "Delivered"))))</f>
        <v>Delivered</v>
      </c>
      <c r="M239" s="2">
        <f>logistics_data[[#This Row],[Cost]]/logistics_data[[#This Row],[Distance_miles]]</f>
        <v>0.15900092081031308</v>
      </c>
      <c r="N239" t="str">
        <f>IF(logistics_data[[#This Row],[Orginal staus of shipment]]&lt;&gt;"Delivered","not applicabel", IF(logistics_data[[#This Row],[Transit_Days]]&gt;=5,"slow","fast"))</f>
        <v>slow</v>
      </c>
    </row>
    <row r="240" spans="1:14" x14ac:dyDescent="0.3">
      <c r="A240" t="s">
        <v>286</v>
      </c>
      <c r="B240" t="s">
        <v>12</v>
      </c>
      <c r="C240" t="s">
        <v>81</v>
      </c>
      <c r="D240" t="s">
        <v>25</v>
      </c>
      <c r="E240" s="1">
        <v>45163</v>
      </c>
      <c r="F240" s="1">
        <v>45166</v>
      </c>
      <c r="G240">
        <v>31.8</v>
      </c>
      <c r="H240">
        <v>125.07</v>
      </c>
      <c r="I240" t="s">
        <v>15</v>
      </c>
      <c r="J240">
        <v>816</v>
      </c>
      <c r="K240">
        <v>3</v>
      </c>
      <c r="L240" t="str">
        <f>IF(logistics_data[[#This Row],[Delivery_Date]]="","In Transit",
 IF(logistics_data[[#This Row],[Status]]="Lost","Lost",
 IF(logistics_data[[#This Row],[Status]]="Returned","Returned",
 IF(logistics_data[[#This Row],[Status]]="Delayed","Delayed",
 "Delivered"))))</f>
        <v>Delivered</v>
      </c>
      <c r="M240" s="2">
        <f>logistics_data[[#This Row],[Cost]]/logistics_data[[#This Row],[Distance_miles]]</f>
        <v>0.1532720588235294</v>
      </c>
      <c r="N240" t="str">
        <f>IF(logistics_data[[#This Row],[Orginal staus of shipment]]&lt;&gt;"Delivered","not applicabel", IF(logistics_data[[#This Row],[Transit_Days]]&gt;=5,"slow","fast"))</f>
        <v>fast</v>
      </c>
    </row>
    <row r="241" spans="1:14" x14ac:dyDescent="0.3">
      <c r="A241" t="s">
        <v>287</v>
      </c>
      <c r="B241" t="s">
        <v>20</v>
      </c>
      <c r="C241" t="s">
        <v>17</v>
      </c>
      <c r="D241" t="s">
        <v>18</v>
      </c>
      <c r="E241" s="1">
        <v>45107</v>
      </c>
      <c r="F241" s="1">
        <v>45114</v>
      </c>
      <c r="G241">
        <v>3.1</v>
      </c>
      <c r="H241">
        <v>185.13</v>
      </c>
      <c r="I241" t="s">
        <v>15</v>
      </c>
      <c r="J241">
        <v>1236</v>
      </c>
      <c r="K241">
        <v>7</v>
      </c>
      <c r="L241" t="str">
        <f>IF(logistics_data[[#This Row],[Delivery_Date]]="","In Transit",
 IF(logistics_data[[#This Row],[Status]]="Lost","Lost",
 IF(logistics_data[[#This Row],[Status]]="Returned","Returned",
 IF(logistics_data[[#This Row],[Status]]="Delayed","Delayed",
 "Delivered"))))</f>
        <v>Delivered</v>
      </c>
      <c r="M241" s="2">
        <f>logistics_data[[#This Row],[Cost]]/logistics_data[[#This Row],[Distance_miles]]</f>
        <v>0.14978155339805824</v>
      </c>
      <c r="N241" t="str">
        <f>IF(logistics_data[[#This Row],[Orginal staus of shipment]]&lt;&gt;"Delivered","not applicabel", IF(logistics_data[[#This Row],[Transit_Days]]&gt;=5,"slow","fast"))</f>
        <v>slow</v>
      </c>
    </row>
    <row r="242" spans="1:14" x14ac:dyDescent="0.3">
      <c r="A242" t="s">
        <v>288</v>
      </c>
      <c r="B242" t="s">
        <v>27</v>
      </c>
      <c r="C242" t="s">
        <v>31</v>
      </c>
      <c r="D242" t="s">
        <v>37</v>
      </c>
      <c r="E242" s="1">
        <v>45101</v>
      </c>
      <c r="F242" s="1">
        <v>45106</v>
      </c>
      <c r="G242">
        <v>54.9</v>
      </c>
      <c r="H242">
        <v>319.88</v>
      </c>
      <c r="I242" t="s">
        <v>15</v>
      </c>
      <c r="J242">
        <v>1902</v>
      </c>
      <c r="K242">
        <v>5</v>
      </c>
      <c r="L242" t="str">
        <f>IF(logistics_data[[#This Row],[Delivery_Date]]="","In Transit",
 IF(logistics_data[[#This Row],[Status]]="Lost","Lost",
 IF(logistics_data[[#This Row],[Status]]="Returned","Returned",
 IF(logistics_data[[#This Row],[Status]]="Delayed","Delayed",
 "Delivered"))))</f>
        <v>Delivered</v>
      </c>
      <c r="M242" s="2">
        <f>logistics_data[[#This Row],[Cost]]/logistics_data[[#This Row],[Distance_miles]]</f>
        <v>0.16818086225026288</v>
      </c>
      <c r="N242" t="str">
        <f>IF(logistics_data[[#This Row],[Orginal staus of shipment]]&lt;&gt;"Delivered","not applicabel", IF(logistics_data[[#This Row],[Transit_Days]]&gt;=5,"slow","fast"))</f>
        <v>slow</v>
      </c>
    </row>
    <row r="243" spans="1:14" x14ac:dyDescent="0.3">
      <c r="A243" t="s">
        <v>289</v>
      </c>
      <c r="B243" t="s">
        <v>49</v>
      </c>
      <c r="C243" t="s">
        <v>81</v>
      </c>
      <c r="D243" t="s">
        <v>18</v>
      </c>
      <c r="E243" s="1">
        <v>45210</v>
      </c>
      <c r="F243" s="1">
        <v>45214</v>
      </c>
      <c r="G243">
        <v>17.600000000000001</v>
      </c>
      <c r="H243">
        <v>167.63</v>
      </c>
      <c r="I243" t="s">
        <v>15</v>
      </c>
      <c r="J243">
        <v>1038</v>
      </c>
      <c r="K243">
        <v>4</v>
      </c>
      <c r="L243" t="str">
        <f>IF(logistics_data[[#This Row],[Delivery_Date]]="","In Transit",
 IF(logistics_data[[#This Row],[Status]]="Lost","Lost",
 IF(logistics_data[[#This Row],[Status]]="Returned","Returned",
 IF(logistics_data[[#This Row],[Status]]="Delayed","Delayed",
 "Delivered"))))</f>
        <v>Delivered</v>
      </c>
      <c r="M243" s="2">
        <f>logistics_data[[#This Row],[Cost]]/logistics_data[[#This Row],[Distance_miles]]</f>
        <v>0.16149325626204239</v>
      </c>
      <c r="N243" t="str">
        <f>IF(logistics_data[[#This Row],[Orginal staus of shipment]]&lt;&gt;"Delivered","not applicabel", IF(logistics_data[[#This Row],[Transit_Days]]&gt;=5,"slow","fast"))</f>
        <v>fast</v>
      </c>
    </row>
    <row r="244" spans="1:14" x14ac:dyDescent="0.3">
      <c r="A244" t="s">
        <v>290</v>
      </c>
      <c r="B244" t="s">
        <v>49</v>
      </c>
      <c r="C244" t="s">
        <v>21</v>
      </c>
      <c r="D244" t="s">
        <v>42</v>
      </c>
      <c r="E244" s="1">
        <v>45070</v>
      </c>
      <c r="F244" s="1">
        <v>45074</v>
      </c>
      <c r="G244">
        <v>8.6999999999999993</v>
      </c>
      <c r="H244">
        <v>188.16</v>
      </c>
      <c r="I244" t="s">
        <v>15</v>
      </c>
      <c r="J244">
        <v>1590</v>
      </c>
      <c r="K244">
        <v>4</v>
      </c>
      <c r="L244" t="str">
        <f>IF(logistics_data[[#This Row],[Delivery_Date]]="","In Transit",
 IF(logistics_data[[#This Row],[Status]]="Lost","Lost",
 IF(logistics_data[[#This Row],[Status]]="Returned","Returned",
 IF(logistics_data[[#This Row],[Status]]="Delayed","Delayed",
 "Delivered"))))</f>
        <v>Delivered</v>
      </c>
      <c r="M244" s="2">
        <f>logistics_data[[#This Row],[Cost]]/logistics_data[[#This Row],[Distance_miles]]</f>
        <v>0.11833962264150943</v>
      </c>
      <c r="N244" t="str">
        <f>IF(logistics_data[[#This Row],[Orginal staus of shipment]]&lt;&gt;"Delivered","not applicabel", IF(logistics_data[[#This Row],[Transit_Days]]&gt;=5,"slow","fast"))</f>
        <v>fast</v>
      </c>
    </row>
    <row r="245" spans="1:14" x14ac:dyDescent="0.3">
      <c r="A245" t="s">
        <v>291</v>
      </c>
      <c r="B245" t="s">
        <v>30</v>
      </c>
      <c r="C245" t="s">
        <v>44</v>
      </c>
      <c r="D245" t="s">
        <v>18</v>
      </c>
      <c r="E245" s="1">
        <v>45150</v>
      </c>
      <c r="F245" s="1">
        <v>45155</v>
      </c>
      <c r="G245">
        <v>11.8</v>
      </c>
      <c r="H245">
        <v>92.57</v>
      </c>
      <c r="I245" t="s">
        <v>62</v>
      </c>
      <c r="J245">
        <v>590</v>
      </c>
      <c r="K245">
        <v>5</v>
      </c>
      <c r="L245" t="str">
        <f>IF(logistics_data[[#This Row],[Delivery_Date]]="","In Transit",
 IF(logistics_data[[#This Row],[Status]]="Lost","Lost",
 IF(logistics_data[[#This Row],[Status]]="Returned","Returned",
 IF(logistics_data[[#This Row],[Status]]="Delayed","Delayed",
 "Delivered"))))</f>
        <v>Delivered</v>
      </c>
      <c r="M245" s="2">
        <f>logistics_data[[#This Row],[Cost]]/logistics_data[[#This Row],[Distance_miles]]</f>
        <v>0.15689830508474575</v>
      </c>
      <c r="N245" t="str">
        <f>IF(logistics_data[[#This Row],[Orginal staus of shipment]]&lt;&gt;"Delivered","not applicabel", IF(logistics_data[[#This Row],[Transit_Days]]&gt;=5,"slow","fast"))</f>
        <v>slow</v>
      </c>
    </row>
    <row r="246" spans="1:14" x14ac:dyDescent="0.3">
      <c r="A246" t="s">
        <v>292</v>
      </c>
      <c r="B246" t="s">
        <v>39</v>
      </c>
      <c r="C246" t="s">
        <v>21</v>
      </c>
      <c r="D246" t="s">
        <v>42</v>
      </c>
      <c r="E246" s="1">
        <v>45019</v>
      </c>
      <c r="F246" s="1">
        <v>45023</v>
      </c>
      <c r="G246">
        <v>44</v>
      </c>
      <c r="H246">
        <v>167.48</v>
      </c>
      <c r="I246" t="s">
        <v>15</v>
      </c>
      <c r="J246">
        <v>1105</v>
      </c>
      <c r="K246">
        <v>4</v>
      </c>
      <c r="L246" t="str">
        <f>IF(logistics_data[[#This Row],[Delivery_Date]]="","In Transit",
 IF(logistics_data[[#This Row],[Status]]="Lost","Lost",
 IF(logistics_data[[#This Row],[Status]]="Returned","Returned",
 IF(logistics_data[[#This Row],[Status]]="Delayed","Delayed",
 "Delivered"))))</f>
        <v>Delivered</v>
      </c>
      <c r="M246" s="2">
        <f>logistics_data[[#This Row],[Cost]]/logistics_data[[#This Row],[Distance_miles]]</f>
        <v>0.1515656108597285</v>
      </c>
      <c r="N246" t="str">
        <f>IF(logistics_data[[#This Row],[Orginal staus of shipment]]&lt;&gt;"Delivered","not applicabel", IF(logistics_data[[#This Row],[Transit_Days]]&gt;=5,"slow","fast"))</f>
        <v>fast</v>
      </c>
    </row>
    <row r="247" spans="1:14" x14ac:dyDescent="0.3">
      <c r="A247" t="s">
        <v>293</v>
      </c>
      <c r="B247" t="s">
        <v>12</v>
      </c>
      <c r="C247" t="s">
        <v>57</v>
      </c>
      <c r="D247" t="s">
        <v>59</v>
      </c>
      <c r="E247" s="1">
        <v>44974</v>
      </c>
      <c r="F247" s="1">
        <v>44977</v>
      </c>
      <c r="G247">
        <v>16.7</v>
      </c>
      <c r="H247">
        <v>152.32</v>
      </c>
      <c r="I247" t="s">
        <v>15</v>
      </c>
      <c r="J247">
        <v>1153</v>
      </c>
      <c r="K247">
        <v>3</v>
      </c>
      <c r="L247" t="str">
        <f>IF(logistics_data[[#This Row],[Delivery_Date]]="","In Transit",
 IF(logistics_data[[#This Row],[Status]]="Lost","Lost",
 IF(logistics_data[[#This Row],[Status]]="Returned","Returned",
 IF(logistics_data[[#This Row],[Status]]="Delayed","Delayed",
 "Delivered"))))</f>
        <v>Delivered</v>
      </c>
      <c r="M247" s="2">
        <f>logistics_data[[#This Row],[Cost]]/logistics_data[[#This Row],[Distance_miles]]</f>
        <v>0.13210754553339116</v>
      </c>
      <c r="N247" t="str">
        <f>IF(logistics_data[[#This Row],[Orginal staus of shipment]]&lt;&gt;"Delivered","not applicabel", IF(logistics_data[[#This Row],[Transit_Days]]&gt;=5,"slow","fast"))</f>
        <v>fast</v>
      </c>
    </row>
    <row r="248" spans="1:14" x14ac:dyDescent="0.3">
      <c r="A248" t="s">
        <v>294</v>
      </c>
      <c r="B248" t="s">
        <v>20</v>
      </c>
      <c r="C248" t="s">
        <v>57</v>
      </c>
      <c r="D248" t="s">
        <v>59</v>
      </c>
      <c r="E248" s="1">
        <v>45005</v>
      </c>
      <c r="F248" s="1">
        <v>45008</v>
      </c>
      <c r="G248">
        <v>21.9</v>
      </c>
      <c r="H248">
        <v>167.58</v>
      </c>
      <c r="I248" t="s">
        <v>15</v>
      </c>
      <c r="J248">
        <v>1124</v>
      </c>
      <c r="K248">
        <v>3</v>
      </c>
      <c r="L248" t="str">
        <f>IF(logistics_data[[#This Row],[Delivery_Date]]="","In Transit",
 IF(logistics_data[[#This Row],[Status]]="Lost","Lost",
 IF(logistics_data[[#This Row],[Status]]="Returned","Returned",
 IF(logistics_data[[#This Row],[Status]]="Delayed","Delayed",
 "Delivered"))))</f>
        <v>Delivered</v>
      </c>
      <c r="M248" s="2">
        <f>logistics_data[[#This Row],[Cost]]/logistics_data[[#This Row],[Distance_miles]]</f>
        <v>0.14909252669039147</v>
      </c>
      <c r="N248" t="str">
        <f>IF(logistics_data[[#This Row],[Orginal staus of shipment]]&lt;&gt;"Delivered","not applicabel", IF(logistics_data[[#This Row],[Transit_Days]]&gt;=5,"slow","fast"))</f>
        <v>fast</v>
      </c>
    </row>
    <row r="249" spans="1:14" x14ac:dyDescent="0.3">
      <c r="A249" t="s">
        <v>295</v>
      </c>
      <c r="B249" t="s">
        <v>20</v>
      </c>
      <c r="C249" t="s">
        <v>31</v>
      </c>
      <c r="D249" t="s">
        <v>42</v>
      </c>
      <c r="E249" s="1">
        <v>44985</v>
      </c>
      <c r="F249" s="1">
        <v>44990</v>
      </c>
      <c r="G249">
        <v>3.6</v>
      </c>
      <c r="H249">
        <v>230.21</v>
      </c>
      <c r="I249" t="s">
        <v>15</v>
      </c>
      <c r="J249">
        <v>2074</v>
      </c>
      <c r="K249">
        <v>5</v>
      </c>
      <c r="L249" t="str">
        <f>IF(logistics_data[[#This Row],[Delivery_Date]]="","In Transit",
 IF(logistics_data[[#This Row],[Status]]="Lost","Lost",
 IF(logistics_data[[#This Row],[Status]]="Returned","Returned",
 IF(logistics_data[[#This Row],[Status]]="Delayed","Delayed",
 "Delivered"))))</f>
        <v>Delivered</v>
      </c>
      <c r="M249" s="2">
        <f>logistics_data[[#This Row],[Cost]]/logistics_data[[#This Row],[Distance_miles]]</f>
        <v>0.11099807135969142</v>
      </c>
      <c r="N249" t="str">
        <f>IF(logistics_data[[#This Row],[Orginal staus of shipment]]&lt;&gt;"Delivered","not applicabel", IF(logistics_data[[#This Row],[Transit_Days]]&gt;=5,"slow","fast"))</f>
        <v>slow</v>
      </c>
    </row>
    <row r="250" spans="1:14" x14ac:dyDescent="0.3">
      <c r="A250" t="s">
        <v>296</v>
      </c>
      <c r="B250" t="s">
        <v>39</v>
      </c>
      <c r="C250" t="s">
        <v>24</v>
      </c>
      <c r="D250" t="s">
        <v>14</v>
      </c>
      <c r="E250" s="1">
        <v>45288</v>
      </c>
      <c r="F250" s="1">
        <v>45290</v>
      </c>
      <c r="G250">
        <v>32.700000000000003</v>
      </c>
      <c r="H250">
        <v>97.49</v>
      </c>
      <c r="I250" t="s">
        <v>15</v>
      </c>
      <c r="J250">
        <v>302</v>
      </c>
      <c r="K250">
        <v>2</v>
      </c>
      <c r="L250" t="str">
        <f>IF(logistics_data[[#This Row],[Delivery_Date]]="","In Transit",
 IF(logistics_data[[#This Row],[Status]]="Lost","Lost",
 IF(logistics_data[[#This Row],[Status]]="Returned","Returned",
 IF(logistics_data[[#This Row],[Status]]="Delayed","Delayed",
 "Delivered"))))</f>
        <v>Delivered</v>
      </c>
      <c r="M250" s="2">
        <f>logistics_data[[#This Row],[Cost]]/logistics_data[[#This Row],[Distance_miles]]</f>
        <v>0.32281456953642385</v>
      </c>
      <c r="N250" t="str">
        <f>IF(logistics_data[[#This Row],[Orginal staus of shipment]]&lt;&gt;"Delivered","not applicabel", IF(logistics_data[[#This Row],[Transit_Days]]&gt;=5,"slow","fast"))</f>
        <v>fast</v>
      </c>
    </row>
    <row r="251" spans="1:14" x14ac:dyDescent="0.3">
      <c r="A251" t="s">
        <v>297</v>
      </c>
      <c r="B251" t="s">
        <v>56</v>
      </c>
      <c r="C251" t="s">
        <v>44</v>
      </c>
      <c r="D251" t="s">
        <v>59</v>
      </c>
      <c r="E251" s="1">
        <v>45233</v>
      </c>
      <c r="F251" s="1">
        <v>45238</v>
      </c>
      <c r="G251">
        <v>13.6</v>
      </c>
      <c r="H251">
        <v>316.04000000000002</v>
      </c>
      <c r="I251" t="s">
        <v>15</v>
      </c>
      <c r="J251">
        <v>2073</v>
      </c>
      <c r="K251">
        <v>5</v>
      </c>
      <c r="L251" t="str">
        <f>IF(logistics_data[[#This Row],[Delivery_Date]]="","In Transit",
 IF(logistics_data[[#This Row],[Status]]="Lost","Lost",
 IF(logistics_data[[#This Row],[Status]]="Returned","Returned",
 IF(logistics_data[[#This Row],[Status]]="Delayed","Delayed",
 "Delivered"))))</f>
        <v>Delivered</v>
      </c>
      <c r="M251" s="2">
        <f>logistics_data[[#This Row],[Cost]]/logistics_data[[#This Row],[Distance_miles]]</f>
        <v>0.1524553786782441</v>
      </c>
      <c r="N251" t="str">
        <f>IF(logistics_data[[#This Row],[Orginal staus of shipment]]&lt;&gt;"Delivered","not applicabel", IF(logistics_data[[#This Row],[Transit_Days]]&gt;=5,"slow","fast"))</f>
        <v>slow</v>
      </c>
    </row>
    <row r="252" spans="1:14" x14ac:dyDescent="0.3">
      <c r="A252" t="s">
        <v>298</v>
      </c>
      <c r="B252" t="s">
        <v>51</v>
      </c>
      <c r="C252" t="s">
        <v>36</v>
      </c>
      <c r="D252" t="s">
        <v>37</v>
      </c>
      <c r="E252" s="1">
        <v>44983</v>
      </c>
      <c r="F252" s="1">
        <v>44953</v>
      </c>
      <c r="G252">
        <v>5.5</v>
      </c>
      <c r="H252">
        <v>259.45</v>
      </c>
      <c r="I252" t="s">
        <v>15</v>
      </c>
      <c r="J252">
        <v>2132</v>
      </c>
      <c r="K252">
        <v>7</v>
      </c>
      <c r="L252" t="str">
        <f>IF(logistics_data[[#This Row],[Delivery_Date]]="","In Transit",
 IF(logistics_data[[#This Row],[Status]]="Lost","Lost",
 IF(logistics_data[[#This Row],[Status]]="Returned","Returned",
 IF(logistics_data[[#This Row],[Status]]="Delayed","Delayed",
 "Delivered"))))</f>
        <v>Delivered</v>
      </c>
      <c r="M252" s="2">
        <f>logistics_data[[#This Row],[Cost]]/logistics_data[[#This Row],[Distance_miles]]</f>
        <v>0.12169324577861163</v>
      </c>
      <c r="N252" t="str">
        <f>IF(logistics_data[[#This Row],[Orginal staus of shipment]]&lt;&gt;"Delivered","not applicabel", IF(logistics_data[[#This Row],[Transit_Days]]&gt;=5,"slow","fast"))</f>
        <v>slow</v>
      </c>
    </row>
    <row r="253" spans="1:14" x14ac:dyDescent="0.3">
      <c r="A253" t="s">
        <v>299</v>
      </c>
      <c r="B253" t="s">
        <v>23</v>
      </c>
      <c r="C253" t="s">
        <v>44</v>
      </c>
      <c r="D253" t="s">
        <v>37</v>
      </c>
      <c r="E253" s="1">
        <v>44987</v>
      </c>
      <c r="F253" s="1">
        <v>44990</v>
      </c>
      <c r="G253">
        <v>27.5</v>
      </c>
      <c r="H253">
        <v>111.16</v>
      </c>
      <c r="I253" t="s">
        <v>15</v>
      </c>
      <c r="J253">
        <v>569</v>
      </c>
      <c r="K253">
        <v>3</v>
      </c>
      <c r="L253" t="str">
        <f>IF(logistics_data[[#This Row],[Delivery_Date]]="","In Transit",
 IF(logistics_data[[#This Row],[Status]]="Lost","Lost",
 IF(logistics_data[[#This Row],[Status]]="Returned","Returned",
 IF(logistics_data[[#This Row],[Status]]="Delayed","Delayed",
 "Delivered"))))</f>
        <v>Delivered</v>
      </c>
      <c r="M253" s="2">
        <f>logistics_data[[#This Row],[Cost]]/logistics_data[[#This Row],[Distance_miles]]</f>
        <v>0.19536028119507909</v>
      </c>
      <c r="N253" t="str">
        <f>IF(logistics_data[[#This Row],[Orginal staus of shipment]]&lt;&gt;"Delivered","not applicabel", IF(logistics_data[[#This Row],[Transit_Days]]&gt;=5,"slow","fast"))</f>
        <v>fast</v>
      </c>
    </row>
    <row r="254" spans="1:14" x14ac:dyDescent="0.3">
      <c r="A254" t="s">
        <v>300</v>
      </c>
      <c r="B254" t="s">
        <v>23</v>
      </c>
      <c r="C254" t="s">
        <v>70</v>
      </c>
      <c r="D254" t="s">
        <v>14</v>
      </c>
      <c r="E254" s="1">
        <v>45241</v>
      </c>
      <c r="F254" s="1">
        <v>45246</v>
      </c>
      <c r="G254">
        <v>21.5</v>
      </c>
      <c r="H254">
        <v>437.58</v>
      </c>
      <c r="I254" t="s">
        <v>15</v>
      </c>
      <c r="J254">
        <v>2433</v>
      </c>
      <c r="K254">
        <v>5</v>
      </c>
      <c r="L254" t="str">
        <f>IF(logistics_data[[#This Row],[Delivery_Date]]="","In Transit",
 IF(logistics_data[[#This Row],[Status]]="Lost","Lost",
 IF(logistics_data[[#This Row],[Status]]="Returned","Returned",
 IF(logistics_data[[#This Row],[Status]]="Delayed","Delayed",
 "Delivered"))))</f>
        <v>Delivered</v>
      </c>
      <c r="M254" s="2">
        <f>logistics_data[[#This Row],[Cost]]/logistics_data[[#This Row],[Distance_miles]]</f>
        <v>0.17985203452527743</v>
      </c>
      <c r="N254" t="str">
        <f>IF(logistics_data[[#This Row],[Orginal staus of shipment]]&lt;&gt;"Delivered","not applicabel", IF(logistics_data[[#This Row],[Transit_Days]]&gt;=5,"slow","fast"))</f>
        <v>slow</v>
      </c>
    </row>
    <row r="255" spans="1:14" x14ac:dyDescent="0.3">
      <c r="A255" t="s">
        <v>301</v>
      </c>
      <c r="B255" t="s">
        <v>30</v>
      </c>
      <c r="C255" t="s">
        <v>81</v>
      </c>
      <c r="D255" t="s">
        <v>42</v>
      </c>
      <c r="E255" s="1">
        <v>44941</v>
      </c>
      <c r="F255" s="1">
        <v>44943</v>
      </c>
      <c r="G255">
        <v>24.8</v>
      </c>
      <c r="H255">
        <v>110.65</v>
      </c>
      <c r="I255" t="s">
        <v>15</v>
      </c>
      <c r="J255">
        <v>677</v>
      </c>
      <c r="K255">
        <v>2</v>
      </c>
      <c r="L255" t="str">
        <f>IF(logistics_data[[#This Row],[Delivery_Date]]="","In Transit",
 IF(logistics_data[[#This Row],[Status]]="Lost","Lost",
 IF(logistics_data[[#This Row],[Status]]="Returned","Returned",
 IF(logistics_data[[#This Row],[Status]]="Delayed","Delayed",
 "Delivered"))))</f>
        <v>Delivered</v>
      </c>
      <c r="M255" s="2">
        <f>logistics_data[[#This Row],[Cost]]/logistics_data[[#This Row],[Distance_miles]]</f>
        <v>0.16344165435745939</v>
      </c>
      <c r="N255" t="str">
        <f>IF(logistics_data[[#This Row],[Orginal staus of shipment]]&lt;&gt;"Delivered","not applicabel", IF(logistics_data[[#This Row],[Transit_Days]]&gt;=5,"slow","fast"))</f>
        <v>fast</v>
      </c>
    </row>
    <row r="256" spans="1:14" x14ac:dyDescent="0.3">
      <c r="A256" t="s">
        <v>302</v>
      </c>
      <c r="B256" t="s">
        <v>23</v>
      </c>
      <c r="C256" t="s">
        <v>36</v>
      </c>
      <c r="D256" t="s">
        <v>42</v>
      </c>
      <c r="E256" s="1">
        <v>44984</v>
      </c>
      <c r="F256" s="1">
        <v>44990</v>
      </c>
      <c r="G256">
        <v>11.2</v>
      </c>
      <c r="H256">
        <v>324.52</v>
      </c>
      <c r="I256" t="s">
        <v>62</v>
      </c>
      <c r="J256">
        <v>2379</v>
      </c>
      <c r="K256">
        <v>6</v>
      </c>
      <c r="L256" t="str">
        <f>IF(logistics_data[[#This Row],[Delivery_Date]]="","In Transit",
 IF(logistics_data[[#This Row],[Status]]="Lost","Lost",
 IF(logistics_data[[#This Row],[Status]]="Returned","Returned",
 IF(logistics_data[[#This Row],[Status]]="Delayed","Delayed",
 "Delivered"))))</f>
        <v>Delivered</v>
      </c>
      <c r="M256" s="2">
        <f>logistics_data[[#This Row],[Cost]]/logistics_data[[#This Row],[Distance_miles]]</f>
        <v>0.13641025641025639</v>
      </c>
      <c r="N256" t="str">
        <f>IF(logistics_data[[#This Row],[Orginal staus of shipment]]&lt;&gt;"Delivered","not applicabel", IF(logistics_data[[#This Row],[Transit_Days]]&gt;=5,"slow","fast"))</f>
        <v>slow</v>
      </c>
    </row>
    <row r="257" spans="1:14" x14ac:dyDescent="0.3">
      <c r="A257" t="s">
        <v>303</v>
      </c>
      <c r="B257" t="s">
        <v>20</v>
      </c>
      <c r="C257" t="s">
        <v>81</v>
      </c>
      <c r="D257" t="s">
        <v>14</v>
      </c>
      <c r="E257" s="1">
        <v>45241</v>
      </c>
      <c r="F257" s="1">
        <v>45246</v>
      </c>
      <c r="G257">
        <v>17.899999999999999</v>
      </c>
      <c r="H257">
        <v>191.48</v>
      </c>
      <c r="I257" t="s">
        <v>15</v>
      </c>
      <c r="J257">
        <v>984</v>
      </c>
      <c r="K257">
        <v>5</v>
      </c>
      <c r="L257" t="str">
        <f>IF(logistics_data[[#This Row],[Delivery_Date]]="","In Transit",
 IF(logistics_data[[#This Row],[Status]]="Lost","Lost",
 IF(logistics_data[[#This Row],[Status]]="Returned","Returned",
 IF(logistics_data[[#This Row],[Status]]="Delayed","Delayed",
 "Delivered"))))</f>
        <v>Delivered</v>
      </c>
      <c r="M257" s="2">
        <f>logistics_data[[#This Row],[Cost]]/logistics_data[[#This Row],[Distance_miles]]</f>
        <v>0.19459349593495934</v>
      </c>
      <c r="N257" t="str">
        <f>IF(logistics_data[[#This Row],[Orginal staus of shipment]]&lt;&gt;"Delivered","not applicabel", IF(logistics_data[[#This Row],[Transit_Days]]&gt;=5,"slow","fast"))</f>
        <v>slow</v>
      </c>
    </row>
    <row r="258" spans="1:14" x14ac:dyDescent="0.3">
      <c r="A258" t="s">
        <v>304</v>
      </c>
      <c r="B258" t="s">
        <v>56</v>
      </c>
      <c r="C258" t="s">
        <v>54</v>
      </c>
      <c r="D258" t="s">
        <v>18</v>
      </c>
      <c r="E258" s="1">
        <v>45065</v>
      </c>
      <c r="F258" s="1">
        <v>45068</v>
      </c>
      <c r="G258">
        <v>34.9</v>
      </c>
      <c r="H258">
        <v>102.14</v>
      </c>
      <c r="I258" t="s">
        <v>15</v>
      </c>
      <c r="J258">
        <v>420</v>
      </c>
      <c r="K258">
        <v>3</v>
      </c>
      <c r="L258" t="str">
        <f>IF(logistics_data[[#This Row],[Delivery_Date]]="","In Transit",
 IF(logistics_data[[#This Row],[Status]]="Lost","Lost",
 IF(logistics_data[[#This Row],[Status]]="Returned","Returned",
 IF(logistics_data[[#This Row],[Status]]="Delayed","Delayed",
 "Delivered"))))</f>
        <v>Delivered</v>
      </c>
      <c r="M258" s="2">
        <f>logistics_data[[#This Row],[Cost]]/logistics_data[[#This Row],[Distance_miles]]</f>
        <v>0.24319047619047618</v>
      </c>
      <c r="N258" t="str">
        <f>IF(logistics_data[[#This Row],[Orginal staus of shipment]]&lt;&gt;"Delivered","not applicabel", IF(logistics_data[[#This Row],[Transit_Days]]&gt;=5,"slow","fast"))</f>
        <v>fast</v>
      </c>
    </row>
    <row r="259" spans="1:14" x14ac:dyDescent="0.3">
      <c r="A259" t="s">
        <v>305</v>
      </c>
      <c r="B259" t="s">
        <v>12</v>
      </c>
      <c r="C259" t="s">
        <v>28</v>
      </c>
      <c r="D259" t="s">
        <v>32</v>
      </c>
      <c r="E259" s="1">
        <v>44985</v>
      </c>
      <c r="F259" s="1">
        <v>44986</v>
      </c>
      <c r="G259">
        <v>27.1</v>
      </c>
      <c r="H259">
        <v>79.459999999999994</v>
      </c>
      <c r="I259" t="s">
        <v>15</v>
      </c>
      <c r="J259">
        <v>338</v>
      </c>
      <c r="K259">
        <v>1</v>
      </c>
      <c r="L259" t="str">
        <f>IF(logistics_data[[#This Row],[Delivery_Date]]="","In Transit",
 IF(logistics_data[[#This Row],[Status]]="Lost","Lost",
 IF(logistics_data[[#This Row],[Status]]="Returned","Returned",
 IF(logistics_data[[#This Row],[Status]]="Delayed","Delayed",
 "Delivered"))))</f>
        <v>Delivered</v>
      </c>
      <c r="M259" s="2">
        <f>logistics_data[[#This Row],[Cost]]/logistics_data[[#This Row],[Distance_miles]]</f>
        <v>0.23508875739644969</v>
      </c>
      <c r="N259" t="str">
        <f>IF(logistics_data[[#This Row],[Orginal staus of shipment]]&lt;&gt;"Delivered","not applicabel", IF(logistics_data[[#This Row],[Transit_Days]]&gt;=5,"slow","fast"))</f>
        <v>fast</v>
      </c>
    </row>
    <row r="260" spans="1:14" x14ac:dyDescent="0.3">
      <c r="A260" t="s">
        <v>306</v>
      </c>
      <c r="B260" t="s">
        <v>35</v>
      </c>
      <c r="C260" t="s">
        <v>70</v>
      </c>
      <c r="D260" t="s">
        <v>37</v>
      </c>
      <c r="E260" s="1">
        <v>45185</v>
      </c>
      <c r="F260" s="1">
        <v>45198</v>
      </c>
      <c r="G260">
        <v>46.8</v>
      </c>
      <c r="H260">
        <v>105.98</v>
      </c>
      <c r="I260" t="s">
        <v>47</v>
      </c>
      <c r="J260">
        <v>410</v>
      </c>
      <c r="K260">
        <v>2</v>
      </c>
      <c r="L260" t="str">
        <f>IF(logistics_data[[#This Row],[Delivery_Date]]="","In Transit",
 IF(logistics_data[[#This Row],[Status]]="Lost","Lost",
 IF(logistics_data[[#This Row],[Status]]="Returned","Returned",
 IF(logistics_data[[#This Row],[Status]]="Delayed","Delayed",
 "Delivered"))))</f>
        <v>Delayed</v>
      </c>
      <c r="M260" s="2">
        <f>logistics_data[[#This Row],[Cost]]/logistics_data[[#This Row],[Distance_miles]]</f>
        <v>0.25848780487804879</v>
      </c>
      <c r="N260" t="str">
        <f>IF(logistics_data[[#This Row],[Orginal staus of shipment]]&lt;&gt;"Delivered","not applicabel", IF(logistics_data[[#This Row],[Transit_Days]]&gt;=5,"slow","fast"))</f>
        <v>not applicabel</v>
      </c>
    </row>
    <row r="261" spans="1:14" x14ac:dyDescent="0.3">
      <c r="A261" t="s">
        <v>307</v>
      </c>
      <c r="B261" t="s">
        <v>20</v>
      </c>
      <c r="C261" t="s">
        <v>57</v>
      </c>
      <c r="D261" t="s">
        <v>14</v>
      </c>
      <c r="E261" s="1">
        <v>45073</v>
      </c>
      <c r="F261" s="1">
        <v>45078</v>
      </c>
      <c r="G261">
        <v>10.4</v>
      </c>
      <c r="H261">
        <v>204.87</v>
      </c>
      <c r="I261" t="s">
        <v>15</v>
      </c>
      <c r="J261">
        <v>1486</v>
      </c>
      <c r="K261">
        <v>5</v>
      </c>
      <c r="L261" t="str">
        <f>IF(logistics_data[[#This Row],[Delivery_Date]]="","In Transit",
 IF(logistics_data[[#This Row],[Status]]="Lost","Lost",
 IF(logistics_data[[#This Row],[Status]]="Returned","Returned",
 IF(logistics_data[[#This Row],[Status]]="Delayed","Delayed",
 "Delivered"))))</f>
        <v>Delivered</v>
      </c>
      <c r="M261" s="2">
        <f>logistics_data[[#This Row],[Cost]]/logistics_data[[#This Row],[Distance_miles]]</f>
        <v>0.13786675639300136</v>
      </c>
      <c r="N261" t="str">
        <f>IF(logistics_data[[#This Row],[Orginal staus of shipment]]&lt;&gt;"Delivered","not applicabel", IF(logistics_data[[#This Row],[Transit_Days]]&gt;=5,"slow","fast"))</f>
        <v>slow</v>
      </c>
    </row>
    <row r="262" spans="1:14" x14ac:dyDescent="0.3">
      <c r="A262" t="s">
        <v>308</v>
      </c>
      <c r="B262" t="s">
        <v>12</v>
      </c>
      <c r="C262" t="s">
        <v>13</v>
      </c>
      <c r="D262" t="s">
        <v>14</v>
      </c>
      <c r="E262" s="1">
        <v>45112</v>
      </c>
      <c r="G262">
        <v>14.6</v>
      </c>
      <c r="H262">
        <v>358.31</v>
      </c>
      <c r="I262" t="s">
        <v>47</v>
      </c>
      <c r="J262">
        <v>2492</v>
      </c>
      <c r="K262">
        <v>6</v>
      </c>
      <c r="L262" t="str">
        <f>IF(logistics_data[[#This Row],[Delivery_Date]]="","In Transit",
 IF(logistics_data[[#This Row],[Status]]="Lost","Lost",
 IF(logistics_data[[#This Row],[Status]]="Returned","Returned",
 IF(logistics_data[[#This Row],[Status]]="Delayed","Delayed",
 "Delivered"))))</f>
        <v>In Transit</v>
      </c>
      <c r="M262" s="2">
        <f>logistics_data[[#This Row],[Cost]]/logistics_data[[#This Row],[Distance_miles]]</f>
        <v>0.14378410914927769</v>
      </c>
      <c r="N262" t="str">
        <f>IF(logistics_data[[#This Row],[Orginal staus of shipment]]&lt;&gt;"Delivered","not applicabel", IF(logistics_data[[#This Row],[Transit_Days]]&gt;=5,"slow","fast"))</f>
        <v>not applicabel</v>
      </c>
    </row>
    <row r="263" spans="1:14" x14ac:dyDescent="0.3">
      <c r="A263" t="s">
        <v>309</v>
      </c>
      <c r="B263" t="s">
        <v>39</v>
      </c>
      <c r="C263" t="s">
        <v>40</v>
      </c>
      <c r="D263" t="s">
        <v>18</v>
      </c>
      <c r="E263" s="1">
        <v>45284</v>
      </c>
      <c r="F263" s="1">
        <v>45288</v>
      </c>
      <c r="G263">
        <v>39.200000000000003</v>
      </c>
      <c r="H263">
        <v>159.9</v>
      </c>
      <c r="I263" t="s">
        <v>15</v>
      </c>
      <c r="J263">
        <v>605</v>
      </c>
      <c r="K263">
        <v>4</v>
      </c>
      <c r="L263" t="str">
        <f>IF(logistics_data[[#This Row],[Delivery_Date]]="","In Transit",
 IF(logistics_data[[#This Row],[Status]]="Lost","Lost",
 IF(logistics_data[[#This Row],[Status]]="Returned","Returned",
 IF(logistics_data[[#This Row],[Status]]="Delayed","Delayed",
 "Delivered"))))</f>
        <v>Delivered</v>
      </c>
      <c r="M263" s="2">
        <f>logistics_data[[#This Row],[Cost]]/logistics_data[[#This Row],[Distance_miles]]</f>
        <v>0.26429752066115703</v>
      </c>
      <c r="N263" t="str">
        <f>IF(logistics_data[[#This Row],[Orginal staus of shipment]]&lt;&gt;"Delivered","not applicabel", IF(logistics_data[[#This Row],[Transit_Days]]&gt;=5,"slow","fast"))</f>
        <v>fast</v>
      </c>
    </row>
    <row r="264" spans="1:14" x14ac:dyDescent="0.3">
      <c r="A264" t="s">
        <v>310</v>
      </c>
      <c r="B264" t="s">
        <v>20</v>
      </c>
      <c r="C264" t="s">
        <v>52</v>
      </c>
      <c r="D264" t="s">
        <v>59</v>
      </c>
      <c r="E264" s="1">
        <v>44998</v>
      </c>
      <c r="F264" s="1">
        <v>45001</v>
      </c>
      <c r="G264">
        <v>10</v>
      </c>
      <c r="I264" t="s">
        <v>15</v>
      </c>
      <c r="J264">
        <v>373</v>
      </c>
      <c r="K264">
        <v>3</v>
      </c>
      <c r="L264" t="str">
        <f>IF(logistics_data[[#This Row],[Delivery_Date]]="","In Transit",
 IF(logistics_data[[#This Row],[Status]]="Lost","Lost",
 IF(logistics_data[[#This Row],[Status]]="Returned","Returned",
 IF(logistics_data[[#This Row],[Status]]="Delayed","Delayed",
 "Delivered"))))</f>
        <v>Delivered</v>
      </c>
      <c r="M264" s="2">
        <f>logistics_data[[#This Row],[Cost]]/logistics_data[[#This Row],[Distance_miles]]</f>
        <v>0</v>
      </c>
      <c r="N264" t="str">
        <f>IF(logistics_data[[#This Row],[Orginal staus of shipment]]&lt;&gt;"Delivered","not applicabel", IF(logistics_data[[#This Row],[Transit_Days]]&gt;=5,"slow","fast"))</f>
        <v>fast</v>
      </c>
    </row>
    <row r="265" spans="1:14" x14ac:dyDescent="0.3">
      <c r="A265" t="s">
        <v>311</v>
      </c>
      <c r="B265" t="s">
        <v>56</v>
      </c>
      <c r="C265" t="s">
        <v>36</v>
      </c>
      <c r="D265" t="s">
        <v>32</v>
      </c>
      <c r="E265" s="1">
        <v>45169</v>
      </c>
      <c r="F265" s="1">
        <v>45170</v>
      </c>
      <c r="G265">
        <v>8.6</v>
      </c>
      <c r="H265">
        <v>34.32</v>
      </c>
      <c r="I265" t="s">
        <v>15</v>
      </c>
      <c r="J265">
        <v>165</v>
      </c>
      <c r="K265">
        <v>1</v>
      </c>
      <c r="L265" t="str">
        <f>IF(logistics_data[[#This Row],[Delivery_Date]]="","In Transit",
 IF(logistics_data[[#This Row],[Status]]="Lost","Lost",
 IF(logistics_data[[#This Row],[Status]]="Returned","Returned",
 IF(logistics_data[[#This Row],[Status]]="Delayed","Delayed",
 "Delivered"))))</f>
        <v>Delivered</v>
      </c>
      <c r="M265" s="2">
        <f>logistics_data[[#This Row],[Cost]]/logistics_data[[#This Row],[Distance_miles]]</f>
        <v>0.20799999999999999</v>
      </c>
      <c r="N265" t="str">
        <f>IF(logistics_data[[#This Row],[Orginal staus of shipment]]&lt;&gt;"Delivered","not applicabel", IF(logistics_data[[#This Row],[Transit_Days]]&gt;=5,"slow","fast"))</f>
        <v>fast</v>
      </c>
    </row>
    <row r="266" spans="1:14" x14ac:dyDescent="0.3">
      <c r="A266" t="s">
        <v>312</v>
      </c>
      <c r="B266" t="s">
        <v>20</v>
      </c>
      <c r="C266" t="s">
        <v>28</v>
      </c>
      <c r="D266" t="s">
        <v>14</v>
      </c>
      <c r="E266" s="1">
        <v>44937</v>
      </c>
      <c r="F266" s="1">
        <v>44941</v>
      </c>
      <c r="G266">
        <v>10.9</v>
      </c>
      <c r="H266">
        <v>191.54</v>
      </c>
      <c r="I266" t="s">
        <v>15</v>
      </c>
      <c r="J266">
        <v>1435</v>
      </c>
      <c r="K266">
        <v>4</v>
      </c>
      <c r="L266" t="str">
        <f>IF(logistics_data[[#This Row],[Delivery_Date]]="","In Transit",
 IF(logistics_data[[#This Row],[Status]]="Lost","Lost",
 IF(logistics_data[[#This Row],[Status]]="Returned","Returned",
 IF(logistics_data[[#This Row],[Status]]="Delayed","Delayed",
 "Delivered"))))</f>
        <v>Delivered</v>
      </c>
      <c r="M266" s="2">
        <f>logistics_data[[#This Row],[Cost]]/logistics_data[[#This Row],[Distance_miles]]</f>
        <v>0.1334773519163763</v>
      </c>
      <c r="N266" t="str">
        <f>IF(logistics_data[[#This Row],[Orginal staus of shipment]]&lt;&gt;"Delivered","not applicabel", IF(logistics_data[[#This Row],[Transit_Days]]&gt;=5,"slow","fast"))</f>
        <v>fast</v>
      </c>
    </row>
    <row r="267" spans="1:14" x14ac:dyDescent="0.3">
      <c r="A267" t="s">
        <v>313</v>
      </c>
      <c r="B267" t="s">
        <v>27</v>
      </c>
      <c r="C267" t="s">
        <v>40</v>
      </c>
      <c r="D267" t="s">
        <v>59</v>
      </c>
      <c r="E267" s="1">
        <v>44937</v>
      </c>
      <c r="F267" s="1">
        <v>44940</v>
      </c>
      <c r="G267">
        <v>35.299999999999997</v>
      </c>
      <c r="H267">
        <v>102.36</v>
      </c>
      <c r="I267" t="s">
        <v>15</v>
      </c>
      <c r="J267">
        <v>533</v>
      </c>
      <c r="K267">
        <v>3</v>
      </c>
      <c r="L267" t="str">
        <f>IF(logistics_data[[#This Row],[Delivery_Date]]="","In Transit",
 IF(logistics_data[[#This Row],[Status]]="Lost","Lost",
 IF(logistics_data[[#This Row],[Status]]="Returned","Returned",
 IF(logistics_data[[#This Row],[Status]]="Delayed","Delayed",
 "Delivered"))))</f>
        <v>Delivered</v>
      </c>
      <c r="M267" s="2">
        <f>logistics_data[[#This Row],[Cost]]/logistics_data[[#This Row],[Distance_miles]]</f>
        <v>0.19204502814258911</v>
      </c>
      <c r="N267" t="str">
        <f>IF(logistics_data[[#This Row],[Orginal staus of shipment]]&lt;&gt;"Delivered","not applicabel", IF(logistics_data[[#This Row],[Transit_Days]]&gt;=5,"slow","fast"))</f>
        <v>fast</v>
      </c>
    </row>
    <row r="268" spans="1:14" x14ac:dyDescent="0.3">
      <c r="A268" t="s">
        <v>314</v>
      </c>
      <c r="B268" t="s">
        <v>23</v>
      </c>
      <c r="C268" t="s">
        <v>52</v>
      </c>
      <c r="D268" t="s">
        <v>37</v>
      </c>
      <c r="E268" s="1">
        <v>45259</v>
      </c>
      <c r="F268" s="1">
        <v>45265</v>
      </c>
      <c r="G268">
        <v>40.9</v>
      </c>
      <c r="H268">
        <v>224.12</v>
      </c>
      <c r="I268" t="s">
        <v>15</v>
      </c>
      <c r="J268">
        <v>1122</v>
      </c>
      <c r="K268">
        <v>6</v>
      </c>
      <c r="L268" t="str">
        <f>IF(logistics_data[[#This Row],[Delivery_Date]]="","In Transit",
 IF(logistics_data[[#This Row],[Status]]="Lost","Lost",
 IF(logistics_data[[#This Row],[Status]]="Returned","Returned",
 IF(logistics_data[[#This Row],[Status]]="Delayed","Delayed",
 "Delivered"))))</f>
        <v>Delivered</v>
      </c>
      <c r="M268" s="2">
        <f>logistics_data[[#This Row],[Cost]]/logistics_data[[#This Row],[Distance_miles]]</f>
        <v>0.19975044563279859</v>
      </c>
      <c r="N268" t="str">
        <f>IF(logistics_data[[#This Row],[Orginal staus of shipment]]&lt;&gt;"Delivered","not applicabel", IF(logistics_data[[#This Row],[Transit_Days]]&gt;=5,"slow","fast"))</f>
        <v>slow</v>
      </c>
    </row>
    <row r="269" spans="1:14" x14ac:dyDescent="0.3">
      <c r="A269" t="s">
        <v>315</v>
      </c>
      <c r="B269" t="s">
        <v>30</v>
      </c>
      <c r="C269" t="s">
        <v>57</v>
      </c>
      <c r="D269" t="s">
        <v>18</v>
      </c>
      <c r="E269" s="1">
        <v>45129</v>
      </c>
      <c r="F269" s="1">
        <v>45130</v>
      </c>
      <c r="G269">
        <v>22.4</v>
      </c>
      <c r="H269">
        <v>70.430000000000007</v>
      </c>
      <c r="I269" t="s">
        <v>15</v>
      </c>
      <c r="J269">
        <v>263</v>
      </c>
      <c r="K269">
        <v>1</v>
      </c>
      <c r="L269" t="str">
        <f>IF(logistics_data[[#This Row],[Delivery_Date]]="","In Transit",
 IF(logistics_data[[#This Row],[Status]]="Lost","Lost",
 IF(logistics_data[[#This Row],[Status]]="Returned","Returned",
 IF(logistics_data[[#This Row],[Status]]="Delayed","Delayed",
 "Delivered"))))</f>
        <v>Delivered</v>
      </c>
      <c r="M269" s="2">
        <f>logistics_data[[#This Row],[Cost]]/logistics_data[[#This Row],[Distance_miles]]</f>
        <v>0.26779467680608365</v>
      </c>
      <c r="N269" t="str">
        <f>IF(logistics_data[[#This Row],[Orginal staus of shipment]]&lt;&gt;"Delivered","not applicabel", IF(logistics_data[[#This Row],[Transit_Days]]&gt;=5,"slow","fast"))</f>
        <v>fast</v>
      </c>
    </row>
    <row r="270" spans="1:14" x14ac:dyDescent="0.3">
      <c r="A270" t="s">
        <v>316</v>
      </c>
      <c r="B270" t="s">
        <v>56</v>
      </c>
      <c r="C270" t="s">
        <v>54</v>
      </c>
      <c r="D270" t="s">
        <v>37</v>
      </c>
      <c r="E270" s="1">
        <v>45244</v>
      </c>
      <c r="F270" s="1">
        <v>45249</v>
      </c>
      <c r="G270">
        <v>8.6999999999999993</v>
      </c>
      <c r="H270">
        <v>202.52</v>
      </c>
      <c r="I270" t="s">
        <v>15</v>
      </c>
      <c r="J270">
        <v>1348</v>
      </c>
      <c r="K270">
        <v>5</v>
      </c>
      <c r="L270" t="str">
        <f>IF(logistics_data[[#This Row],[Delivery_Date]]="","In Transit",
 IF(logistics_data[[#This Row],[Status]]="Lost","Lost",
 IF(logistics_data[[#This Row],[Status]]="Returned","Returned",
 IF(logistics_data[[#This Row],[Status]]="Delayed","Delayed",
 "Delivered"))))</f>
        <v>Delivered</v>
      </c>
      <c r="M270" s="2">
        <f>logistics_data[[#This Row],[Cost]]/logistics_data[[#This Row],[Distance_miles]]</f>
        <v>0.15023738872403561</v>
      </c>
      <c r="N270" t="str">
        <f>IF(logistics_data[[#This Row],[Orginal staus of shipment]]&lt;&gt;"Delivered","not applicabel", IF(logistics_data[[#This Row],[Transit_Days]]&gt;=5,"slow","fast"))</f>
        <v>slow</v>
      </c>
    </row>
    <row r="271" spans="1:14" x14ac:dyDescent="0.3">
      <c r="A271" t="s">
        <v>317</v>
      </c>
      <c r="B271" t="s">
        <v>27</v>
      </c>
      <c r="C271" t="s">
        <v>17</v>
      </c>
      <c r="D271" t="s">
        <v>59</v>
      </c>
      <c r="E271" s="1">
        <v>45258</v>
      </c>
      <c r="F271" s="1">
        <v>45261</v>
      </c>
      <c r="G271">
        <v>10.9</v>
      </c>
      <c r="H271">
        <v>55.96</v>
      </c>
      <c r="I271" t="s">
        <v>62</v>
      </c>
      <c r="J271">
        <v>340</v>
      </c>
      <c r="K271">
        <v>3</v>
      </c>
      <c r="L271" t="str">
        <f>IF(logistics_data[[#This Row],[Delivery_Date]]="","In Transit",
 IF(logistics_data[[#This Row],[Status]]="Lost","Lost",
 IF(logistics_data[[#This Row],[Status]]="Returned","Returned",
 IF(logistics_data[[#This Row],[Status]]="Delayed","Delayed",
 "Delivered"))))</f>
        <v>Delivered</v>
      </c>
      <c r="M271" s="2">
        <f>logistics_data[[#This Row],[Cost]]/logistics_data[[#This Row],[Distance_miles]]</f>
        <v>0.16458823529411765</v>
      </c>
      <c r="N271" t="str">
        <f>IF(logistics_data[[#This Row],[Orginal staus of shipment]]&lt;&gt;"Delivered","not applicabel", IF(logistics_data[[#This Row],[Transit_Days]]&gt;=5,"slow","fast"))</f>
        <v>fast</v>
      </c>
    </row>
    <row r="272" spans="1:14" x14ac:dyDescent="0.3">
      <c r="A272" t="s">
        <v>318</v>
      </c>
      <c r="B272" t="s">
        <v>56</v>
      </c>
      <c r="C272" t="s">
        <v>52</v>
      </c>
      <c r="D272" t="s">
        <v>32</v>
      </c>
      <c r="E272" s="1">
        <v>44944</v>
      </c>
      <c r="F272" s="1">
        <v>44947</v>
      </c>
      <c r="G272">
        <v>4.9000000000000004</v>
      </c>
      <c r="H272">
        <v>27.41</v>
      </c>
      <c r="I272" t="s">
        <v>15</v>
      </c>
      <c r="J272">
        <v>159</v>
      </c>
      <c r="K272">
        <v>3</v>
      </c>
      <c r="L272" t="str">
        <f>IF(logistics_data[[#This Row],[Delivery_Date]]="","In Transit",
 IF(logistics_data[[#This Row],[Status]]="Lost","Lost",
 IF(logistics_data[[#This Row],[Status]]="Returned","Returned",
 IF(logistics_data[[#This Row],[Status]]="Delayed","Delayed",
 "Delivered"))))</f>
        <v>Delivered</v>
      </c>
      <c r="M272" s="2">
        <f>logistics_data[[#This Row],[Cost]]/logistics_data[[#This Row],[Distance_miles]]</f>
        <v>0.17238993710691825</v>
      </c>
      <c r="N272" t="str">
        <f>IF(logistics_data[[#This Row],[Orginal staus of shipment]]&lt;&gt;"Delivered","not applicabel", IF(logistics_data[[#This Row],[Transit_Days]]&gt;=5,"slow","fast"))</f>
        <v>fast</v>
      </c>
    </row>
    <row r="273" spans="1:14" x14ac:dyDescent="0.3">
      <c r="A273" t="s">
        <v>319</v>
      </c>
      <c r="B273" t="s">
        <v>23</v>
      </c>
      <c r="C273" t="s">
        <v>44</v>
      </c>
      <c r="D273" t="s">
        <v>32</v>
      </c>
      <c r="E273" s="1">
        <v>44947</v>
      </c>
      <c r="F273" s="1">
        <v>44952</v>
      </c>
      <c r="G273">
        <v>45.1</v>
      </c>
      <c r="H273">
        <v>322.54000000000002</v>
      </c>
      <c r="I273" t="s">
        <v>15</v>
      </c>
      <c r="J273">
        <v>2054</v>
      </c>
      <c r="K273">
        <v>5</v>
      </c>
      <c r="L273" t="str">
        <f>IF(logistics_data[[#This Row],[Delivery_Date]]="","In Transit",
 IF(logistics_data[[#This Row],[Status]]="Lost","Lost",
 IF(logistics_data[[#This Row],[Status]]="Returned","Returned",
 IF(logistics_data[[#This Row],[Status]]="Delayed","Delayed",
 "Delivered"))))</f>
        <v>Delivered</v>
      </c>
      <c r="M273" s="2">
        <f>logistics_data[[#This Row],[Cost]]/logistics_data[[#This Row],[Distance_miles]]</f>
        <v>0.15703018500486857</v>
      </c>
      <c r="N273" t="str">
        <f>IF(logistics_data[[#This Row],[Orginal staus of shipment]]&lt;&gt;"Delivered","not applicabel", IF(logistics_data[[#This Row],[Transit_Days]]&gt;=5,"slow","fast"))</f>
        <v>slow</v>
      </c>
    </row>
    <row r="274" spans="1:14" x14ac:dyDescent="0.3">
      <c r="A274" t="s">
        <v>320</v>
      </c>
      <c r="B274" t="s">
        <v>49</v>
      </c>
      <c r="C274" t="s">
        <v>44</v>
      </c>
      <c r="D274" t="s">
        <v>37</v>
      </c>
      <c r="E274" s="1">
        <v>45012</v>
      </c>
      <c r="F274" s="1">
        <v>45013</v>
      </c>
      <c r="G274">
        <v>24.8</v>
      </c>
      <c r="H274">
        <v>66.900000000000006</v>
      </c>
      <c r="I274" t="s">
        <v>62</v>
      </c>
      <c r="J274">
        <v>274</v>
      </c>
      <c r="K274">
        <v>1</v>
      </c>
      <c r="L274" t="str">
        <f>IF(logistics_data[[#This Row],[Delivery_Date]]="","In Transit",
 IF(logistics_data[[#This Row],[Status]]="Lost","Lost",
 IF(logistics_data[[#This Row],[Status]]="Returned","Returned",
 IF(logistics_data[[#This Row],[Status]]="Delayed","Delayed",
 "Delivered"))))</f>
        <v>Delivered</v>
      </c>
      <c r="M274" s="2">
        <f>logistics_data[[#This Row],[Cost]]/logistics_data[[#This Row],[Distance_miles]]</f>
        <v>0.24416058394160586</v>
      </c>
      <c r="N274" t="str">
        <f>IF(logistics_data[[#This Row],[Orginal staus of shipment]]&lt;&gt;"Delivered","not applicabel", IF(logistics_data[[#This Row],[Transit_Days]]&gt;=5,"slow","fast"))</f>
        <v>fast</v>
      </c>
    </row>
    <row r="275" spans="1:14" x14ac:dyDescent="0.3">
      <c r="A275" t="s">
        <v>321</v>
      </c>
      <c r="B275" t="s">
        <v>35</v>
      </c>
      <c r="C275" t="s">
        <v>54</v>
      </c>
      <c r="D275" t="s">
        <v>42</v>
      </c>
      <c r="E275" s="1">
        <v>44930</v>
      </c>
      <c r="F275" s="1">
        <v>44934</v>
      </c>
      <c r="G275">
        <v>26.5</v>
      </c>
      <c r="I275" t="s">
        <v>15</v>
      </c>
      <c r="J275">
        <v>1350</v>
      </c>
      <c r="K275">
        <v>4</v>
      </c>
      <c r="L275" t="str">
        <f>IF(logistics_data[[#This Row],[Delivery_Date]]="","In Transit",
 IF(logistics_data[[#This Row],[Status]]="Lost","Lost",
 IF(logistics_data[[#This Row],[Status]]="Returned","Returned",
 IF(logistics_data[[#This Row],[Status]]="Delayed","Delayed",
 "Delivered"))))</f>
        <v>Delivered</v>
      </c>
      <c r="M275" s="2">
        <f>logistics_data[[#This Row],[Cost]]/logistics_data[[#This Row],[Distance_miles]]</f>
        <v>0</v>
      </c>
      <c r="N275" t="str">
        <f>IF(logistics_data[[#This Row],[Orginal staus of shipment]]&lt;&gt;"Delivered","not applicabel", IF(logistics_data[[#This Row],[Transit_Days]]&gt;=5,"slow","fast"))</f>
        <v>fast</v>
      </c>
    </row>
    <row r="276" spans="1:14" x14ac:dyDescent="0.3">
      <c r="A276" t="s">
        <v>322</v>
      </c>
      <c r="B276" t="s">
        <v>20</v>
      </c>
      <c r="C276" t="s">
        <v>54</v>
      </c>
      <c r="D276" t="s">
        <v>42</v>
      </c>
      <c r="E276" s="1">
        <v>45000</v>
      </c>
      <c r="F276" s="1">
        <v>45005</v>
      </c>
      <c r="G276">
        <v>13.4</v>
      </c>
      <c r="I276" t="s">
        <v>15</v>
      </c>
      <c r="J276">
        <v>916</v>
      </c>
      <c r="K276">
        <v>5</v>
      </c>
      <c r="L276" t="str">
        <f>IF(logistics_data[[#This Row],[Delivery_Date]]="","In Transit",
 IF(logistics_data[[#This Row],[Status]]="Lost","Lost",
 IF(logistics_data[[#This Row],[Status]]="Returned","Returned",
 IF(logistics_data[[#This Row],[Status]]="Delayed","Delayed",
 "Delivered"))))</f>
        <v>Delivered</v>
      </c>
      <c r="M276" s="2">
        <f>logistics_data[[#This Row],[Cost]]/logistics_data[[#This Row],[Distance_miles]]</f>
        <v>0</v>
      </c>
      <c r="N276" t="str">
        <f>IF(logistics_data[[#This Row],[Orginal staus of shipment]]&lt;&gt;"Delivered","not applicabel", IF(logistics_data[[#This Row],[Transit_Days]]&gt;=5,"slow","fast"))</f>
        <v>slow</v>
      </c>
    </row>
    <row r="277" spans="1:14" x14ac:dyDescent="0.3">
      <c r="A277" t="s">
        <v>323</v>
      </c>
      <c r="B277" t="s">
        <v>20</v>
      </c>
      <c r="C277" t="s">
        <v>31</v>
      </c>
      <c r="D277" t="s">
        <v>42</v>
      </c>
      <c r="E277" s="1">
        <v>45032</v>
      </c>
      <c r="F277" s="1">
        <v>45034</v>
      </c>
      <c r="G277">
        <v>25.3</v>
      </c>
      <c r="H277">
        <v>107.88</v>
      </c>
      <c r="I277" t="s">
        <v>62</v>
      </c>
      <c r="J277">
        <v>742</v>
      </c>
      <c r="K277">
        <v>2</v>
      </c>
      <c r="L277" t="str">
        <f>IF(logistics_data[[#This Row],[Delivery_Date]]="","In Transit",
 IF(logistics_data[[#This Row],[Status]]="Lost","Lost",
 IF(logistics_data[[#This Row],[Status]]="Returned","Returned",
 IF(logistics_data[[#This Row],[Status]]="Delayed","Delayed",
 "Delivered"))))</f>
        <v>Delivered</v>
      </c>
      <c r="M277" s="2">
        <f>logistics_data[[#This Row],[Cost]]/logistics_data[[#This Row],[Distance_miles]]</f>
        <v>0.14539083557951482</v>
      </c>
      <c r="N277" t="str">
        <f>IF(logistics_data[[#This Row],[Orginal staus of shipment]]&lt;&gt;"Delivered","not applicabel", IF(logistics_data[[#This Row],[Transit_Days]]&gt;=5,"slow","fast"))</f>
        <v>fast</v>
      </c>
    </row>
    <row r="278" spans="1:14" x14ac:dyDescent="0.3">
      <c r="A278" t="s">
        <v>324</v>
      </c>
      <c r="B278" t="s">
        <v>30</v>
      </c>
      <c r="C278" t="s">
        <v>28</v>
      </c>
      <c r="D278" t="s">
        <v>32</v>
      </c>
      <c r="E278" s="1">
        <v>45156</v>
      </c>
      <c r="F278" s="1">
        <v>45162</v>
      </c>
      <c r="G278">
        <v>18</v>
      </c>
      <c r="H278">
        <v>305.41000000000003</v>
      </c>
      <c r="I278" t="s">
        <v>15</v>
      </c>
      <c r="J278">
        <v>2218</v>
      </c>
      <c r="K278">
        <v>6</v>
      </c>
      <c r="L278" t="str">
        <f>IF(logistics_data[[#This Row],[Delivery_Date]]="","In Transit",
 IF(logistics_data[[#This Row],[Status]]="Lost","Lost",
 IF(logistics_data[[#This Row],[Status]]="Returned","Returned",
 IF(logistics_data[[#This Row],[Status]]="Delayed","Delayed",
 "Delivered"))))</f>
        <v>Delivered</v>
      </c>
      <c r="M278" s="2">
        <f>logistics_data[[#This Row],[Cost]]/logistics_data[[#This Row],[Distance_miles]]</f>
        <v>0.13769612263300271</v>
      </c>
      <c r="N278" t="str">
        <f>IF(logistics_data[[#This Row],[Orginal staus of shipment]]&lt;&gt;"Delivered","not applicabel", IF(logistics_data[[#This Row],[Transit_Days]]&gt;=5,"slow","fast"))</f>
        <v>slow</v>
      </c>
    </row>
    <row r="279" spans="1:14" x14ac:dyDescent="0.3">
      <c r="A279" t="s">
        <v>325</v>
      </c>
      <c r="B279" t="s">
        <v>56</v>
      </c>
      <c r="C279" t="s">
        <v>52</v>
      </c>
      <c r="D279" t="s">
        <v>25</v>
      </c>
      <c r="E279" s="1">
        <v>44997</v>
      </c>
      <c r="F279" s="1">
        <v>45002</v>
      </c>
      <c r="G279">
        <v>8.1999999999999993</v>
      </c>
      <c r="H279">
        <v>248.9</v>
      </c>
      <c r="I279" t="s">
        <v>15</v>
      </c>
      <c r="J279">
        <v>1857</v>
      </c>
      <c r="K279">
        <v>5</v>
      </c>
      <c r="L279" t="str">
        <f>IF(logistics_data[[#This Row],[Delivery_Date]]="","In Transit",
 IF(logistics_data[[#This Row],[Status]]="Lost","Lost",
 IF(logistics_data[[#This Row],[Status]]="Returned","Returned",
 IF(logistics_data[[#This Row],[Status]]="Delayed","Delayed",
 "Delivered"))))</f>
        <v>Delivered</v>
      </c>
      <c r="M279" s="2">
        <f>logistics_data[[#This Row],[Cost]]/logistics_data[[#This Row],[Distance_miles]]</f>
        <v>0.1340333871836295</v>
      </c>
      <c r="N279" t="str">
        <f>IF(logistics_data[[#This Row],[Orginal staus of shipment]]&lt;&gt;"Delivered","not applicabel", IF(logistics_data[[#This Row],[Transit_Days]]&gt;=5,"slow","fast"))</f>
        <v>slow</v>
      </c>
    </row>
    <row r="280" spans="1:14" x14ac:dyDescent="0.3">
      <c r="A280" t="s">
        <v>326</v>
      </c>
      <c r="B280" t="s">
        <v>20</v>
      </c>
      <c r="C280" t="s">
        <v>70</v>
      </c>
      <c r="D280" t="s">
        <v>25</v>
      </c>
      <c r="E280" s="1">
        <v>45171</v>
      </c>
      <c r="F280" s="1">
        <v>45177</v>
      </c>
      <c r="G280">
        <v>9.6</v>
      </c>
      <c r="H280">
        <v>242.9</v>
      </c>
      <c r="I280" t="s">
        <v>15</v>
      </c>
      <c r="J280">
        <v>2001</v>
      </c>
      <c r="K280">
        <v>6</v>
      </c>
      <c r="L280" t="str">
        <f>IF(logistics_data[[#This Row],[Delivery_Date]]="","In Transit",
 IF(logistics_data[[#This Row],[Status]]="Lost","Lost",
 IF(logistics_data[[#This Row],[Status]]="Returned","Returned",
 IF(logistics_data[[#This Row],[Status]]="Delayed","Delayed",
 "Delivered"))))</f>
        <v>Delivered</v>
      </c>
      <c r="M280" s="2">
        <f>logistics_data[[#This Row],[Cost]]/logistics_data[[#This Row],[Distance_miles]]</f>
        <v>0.12138930534732634</v>
      </c>
      <c r="N280" t="str">
        <f>IF(logistics_data[[#This Row],[Orginal staus of shipment]]&lt;&gt;"Delivered","not applicabel", IF(logistics_data[[#This Row],[Transit_Days]]&gt;=5,"slow","fast"))</f>
        <v>slow</v>
      </c>
    </row>
    <row r="281" spans="1:14" x14ac:dyDescent="0.3">
      <c r="A281" t="s">
        <v>327</v>
      </c>
      <c r="B281" t="s">
        <v>27</v>
      </c>
      <c r="C281" t="s">
        <v>57</v>
      </c>
      <c r="D281" t="s">
        <v>59</v>
      </c>
      <c r="E281" s="1">
        <v>45218</v>
      </c>
      <c r="F281" s="1">
        <v>45219</v>
      </c>
      <c r="G281">
        <v>37.700000000000003</v>
      </c>
      <c r="H281">
        <v>77.3</v>
      </c>
      <c r="I281" t="s">
        <v>15</v>
      </c>
      <c r="J281">
        <v>293</v>
      </c>
      <c r="K281">
        <v>1</v>
      </c>
      <c r="L281" t="str">
        <f>IF(logistics_data[[#This Row],[Delivery_Date]]="","In Transit",
 IF(logistics_data[[#This Row],[Status]]="Lost","Lost",
 IF(logistics_data[[#This Row],[Status]]="Returned","Returned",
 IF(logistics_data[[#This Row],[Status]]="Delayed","Delayed",
 "Delivered"))))</f>
        <v>Delivered</v>
      </c>
      <c r="M281" s="2">
        <f>logistics_data[[#This Row],[Cost]]/logistics_data[[#This Row],[Distance_miles]]</f>
        <v>0.2638225255972696</v>
      </c>
      <c r="N281" t="str">
        <f>IF(logistics_data[[#This Row],[Orginal staus of shipment]]&lt;&gt;"Delivered","not applicabel", IF(logistics_data[[#This Row],[Transit_Days]]&gt;=5,"slow","fast"))</f>
        <v>fast</v>
      </c>
    </row>
    <row r="282" spans="1:14" x14ac:dyDescent="0.3">
      <c r="A282" t="s">
        <v>328</v>
      </c>
      <c r="B282" t="s">
        <v>49</v>
      </c>
      <c r="C282" t="s">
        <v>28</v>
      </c>
      <c r="D282" t="s">
        <v>25</v>
      </c>
      <c r="E282" s="1">
        <v>45221</v>
      </c>
      <c r="F282" s="1">
        <v>45225</v>
      </c>
      <c r="G282">
        <v>20.100000000000001</v>
      </c>
      <c r="H282">
        <v>209.94</v>
      </c>
      <c r="I282" t="s">
        <v>15</v>
      </c>
      <c r="J282">
        <v>1401</v>
      </c>
      <c r="K282">
        <v>4</v>
      </c>
      <c r="L282" t="str">
        <f>IF(logistics_data[[#This Row],[Delivery_Date]]="","In Transit",
 IF(logistics_data[[#This Row],[Status]]="Lost","Lost",
 IF(logistics_data[[#This Row],[Status]]="Returned","Returned",
 IF(logistics_data[[#This Row],[Status]]="Delayed","Delayed",
 "Delivered"))))</f>
        <v>Delivered</v>
      </c>
      <c r="M282" s="2">
        <f>logistics_data[[#This Row],[Cost]]/logistics_data[[#This Row],[Distance_miles]]</f>
        <v>0.14985010706638116</v>
      </c>
      <c r="N282" t="str">
        <f>IF(logistics_data[[#This Row],[Orginal staus of shipment]]&lt;&gt;"Delivered","not applicabel", IF(logistics_data[[#This Row],[Transit_Days]]&gt;=5,"slow","fast"))</f>
        <v>fast</v>
      </c>
    </row>
    <row r="283" spans="1:14" x14ac:dyDescent="0.3">
      <c r="A283" t="s">
        <v>329</v>
      </c>
      <c r="B283" t="s">
        <v>39</v>
      </c>
      <c r="C283" t="s">
        <v>52</v>
      </c>
      <c r="D283" t="s">
        <v>25</v>
      </c>
      <c r="E283" s="1">
        <v>45007</v>
      </c>
      <c r="F283" s="1">
        <v>45019</v>
      </c>
      <c r="G283">
        <v>21.5</v>
      </c>
      <c r="H283">
        <v>136.58000000000001</v>
      </c>
      <c r="I283" t="s">
        <v>47</v>
      </c>
      <c r="J283">
        <v>916</v>
      </c>
      <c r="K283">
        <v>2</v>
      </c>
      <c r="L283" t="str">
        <f>IF(logistics_data[[#This Row],[Delivery_Date]]="","In Transit",
 IF(logistics_data[[#This Row],[Status]]="Lost","Lost",
 IF(logistics_data[[#This Row],[Status]]="Returned","Returned",
 IF(logistics_data[[#This Row],[Status]]="Delayed","Delayed",
 "Delivered"))))</f>
        <v>Delayed</v>
      </c>
      <c r="M283" s="2">
        <f>logistics_data[[#This Row],[Cost]]/logistics_data[[#This Row],[Distance_miles]]</f>
        <v>0.14910480349344979</v>
      </c>
      <c r="N283" t="str">
        <f>IF(logistics_data[[#This Row],[Orginal staus of shipment]]&lt;&gt;"Delivered","not applicabel", IF(logistics_data[[#This Row],[Transit_Days]]&gt;=5,"slow","fast"))</f>
        <v>not applicabel</v>
      </c>
    </row>
    <row r="284" spans="1:14" x14ac:dyDescent="0.3">
      <c r="A284" t="s">
        <v>330</v>
      </c>
      <c r="B284" t="s">
        <v>56</v>
      </c>
      <c r="C284" t="s">
        <v>70</v>
      </c>
      <c r="D284" t="s">
        <v>37</v>
      </c>
      <c r="E284" s="1">
        <v>44991</v>
      </c>
      <c r="F284" s="1">
        <v>44995</v>
      </c>
      <c r="G284">
        <v>4.5999999999999996</v>
      </c>
      <c r="H284">
        <v>230.19</v>
      </c>
      <c r="I284" t="s">
        <v>15</v>
      </c>
      <c r="J284">
        <v>1778</v>
      </c>
      <c r="K284">
        <v>4</v>
      </c>
      <c r="L284" t="str">
        <f>IF(logistics_data[[#This Row],[Delivery_Date]]="","In Transit",
 IF(logistics_data[[#This Row],[Status]]="Lost","Lost",
 IF(logistics_data[[#This Row],[Status]]="Returned","Returned",
 IF(logistics_data[[#This Row],[Status]]="Delayed","Delayed",
 "Delivered"))))</f>
        <v>Delivered</v>
      </c>
      <c r="M284" s="2">
        <f>logistics_data[[#This Row],[Cost]]/logistics_data[[#This Row],[Distance_miles]]</f>
        <v>0.12946569178852643</v>
      </c>
      <c r="N284" t="str">
        <f>IF(logistics_data[[#This Row],[Orginal staus of shipment]]&lt;&gt;"Delivered","not applicabel", IF(logistics_data[[#This Row],[Transit_Days]]&gt;=5,"slow","fast"))</f>
        <v>fast</v>
      </c>
    </row>
    <row r="285" spans="1:14" x14ac:dyDescent="0.3">
      <c r="A285" t="s">
        <v>331</v>
      </c>
      <c r="B285" t="s">
        <v>35</v>
      </c>
      <c r="C285" t="s">
        <v>46</v>
      </c>
      <c r="D285" t="s">
        <v>32</v>
      </c>
      <c r="E285" s="1">
        <v>45236</v>
      </c>
      <c r="F285" s="1">
        <v>45242</v>
      </c>
      <c r="G285">
        <v>29.5</v>
      </c>
      <c r="H285">
        <v>194.07</v>
      </c>
      <c r="I285" t="s">
        <v>15</v>
      </c>
      <c r="J285">
        <v>1041</v>
      </c>
      <c r="K285">
        <v>6</v>
      </c>
      <c r="L285" t="str">
        <f>IF(logistics_data[[#This Row],[Delivery_Date]]="","In Transit",
 IF(logistics_data[[#This Row],[Status]]="Lost","Lost",
 IF(logistics_data[[#This Row],[Status]]="Returned","Returned",
 IF(logistics_data[[#This Row],[Status]]="Delayed","Delayed",
 "Delivered"))))</f>
        <v>Delivered</v>
      </c>
      <c r="M285" s="2">
        <f>logistics_data[[#This Row],[Cost]]/logistics_data[[#This Row],[Distance_miles]]</f>
        <v>0.18642651296829971</v>
      </c>
      <c r="N285" t="str">
        <f>IF(logistics_data[[#This Row],[Orginal staus of shipment]]&lt;&gt;"Delivered","not applicabel", IF(logistics_data[[#This Row],[Transit_Days]]&gt;=5,"slow","fast"))</f>
        <v>slow</v>
      </c>
    </row>
    <row r="286" spans="1:14" x14ac:dyDescent="0.3">
      <c r="A286" t="s">
        <v>332</v>
      </c>
      <c r="B286" t="s">
        <v>30</v>
      </c>
      <c r="C286" t="s">
        <v>70</v>
      </c>
      <c r="D286" t="s">
        <v>59</v>
      </c>
      <c r="E286" s="1">
        <v>45182</v>
      </c>
      <c r="F286" s="1">
        <v>45152</v>
      </c>
      <c r="G286">
        <v>8</v>
      </c>
      <c r="H286">
        <v>92.47</v>
      </c>
      <c r="I286" t="s">
        <v>15</v>
      </c>
      <c r="J286">
        <v>676</v>
      </c>
      <c r="K286">
        <v>5</v>
      </c>
      <c r="L286" t="str">
        <f>IF(logistics_data[[#This Row],[Delivery_Date]]="","In Transit",
 IF(logistics_data[[#This Row],[Status]]="Lost","Lost",
 IF(logistics_data[[#This Row],[Status]]="Returned","Returned",
 IF(logistics_data[[#This Row],[Status]]="Delayed","Delayed",
 "Delivered"))))</f>
        <v>Delivered</v>
      </c>
      <c r="M286" s="2">
        <f>logistics_data[[#This Row],[Cost]]/logistics_data[[#This Row],[Distance_miles]]</f>
        <v>0.13678994082840237</v>
      </c>
      <c r="N286" t="str">
        <f>IF(logistics_data[[#This Row],[Orginal staus of shipment]]&lt;&gt;"Delivered","not applicabel", IF(logistics_data[[#This Row],[Transit_Days]]&gt;=5,"slow","fast"))</f>
        <v>slow</v>
      </c>
    </row>
    <row r="287" spans="1:14" x14ac:dyDescent="0.3">
      <c r="A287" t="s">
        <v>333</v>
      </c>
      <c r="B287" t="s">
        <v>27</v>
      </c>
      <c r="C287" t="s">
        <v>54</v>
      </c>
      <c r="D287" t="s">
        <v>59</v>
      </c>
      <c r="E287" s="1">
        <v>45020</v>
      </c>
      <c r="F287" s="1">
        <v>45021</v>
      </c>
      <c r="G287">
        <v>9.9</v>
      </c>
      <c r="H287">
        <v>62.2</v>
      </c>
      <c r="I287" t="s">
        <v>15</v>
      </c>
      <c r="J287">
        <v>448</v>
      </c>
      <c r="K287">
        <v>1</v>
      </c>
      <c r="L287" t="str">
        <f>IF(logistics_data[[#This Row],[Delivery_Date]]="","In Transit",
 IF(logistics_data[[#This Row],[Status]]="Lost","Lost",
 IF(logistics_data[[#This Row],[Status]]="Returned","Returned",
 IF(logistics_data[[#This Row],[Status]]="Delayed","Delayed",
 "Delivered"))))</f>
        <v>Delivered</v>
      </c>
      <c r="M287" s="2">
        <f>logistics_data[[#This Row],[Cost]]/logistics_data[[#This Row],[Distance_miles]]</f>
        <v>0.13883928571428572</v>
      </c>
      <c r="N287" t="str">
        <f>IF(logistics_data[[#This Row],[Orginal staus of shipment]]&lt;&gt;"Delivered","not applicabel", IF(logistics_data[[#This Row],[Transit_Days]]&gt;=5,"slow","fast"))</f>
        <v>fast</v>
      </c>
    </row>
    <row r="288" spans="1:14" x14ac:dyDescent="0.3">
      <c r="A288" t="s">
        <v>334</v>
      </c>
      <c r="B288" t="s">
        <v>51</v>
      </c>
      <c r="C288" t="s">
        <v>31</v>
      </c>
      <c r="D288" t="s">
        <v>18</v>
      </c>
      <c r="E288" s="1">
        <v>44971</v>
      </c>
      <c r="F288" s="1">
        <v>44976</v>
      </c>
      <c r="G288">
        <v>27.2</v>
      </c>
      <c r="H288">
        <v>334.23</v>
      </c>
      <c r="I288" t="s">
        <v>15</v>
      </c>
      <c r="J288">
        <v>2033</v>
      </c>
      <c r="K288">
        <v>5</v>
      </c>
      <c r="L288" t="str">
        <f>IF(logistics_data[[#This Row],[Delivery_Date]]="","In Transit",
 IF(logistics_data[[#This Row],[Status]]="Lost","Lost",
 IF(logistics_data[[#This Row],[Status]]="Returned","Returned",
 IF(logistics_data[[#This Row],[Status]]="Delayed","Delayed",
 "Delivered"))))</f>
        <v>Delivered</v>
      </c>
      <c r="M288" s="2">
        <f>logistics_data[[#This Row],[Cost]]/logistics_data[[#This Row],[Distance_miles]]</f>
        <v>0.1644023610427939</v>
      </c>
      <c r="N288" t="str">
        <f>IF(logistics_data[[#This Row],[Orginal staus of shipment]]&lt;&gt;"Delivered","not applicabel", IF(logistics_data[[#This Row],[Transit_Days]]&gt;=5,"slow","fast"))</f>
        <v>slow</v>
      </c>
    </row>
    <row r="289" spans="1:14" x14ac:dyDescent="0.3">
      <c r="A289" t="s">
        <v>335</v>
      </c>
      <c r="B289" t="s">
        <v>56</v>
      </c>
      <c r="C289" t="s">
        <v>57</v>
      </c>
      <c r="D289" t="s">
        <v>18</v>
      </c>
      <c r="E289" s="1">
        <v>45188</v>
      </c>
      <c r="F289" s="1">
        <v>45192</v>
      </c>
      <c r="G289">
        <v>75.900000000000006</v>
      </c>
      <c r="H289">
        <v>251.01</v>
      </c>
      <c r="I289" t="s">
        <v>15</v>
      </c>
      <c r="J289">
        <v>939</v>
      </c>
      <c r="K289">
        <v>4</v>
      </c>
      <c r="L289" t="str">
        <f>IF(logistics_data[[#This Row],[Delivery_Date]]="","In Transit",
 IF(logistics_data[[#This Row],[Status]]="Lost","Lost",
 IF(logistics_data[[#This Row],[Status]]="Returned","Returned",
 IF(logistics_data[[#This Row],[Status]]="Delayed","Delayed",
 "Delivered"))))</f>
        <v>Delivered</v>
      </c>
      <c r="M289" s="2">
        <f>logistics_data[[#This Row],[Cost]]/logistics_data[[#This Row],[Distance_miles]]</f>
        <v>0.26731629392971246</v>
      </c>
      <c r="N289" t="str">
        <f>IF(logistics_data[[#This Row],[Orginal staus of shipment]]&lt;&gt;"Delivered","not applicabel", IF(logistics_data[[#This Row],[Transit_Days]]&gt;=5,"slow","fast"))</f>
        <v>fast</v>
      </c>
    </row>
    <row r="290" spans="1:14" x14ac:dyDescent="0.3">
      <c r="A290" t="s">
        <v>336</v>
      </c>
      <c r="B290" t="s">
        <v>56</v>
      </c>
      <c r="C290" t="s">
        <v>40</v>
      </c>
      <c r="D290" t="s">
        <v>14</v>
      </c>
      <c r="E290" s="1">
        <v>45091</v>
      </c>
      <c r="F290" s="1">
        <v>45093</v>
      </c>
      <c r="G290">
        <v>24.5</v>
      </c>
      <c r="H290">
        <v>142.72999999999999</v>
      </c>
      <c r="I290" t="s">
        <v>15</v>
      </c>
      <c r="J290">
        <v>926</v>
      </c>
      <c r="K290">
        <v>2</v>
      </c>
      <c r="L290" t="str">
        <f>IF(logistics_data[[#This Row],[Delivery_Date]]="","In Transit",
 IF(logistics_data[[#This Row],[Status]]="Lost","Lost",
 IF(logistics_data[[#This Row],[Status]]="Returned","Returned",
 IF(logistics_data[[#This Row],[Status]]="Delayed","Delayed",
 "Delivered"))))</f>
        <v>Delivered</v>
      </c>
      <c r="M290" s="2">
        <f>logistics_data[[#This Row],[Cost]]/logistics_data[[#This Row],[Distance_miles]]</f>
        <v>0.15413606911447084</v>
      </c>
      <c r="N290" t="str">
        <f>IF(logistics_data[[#This Row],[Orginal staus of shipment]]&lt;&gt;"Delivered","not applicabel", IF(logistics_data[[#This Row],[Transit_Days]]&gt;=5,"slow","fast"))</f>
        <v>fast</v>
      </c>
    </row>
    <row r="291" spans="1:14" x14ac:dyDescent="0.3">
      <c r="A291" t="s">
        <v>337</v>
      </c>
      <c r="B291" t="s">
        <v>39</v>
      </c>
      <c r="C291" t="s">
        <v>70</v>
      </c>
      <c r="D291" t="s">
        <v>25</v>
      </c>
      <c r="E291" s="1">
        <v>45126</v>
      </c>
      <c r="F291" s="1">
        <v>45132</v>
      </c>
      <c r="G291">
        <v>38.5</v>
      </c>
      <c r="H291">
        <v>330.97</v>
      </c>
      <c r="I291" t="s">
        <v>15</v>
      </c>
      <c r="J291">
        <v>2444</v>
      </c>
      <c r="K291">
        <v>6</v>
      </c>
      <c r="L291" t="str">
        <f>IF(logistics_data[[#This Row],[Delivery_Date]]="","In Transit",
 IF(logistics_data[[#This Row],[Status]]="Lost","Lost",
 IF(logistics_data[[#This Row],[Status]]="Returned","Returned",
 IF(logistics_data[[#This Row],[Status]]="Delayed","Delayed",
 "Delivered"))))</f>
        <v>Delivered</v>
      </c>
      <c r="M291" s="2">
        <f>logistics_data[[#This Row],[Cost]]/logistics_data[[#This Row],[Distance_miles]]</f>
        <v>0.13542144026186581</v>
      </c>
      <c r="N291" t="str">
        <f>IF(logistics_data[[#This Row],[Orginal staus of shipment]]&lt;&gt;"Delivered","not applicabel", IF(logistics_data[[#This Row],[Transit_Days]]&gt;=5,"slow","fast"))</f>
        <v>slow</v>
      </c>
    </row>
    <row r="292" spans="1:14" x14ac:dyDescent="0.3">
      <c r="A292" t="s">
        <v>338</v>
      </c>
      <c r="B292" t="s">
        <v>20</v>
      </c>
      <c r="C292" t="s">
        <v>28</v>
      </c>
      <c r="D292" t="s">
        <v>25</v>
      </c>
      <c r="E292" s="1">
        <v>45239</v>
      </c>
      <c r="F292" s="1">
        <v>45243</v>
      </c>
      <c r="G292">
        <v>10.6</v>
      </c>
      <c r="H292">
        <v>235.34</v>
      </c>
      <c r="I292" t="s">
        <v>15</v>
      </c>
      <c r="J292">
        <v>1435</v>
      </c>
      <c r="K292">
        <v>4</v>
      </c>
      <c r="L292" t="str">
        <f>IF(logistics_data[[#This Row],[Delivery_Date]]="","In Transit",
 IF(logistics_data[[#This Row],[Status]]="Lost","Lost",
 IF(logistics_data[[#This Row],[Status]]="Returned","Returned",
 IF(logistics_data[[#This Row],[Status]]="Delayed","Delayed",
 "Delivered"))))</f>
        <v>Delivered</v>
      </c>
      <c r="M292" s="2">
        <f>logistics_data[[#This Row],[Cost]]/logistics_data[[#This Row],[Distance_miles]]</f>
        <v>0.16400000000000001</v>
      </c>
      <c r="N292" t="str">
        <f>IF(logistics_data[[#This Row],[Orginal staus of shipment]]&lt;&gt;"Delivered","not applicabel", IF(logistics_data[[#This Row],[Transit_Days]]&gt;=5,"slow","fast"))</f>
        <v>fast</v>
      </c>
    </row>
    <row r="293" spans="1:14" x14ac:dyDescent="0.3">
      <c r="A293" t="s">
        <v>339</v>
      </c>
      <c r="B293" t="s">
        <v>39</v>
      </c>
      <c r="C293" t="s">
        <v>40</v>
      </c>
      <c r="D293" t="s">
        <v>37</v>
      </c>
      <c r="E293" s="1">
        <v>44992</v>
      </c>
      <c r="F293" s="1">
        <v>44997</v>
      </c>
      <c r="G293">
        <v>10.1</v>
      </c>
      <c r="H293">
        <v>231.81</v>
      </c>
      <c r="I293" t="s">
        <v>60</v>
      </c>
      <c r="J293">
        <v>1875</v>
      </c>
      <c r="K293">
        <v>5</v>
      </c>
      <c r="L293" t="str">
        <f>IF(logistics_data[[#This Row],[Delivery_Date]]="","In Transit",
 IF(logistics_data[[#This Row],[Status]]="Lost","Lost",
 IF(logistics_data[[#This Row],[Status]]="Returned","Returned",
 IF(logistics_data[[#This Row],[Status]]="Delayed","Delayed",
 "Delivered"))))</f>
        <v>Lost</v>
      </c>
      <c r="M293" s="2">
        <f>logistics_data[[#This Row],[Cost]]/logistics_data[[#This Row],[Distance_miles]]</f>
        <v>0.12363200000000001</v>
      </c>
      <c r="N293" t="str">
        <f>IF(logistics_data[[#This Row],[Orginal staus of shipment]]&lt;&gt;"Delivered","not applicabel", IF(logistics_data[[#This Row],[Transit_Days]]&gt;=5,"slow","fast"))</f>
        <v>not applicabel</v>
      </c>
    </row>
    <row r="294" spans="1:14" x14ac:dyDescent="0.3">
      <c r="A294" t="s">
        <v>340</v>
      </c>
      <c r="B294" t="s">
        <v>20</v>
      </c>
      <c r="C294" t="s">
        <v>31</v>
      </c>
      <c r="D294" t="s">
        <v>32</v>
      </c>
      <c r="E294" s="1">
        <v>45074</v>
      </c>
      <c r="F294" s="1">
        <v>45079</v>
      </c>
      <c r="G294">
        <v>18.399999999999999</v>
      </c>
      <c r="H294">
        <v>302.47000000000003</v>
      </c>
      <c r="I294" t="s">
        <v>15</v>
      </c>
      <c r="J294">
        <v>2280</v>
      </c>
      <c r="K294">
        <v>5</v>
      </c>
      <c r="L294" t="str">
        <f>IF(logistics_data[[#This Row],[Delivery_Date]]="","In Transit",
 IF(logistics_data[[#This Row],[Status]]="Lost","Lost",
 IF(logistics_data[[#This Row],[Status]]="Returned","Returned",
 IF(logistics_data[[#This Row],[Status]]="Delayed","Delayed",
 "Delivered"))))</f>
        <v>Delivered</v>
      </c>
      <c r="M294" s="2">
        <f>logistics_data[[#This Row],[Cost]]/logistics_data[[#This Row],[Distance_miles]]</f>
        <v>0.1326622807017544</v>
      </c>
      <c r="N294" t="str">
        <f>IF(logistics_data[[#This Row],[Orginal staus of shipment]]&lt;&gt;"Delivered","not applicabel", IF(logistics_data[[#This Row],[Transit_Days]]&gt;=5,"slow","fast"))</f>
        <v>slow</v>
      </c>
    </row>
    <row r="295" spans="1:14" x14ac:dyDescent="0.3">
      <c r="A295" t="s">
        <v>341</v>
      </c>
      <c r="B295" t="s">
        <v>12</v>
      </c>
      <c r="C295" t="s">
        <v>52</v>
      </c>
      <c r="D295" t="s">
        <v>18</v>
      </c>
      <c r="E295" s="1">
        <v>45246</v>
      </c>
      <c r="F295" s="1">
        <v>45250</v>
      </c>
      <c r="G295">
        <v>16.7</v>
      </c>
      <c r="H295">
        <v>341.36</v>
      </c>
      <c r="I295" t="s">
        <v>15</v>
      </c>
      <c r="J295">
        <v>1808</v>
      </c>
      <c r="K295">
        <v>4</v>
      </c>
      <c r="L295" t="str">
        <f>IF(logistics_data[[#This Row],[Delivery_Date]]="","In Transit",
 IF(logistics_data[[#This Row],[Status]]="Lost","Lost",
 IF(logistics_data[[#This Row],[Status]]="Returned","Returned",
 IF(logistics_data[[#This Row],[Status]]="Delayed","Delayed",
 "Delivered"))))</f>
        <v>Delivered</v>
      </c>
      <c r="M295" s="2">
        <f>logistics_data[[#This Row],[Cost]]/logistics_data[[#This Row],[Distance_miles]]</f>
        <v>0.18880530973451329</v>
      </c>
      <c r="N295" t="str">
        <f>IF(logistics_data[[#This Row],[Orginal staus of shipment]]&lt;&gt;"Delivered","not applicabel", IF(logistics_data[[#This Row],[Transit_Days]]&gt;=5,"slow","fast"))</f>
        <v>fast</v>
      </c>
    </row>
    <row r="296" spans="1:14" x14ac:dyDescent="0.3">
      <c r="A296" t="s">
        <v>342</v>
      </c>
      <c r="B296" t="s">
        <v>56</v>
      </c>
      <c r="C296" t="s">
        <v>17</v>
      </c>
      <c r="D296" t="s">
        <v>14</v>
      </c>
      <c r="E296" s="1">
        <v>45076</v>
      </c>
      <c r="F296" s="1">
        <v>45081</v>
      </c>
      <c r="G296">
        <v>4.0999999999999996</v>
      </c>
      <c r="H296">
        <v>237.12</v>
      </c>
      <c r="I296" t="s">
        <v>15</v>
      </c>
      <c r="J296">
        <v>1790</v>
      </c>
      <c r="K296">
        <v>5</v>
      </c>
      <c r="L296" t="str">
        <f>IF(logistics_data[[#This Row],[Delivery_Date]]="","In Transit",
 IF(logistics_data[[#This Row],[Status]]="Lost","Lost",
 IF(logistics_data[[#This Row],[Status]]="Returned","Returned",
 IF(logistics_data[[#This Row],[Status]]="Delayed","Delayed",
 "Delivered"))))</f>
        <v>Delivered</v>
      </c>
      <c r="M296" s="2">
        <f>logistics_data[[#This Row],[Cost]]/logistics_data[[#This Row],[Distance_miles]]</f>
        <v>0.13246927374301676</v>
      </c>
      <c r="N296" t="str">
        <f>IF(logistics_data[[#This Row],[Orginal staus of shipment]]&lt;&gt;"Delivered","not applicabel", IF(logistics_data[[#This Row],[Transit_Days]]&gt;=5,"slow","fast"))</f>
        <v>slow</v>
      </c>
    </row>
    <row r="297" spans="1:14" x14ac:dyDescent="0.3">
      <c r="A297" t="s">
        <v>343</v>
      </c>
      <c r="B297" t="s">
        <v>12</v>
      </c>
      <c r="C297" t="s">
        <v>31</v>
      </c>
      <c r="D297" t="s">
        <v>25</v>
      </c>
      <c r="E297" s="1">
        <v>45038</v>
      </c>
      <c r="F297" s="1">
        <v>45042</v>
      </c>
      <c r="G297">
        <v>5.2</v>
      </c>
      <c r="H297">
        <v>127.1</v>
      </c>
      <c r="I297" t="s">
        <v>15</v>
      </c>
      <c r="J297">
        <v>1049</v>
      </c>
      <c r="K297">
        <v>4</v>
      </c>
      <c r="L297" t="str">
        <f>IF(logistics_data[[#This Row],[Delivery_Date]]="","In Transit",
 IF(logistics_data[[#This Row],[Status]]="Lost","Lost",
 IF(logistics_data[[#This Row],[Status]]="Returned","Returned",
 IF(logistics_data[[#This Row],[Status]]="Delayed","Delayed",
 "Delivered"))))</f>
        <v>Delivered</v>
      </c>
      <c r="M297" s="2">
        <f>logistics_data[[#This Row],[Cost]]/logistics_data[[#This Row],[Distance_miles]]</f>
        <v>0.121163012392755</v>
      </c>
      <c r="N297" t="str">
        <f>IF(logistics_data[[#This Row],[Orginal staus of shipment]]&lt;&gt;"Delivered","not applicabel", IF(logistics_data[[#This Row],[Transit_Days]]&gt;=5,"slow","fast"))</f>
        <v>fast</v>
      </c>
    </row>
    <row r="298" spans="1:14" x14ac:dyDescent="0.3">
      <c r="A298" t="s">
        <v>344</v>
      </c>
      <c r="B298" t="s">
        <v>49</v>
      </c>
      <c r="C298" t="s">
        <v>46</v>
      </c>
      <c r="D298" t="s">
        <v>42</v>
      </c>
      <c r="E298" s="1">
        <v>44990</v>
      </c>
      <c r="F298" s="1">
        <v>45003</v>
      </c>
      <c r="G298">
        <v>23.7</v>
      </c>
      <c r="H298">
        <v>82.89</v>
      </c>
      <c r="I298" t="s">
        <v>47</v>
      </c>
      <c r="J298">
        <v>461</v>
      </c>
      <c r="K298">
        <v>6</v>
      </c>
      <c r="L298" t="str">
        <f>IF(logistics_data[[#This Row],[Delivery_Date]]="","In Transit",
 IF(logistics_data[[#This Row],[Status]]="Lost","Lost",
 IF(logistics_data[[#This Row],[Status]]="Returned","Returned",
 IF(logistics_data[[#This Row],[Status]]="Delayed","Delayed",
 "Delivered"))))</f>
        <v>Delayed</v>
      </c>
      <c r="M298" s="2">
        <f>logistics_data[[#This Row],[Cost]]/logistics_data[[#This Row],[Distance_miles]]</f>
        <v>0.17980477223427332</v>
      </c>
      <c r="N298" t="str">
        <f>IF(logistics_data[[#This Row],[Orginal staus of shipment]]&lt;&gt;"Delivered","not applicabel", IF(logistics_data[[#This Row],[Transit_Days]]&gt;=5,"slow","fast"))</f>
        <v>not applicabel</v>
      </c>
    </row>
    <row r="299" spans="1:14" x14ac:dyDescent="0.3">
      <c r="A299" t="s">
        <v>345</v>
      </c>
      <c r="B299" t="s">
        <v>39</v>
      </c>
      <c r="C299" t="s">
        <v>36</v>
      </c>
      <c r="D299" t="s">
        <v>32</v>
      </c>
      <c r="E299" s="1">
        <v>45135</v>
      </c>
      <c r="F299" s="1">
        <v>45140</v>
      </c>
      <c r="G299">
        <v>21.8</v>
      </c>
      <c r="H299">
        <v>204.43</v>
      </c>
      <c r="I299" t="s">
        <v>15</v>
      </c>
      <c r="J299">
        <v>1218</v>
      </c>
      <c r="K299">
        <v>5</v>
      </c>
      <c r="L299" t="str">
        <f>IF(logistics_data[[#This Row],[Delivery_Date]]="","In Transit",
 IF(logistics_data[[#This Row],[Status]]="Lost","Lost",
 IF(logistics_data[[#This Row],[Status]]="Returned","Returned",
 IF(logistics_data[[#This Row],[Status]]="Delayed","Delayed",
 "Delivered"))))</f>
        <v>Delivered</v>
      </c>
      <c r="M299" s="2">
        <f>logistics_data[[#This Row],[Cost]]/logistics_data[[#This Row],[Distance_miles]]</f>
        <v>0.16784072249589491</v>
      </c>
      <c r="N299" t="str">
        <f>IF(logistics_data[[#This Row],[Orginal staus of shipment]]&lt;&gt;"Delivered","not applicabel", IF(logistics_data[[#This Row],[Transit_Days]]&gt;=5,"slow","fast"))</f>
        <v>slow</v>
      </c>
    </row>
    <row r="300" spans="1:14" x14ac:dyDescent="0.3">
      <c r="A300" t="s">
        <v>346</v>
      </c>
      <c r="B300" t="s">
        <v>20</v>
      </c>
      <c r="C300" t="s">
        <v>70</v>
      </c>
      <c r="D300" t="s">
        <v>59</v>
      </c>
      <c r="E300" s="1">
        <v>45070</v>
      </c>
      <c r="F300" s="1">
        <v>45076</v>
      </c>
      <c r="G300">
        <v>20</v>
      </c>
      <c r="H300">
        <v>255.06</v>
      </c>
      <c r="I300" t="s">
        <v>15</v>
      </c>
      <c r="J300">
        <v>2144</v>
      </c>
      <c r="K300">
        <v>6</v>
      </c>
      <c r="L300" t="str">
        <f>IF(logistics_data[[#This Row],[Delivery_Date]]="","In Transit",
 IF(logistics_data[[#This Row],[Status]]="Lost","Lost",
 IF(logistics_data[[#This Row],[Status]]="Returned","Returned",
 IF(logistics_data[[#This Row],[Status]]="Delayed","Delayed",
 "Delivered"))))</f>
        <v>Delivered</v>
      </c>
      <c r="M300" s="2">
        <f>logistics_data[[#This Row],[Cost]]/logistics_data[[#This Row],[Distance_miles]]</f>
        <v>0.11896455223880598</v>
      </c>
      <c r="N300" t="str">
        <f>IF(logistics_data[[#This Row],[Orginal staus of shipment]]&lt;&gt;"Delivered","not applicabel", IF(logistics_data[[#This Row],[Transit_Days]]&gt;=5,"slow","fast"))</f>
        <v>slow</v>
      </c>
    </row>
    <row r="301" spans="1:14" x14ac:dyDescent="0.3">
      <c r="A301" t="s">
        <v>347</v>
      </c>
      <c r="B301" t="s">
        <v>49</v>
      </c>
      <c r="C301" t="s">
        <v>46</v>
      </c>
      <c r="D301" t="s">
        <v>42</v>
      </c>
      <c r="E301" s="1">
        <v>45250</v>
      </c>
      <c r="F301" s="1">
        <v>45254</v>
      </c>
      <c r="G301">
        <v>12.7</v>
      </c>
      <c r="H301">
        <v>261.22000000000003</v>
      </c>
      <c r="I301" t="s">
        <v>15</v>
      </c>
      <c r="J301">
        <v>1547</v>
      </c>
      <c r="K301">
        <v>4</v>
      </c>
      <c r="L301" t="str">
        <f>IF(logistics_data[[#This Row],[Delivery_Date]]="","In Transit",
 IF(logistics_data[[#This Row],[Status]]="Lost","Lost",
 IF(logistics_data[[#This Row],[Status]]="Returned","Returned",
 IF(logistics_data[[#This Row],[Status]]="Delayed","Delayed",
 "Delivered"))))</f>
        <v>Delivered</v>
      </c>
      <c r="M301" s="2">
        <f>logistics_data[[#This Row],[Cost]]/logistics_data[[#This Row],[Distance_miles]]</f>
        <v>0.16885585003232065</v>
      </c>
      <c r="N301" t="str">
        <f>IF(logistics_data[[#This Row],[Orginal staus of shipment]]&lt;&gt;"Delivered","not applicabel", IF(logistics_data[[#This Row],[Transit_Days]]&gt;=5,"slow","fast"))</f>
        <v>fast</v>
      </c>
    </row>
    <row r="302" spans="1:14" x14ac:dyDescent="0.3">
      <c r="A302" t="s">
        <v>348</v>
      </c>
      <c r="B302" t="s">
        <v>39</v>
      </c>
      <c r="C302" t="s">
        <v>28</v>
      </c>
      <c r="D302" t="s">
        <v>18</v>
      </c>
      <c r="E302" s="1">
        <v>45106</v>
      </c>
      <c r="F302" s="1">
        <v>45108</v>
      </c>
      <c r="G302">
        <v>22.8</v>
      </c>
      <c r="H302">
        <v>76.069999999999993</v>
      </c>
      <c r="I302" t="s">
        <v>15</v>
      </c>
      <c r="J302">
        <v>370</v>
      </c>
      <c r="K302">
        <v>2</v>
      </c>
      <c r="L302" t="str">
        <f>IF(logistics_data[[#This Row],[Delivery_Date]]="","In Transit",
 IF(logistics_data[[#This Row],[Status]]="Lost","Lost",
 IF(logistics_data[[#This Row],[Status]]="Returned","Returned",
 IF(logistics_data[[#This Row],[Status]]="Delayed","Delayed",
 "Delivered"))))</f>
        <v>Delivered</v>
      </c>
      <c r="M302" s="2">
        <f>logistics_data[[#This Row],[Cost]]/logistics_data[[#This Row],[Distance_miles]]</f>
        <v>0.20559459459459459</v>
      </c>
      <c r="N302" t="str">
        <f>IF(logistics_data[[#This Row],[Orginal staus of shipment]]&lt;&gt;"Delivered","not applicabel", IF(logistics_data[[#This Row],[Transit_Days]]&gt;=5,"slow","fast"))</f>
        <v>fast</v>
      </c>
    </row>
    <row r="303" spans="1:14" x14ac:dyDescent="0.3">
      <c r="A303" t="s">
        <v>349</v>
      </c>
      <c r="B303" t="s">
        <v>49</v>
      </c>
      <c r="C303" t="s">
        <v>46</v>
      </c>
      <c r="D303" t="s">
        <v>18</v>
      </c>
      <c r="E303" s="1">
        <v>45098</v>
      </c>
      <c r="F303" s="1">
        <v>45107</v>
      </c>
      <c r="G303">
        <v>12.6</v>
      </c>
      <c r="H303">
        <v>332.46</v>
      </c>
      <c r="I303" t="s">
        <v>15</v>
      </c>
      <c r="J303">
        <v>2400</v>
      </c>
      <c r="K303">
        <v>9</v>
      </c>
      <c r="L303" t="str">
        <f>IF(logistics_data[[#This Row],[Delivery_Date]]="","In Transit",
 IF(logistics_data[[#This Row],[Status]]="Lost","Lost",
 IF(logistics_data[[#This Row],[Status]]="Returned","Returned",
 IF(logistics_data[[#This Row],[Status]]="Delayed","Delayed",
 "Delivered"))))</f>
        <v>Delivered</v>
      </c>
      <c r="M303" s="2">
        <f>logistics_data[[#This Row],[Cost]]/logistics_data[[#This Row],[Distance_miles]]</f>
        <v>0.13852499999999998</v>
      </c>
      <c r="N303" t="str">
        <f>IF(logistics_data[[#This Row],[Orginal staus of shipment]]&lt;&gt;"Delivered","not applicabel", IF(logistics_data[[#This Row],[Transit_Days]]&gt;=5,"slow","fast"))</f>
        <v>slow</v>
      </c>
    </row>
    <row r="304" spans="1:14" x14ac:dyDescent="0.3">
      <c r="A304" t="s">
        <v>350</v>
      </c>
      <c r="B304" t="s">
        <v>49</v>
      </c>
      <c r="C304" t="s">
        <v>17</v>
      </c>
      <c r="D304" t="s">
        <v>14</v>
      </c>
      <c r="E304" s="1">
        <v>45185</v>
      </c>
      <c r="F304" s="1">
        <v>45189</v>
      </c>
      <c r="G304">
        <v>25</v>
      </c>
      <c r="H304">
        <v>203.15</v>
      </c>
      <c r="I304" t="s">
        <v>15</v>
      </c>
      <c r="J304">
        <v>1477</v>
      </c>
      <c r="K304">
        <v>4</v>
      </c>
      <c r="L304" t="str">
        <f>IF(logistics_data[[#This Row],[Delivery_Date]]="","In Transit",
 IF(logistics_data[[#This Row],[Status]]="Lost","Lost",
 IF(logistics_data[[#This Row],[Status]]="Returned","Returned",
 IF(logistics_data[[#This Row],[Status]]="Delayed","Delayed",
 "Delivered"))))</f>
        <v>Delivered</v>
      </c>
      <c r="M304" s="2">
        <f>logistics_data[[#This Row],[Cost]]/logistics_data[[#This Row],[Distance_miles]]</f>
        <v>0.13754231550440082</v>
      </c>
      <c r="N304" t="str">
        <f>IF(logistics_data[[#This Row],[Orginal staus of shipment]]&lt;&gt;"Delivered","not applicabel", IF(logistics_data[[#This Row],[Transit_Days]]&gt;=5,"slow","fast"))</f>
        <v>fast</v>
      </c>
    </row>
    <row r="305" spans="1:14" x14ac:dyDescent="0.3">
      <c r="A305" t="s">
        <v>351</v>
      </c>
      <c r="B305" t="s">
        <v>56</v>
      </c>
      <c r="C305" t="s">
        <v>46</v>
      </c>
      <c r="D305" t="s">
        <v>18</v>
      </c>
      <c r="E305" s="1">
        <v>45265</v>
      </c>
      <c r="F305" s="1">
        <v>45270</v>
      </c>
      <c r="G305">
        <v>30.5</v>
      </c>
      <c r="H305">
        <v>464.17</v>
      </c>
      <c r="I305" t="s">
        <v>15</v>
      </c>
      <c r="J305">
        <v>2363</v>
      </c>
      <c r="K305">
        <v>5</v>
      </c>
      <c r="L305" t="str">
        <f>IF(logistics_data[[#This Row],[Delivery_Date]]="","In Transit",
 IF(logistics_data[[#This Row],[Status]]="Lost","Lost",
 IF(logistics_data[[#This Row],[Status]]="Returned","Returned",
 IF(logistics_data[[#This Row],[Status]]="Delayed","Delayed",
 "Delivered"))))</f>
        <v>Delivered</v>
      </c>
      <c r="M305" s="2">
        <f>logistics_data[[#This Row],[Cost]]/logistics_data[[#This Row],[Distance_miles]]</f>
        <v>0.19643250105797716</v>
      </c>
      <c r="N305" t="str">
        <f>IF(logistics_data[[#This Row],[Orginal staus of shipment]]&lt;&gt;"Delivered","not applicabel", IF(logistics_data[[#This Row],[Transit_Days]]&gt;=5,"slow","fast"))</f>
        <v>slow</v>
      </c>
    </row>
    <row r="306" spans="1:14" x14ac:dyDescent="0.3">
      <c r="A306" t="s">
        <v>352</v>
      </c>
      <c r="B306" t="s">
        <v>27</v>
      </c>
      <c r="C306" t="s">
        <v>31</v>
      </c>
      <c r="D306" t="s">
        <v>37</v>
      </c>
      <c r="E306" s="1">
        <v>45266</v>
      </c>
      <c r="F306" s="1">
        <v>45271</v>
      </c>
      <c r="G306">
        <v>20.6</v>
      </c>
      <c r="H306">
        <v>246.74</v>
      </c>
      <c r="I306" t="s">
        <v>15</v>
      </c>
      <c r="J306">
        <v>1442</v>
      </c>
      <c r="K306">
        <v>5</v>
      </c>
      <c r="L306" t="str">
        <f>IF(logistics_data[[#This Row],[Delivery_Date]]="","In Transit",
 IF(logistics_data[[#This Row],[Status]]="Lost","Lost",
 IF(logistics_data[[#This Row],[Status]]="Returned","Returned",
 IF(logistics_data[[#This Row],[Status]]="Delayed","Delayed",
 "Delivered"))))</f>
        <v>Delivered</v>
      </c>
      <c r="M306" s="2">
        <f>logistics_data[[#This Row],[Cost]]/logistics_data[[#This Row],[Distance_miles]]</f>
        <v>0.17110957004160887</v>
      </c>
      <c r="N306" t="str">
        <f>IF(logistics_data[[#This Row],[Orginal staus of shipment]]&lt;&gt;"Delivered","not applicabel", IF(logistics_data[[#This Row],[Transit_Days]]&gt;=5,"slow","fast"))</f>
        <v>slow</v>
      </c>
    </row>
    <row r="307" spans="1:14" x14ac:dyDescent="0.3">
      <c r="A307" t="s">
        <v>353</v>
      </c>
      <c r="B307" t="s">
        <v>35</v>
      </c>
      <c r="C307" t="s">
        <v>81</v>
      </c>
      <c r="D307" t="s">
        <v>25</v>
      </c>
      <c r="E307" s="1">
        <v>45149</v>
      </c>
      <c r="F307" s="1">
        <v>45155</v>
      </c>
      <c r="G307">
        <v>46.9</v>
      </c>
      <c r="H307">
        <v>188.95</v>
      </c>
      <c r="I307" t="s">
        <v>47</v>
      </c>
      <c r="J307">
        <v>1000</v>
      </c>
      <c r="K307">
        <v>2</v>
      </c>
      <c r="L307" t="str">
        <f>IF(logistics_data[[#This Row],[Delivery_Date]]="","In Transit",
 IF(logistics_data[[#This Row],[Status]]="Lost","Lost",
 IF(logistics_data[[#This Row],[Status]]="Returned","Returned",
 IF(logistics_data[[#This Row],[Status]]="Delayed","Delayed",
 "Delivered"))))</f>
        <v>Delayed</v>
      </c>
      <c r="M307" s="2">
        <f>logistics_data[[#This Row],[Cost]]/logistics_data[[#This Row],[Distance_miles]]</f>
        <v>0.18894999999999998</v>
      </c>
      <c r="N307" t="str">
        <f>IF(logistics_data[[#This Row],[Orginal staus of shipment]]&lt;&gt;"Delivered","not applicabel", IF(logistics_data[[#This Row],[Transit_Days]]&gt;=5,"slow","fast"))</f>
        <v>not applicabel</v>
      </c>
    </row>
    <row r="308" spans="1:14" x14ac:dyDescent="0.3">
      <c r="A308" t="s">
        <v>354</v>
      </c>
      <c r="B308" t="s">
        <v>35</v>
      </c>
      <c r="C308" t="s">
        <v>36</v>
      </c>
      <c r="D308" t="s">
        <v>42</v>
      </c>
      <c r="E308" s="1">
        <v>44984</v>
      </c>
      <c r="F308" s="1">
        <v>44985</v>
      </c>
      <c r="G308">
        <v>30.2</v>
      </c>
      <c r="H308">
        <v>71.67</v>
      </c>
      <c r="I308" t="s">
        <v>15</v>
      </c>
      <c r="J308">
        <v>290</v>
      </c>
      <c r="K308">
        <v>1</v>
      </c>
      <c r="L308" t="str">
        <f>IF(logistics_data[[#This Row],[Delivery_Date]]="","In Transit",
 IF(logistics_data[[#This Row],[Status]]="Lost","Lost",
 IF(logistics_data[[#This Row],[Status]]="Returned","Returned",
 IF(logistics_data[[#This Row],[Status]]="Delayed","Delayed",
 "Delivered"))))</f>
        <v>Delivered</v>
      </c>
      <c r="M308" s="2">
        <f>logistics_data[[#This Row],[Cost]]/logistics_data[[#This Row],[Distance_miles]]</f>
        <v>0.24713793103448276</v>
      </c>
      <c r="N308" t="str">
        <f>IF(logistics_data[[#This Row],[Orginal staus of shipment]]&lt;&gt;"Delivered","not applicabel", IF(logistics_data[[#This Row],[Transit_Days]]&gt;=5,"slow","fast"))</f>
        <v>fast</v>
      </c>
    </row>
    <row r="309" spans="1:14" x14ac:dyDescent="0.3">
      <c r="A309" t="s">
        <v>355</v>
      </c>
      <c r="B309" t="s">
        <v>56</v>
      </c>
      <c r="C309" t="s">
        <v>57</v>
      </c>
      <c r="D309" t="s">
        <v>42</v>
      </c>
      <c r="E309" s="1">
        <v>44978</v>
      </c>
      <c r="F309" s="1">
        <v>44982</v>
      </c>
      <c r="G309">
        <v>17.2</v>
      </c>
      <c r="H309">
        <v>133.74</v>
      </c>
      <c r="I309" t="s">
        <v>15</v>
      </c>
      <c r="J309">
        <v>888</v>
      </c>
      <c r="K309">
        <v>4</v>
      </c>
      <c r="L309" t="str">
        <f>IF(logistics_data[[#This Row],[Delivery_Date]]="","In Transit",
 IF(logistics_data[[#This Row],[Status]]="Lost","Lost",
 IF(logistics_data[[#This Row],[Status]]="Returned","Returned",
 IF(logistics_data[[#This Row],[Status]]="Delayed","Delayed",
 "Delivered"))))</f>
        <v>Delivered</v>
      </c>
      <c r="M309" s="2">
        <f>logistics_data[[#This Row],[Cost]]/logistics_data[[#This Row],[Distance_miles]]</f>
        <v>0.15060810810810812</v>
      </c>
      <c r="N309" t="str">
        <f>IF(logistics_data[[#This Row],[Orginal staus of shipment]]&lt;&gt;"Delivered","not applicabel", IF(logistics_data[[#This Row],[Transit_Days]]&gt;=5,"slow","fast"))</f>
        <v>fast</v>
      </c>
    </row>
    <row r="310" spans="1:14" x14ac:dyDescent="0.3">
      <c r="A310" t="s">
        <v>356</v>
      </c>
      <c r="B310" t="s">
        <v>39</v>
      </c>
      <c r="C310" t="s">
        <v>31</v>
      </c>
      <c r="D310" t="s">
        <v>18</v>
      </c>
      <c r="E310" s="1">
        <v>45000</v>
      </c>
      <c r="F310" s="1">
        <v>45006</v>
      </c>
      <c r="G310">
        <v>14.4</v>
      </c>
      <c r="H310">
        <v>391.92</v>
      </c>
      <c r="I310" t="s">
        <v>15</v>
      </c>
      <c r="J310">
        <v>2448</v>
      </c>
      <c r="K310">
        <v>6</v>
      </c>
      <c r="L310" t="str">
        <f>IF(logistics_data[[#This Row],[Delivery_Date]]="","In Transit",
 IF(logistics_data[[#This Row],[Status]]="Lost","Lost",
 IF(logistics_data[[#This Row],[Status]]="Returned","Returned",
 IF(logistics_data[[#This Row],[Status]]="Delayed","Delayed",
 "Delivered"))))</f>
        <v>Delivered</v>
      </c>
      <c r="M310" s="2">
        <f>logistics_data[[#This Row],[Cost]]/logistics_data[[#This Row],[Distance_miles]]</f>
        <v>0.16009803921568627</v>
      </c>
      <c r="N310" t="str">
        <f>IF(logistics_data[[#This Row],[Orginal staus of shipment]]&lt;&gt;"Delivered","not applicabel", IF(logistics_data[[#This Row],[Transit_Days]]&gt;=5,"slow","fast"))</f>
        <v>slow</v>
      </c>
    </row>
    <row r="311" spans="1:14" x14ac:dyDescent="0.3">
      <c r="A311" t="s">
        <v>357</v>
      </c>
      <c r="B311" t="s">
        <v>56</v>
      </c>
      <c r="C311" t="s">
        <v>52</v>
      </c>
      <c r="D311" t="s">
        <v>37</v>
      </c>
      <c r="E311" s="1">
        <v>45240</v>
      </c>
      <c r="F311" s="1">
        <v>45252</v>
      </c>
      <c r="G311">
        <v>36.5</v>
      </c>
      <c r="H311">
        <v>109.9</v>
      </c>
      <c r="I311" t="s">
        <v>47</v>
      </c>
      <c r="J311">
        <v>385</v>
      </c>
      <c r="K311">
        <v>2</v>
      </c>
      <c r="L311" t="str">
        <f>IF(logistics_data[[#This Row],[Delivery_Date]]="","In Transit",
 IF(logistics_data[[#This Row],[Status]]="Lost","Lost",
 IF(logistics_data[[#This Row],[Status]]="Returned","Returned",
 IF(logistics_data[[#This Row],[Status]]="Delayed","Delayed",
 "Delivered"))))</f>
        <v>Delayed</v>
      </c>
      <c r="M311" s="2">
        <f>logistics_data[[#This Row],[Cost]]/logistics_data[[#This Row],[Distance_miles]]</f>
        <v>0.28545454545454546</v>
      </c>
      <c r="N311" t="str">
        <f>IF(logistics_data[[#This Row],[Orginal staus of shipment]]&lt;&gt;"Delivered","not applicabel", IF(logistics_data[[#This Row],[Transit_Days]]&gt;=5,"slow","fast"))</f>
        <v>not applicabel</v>
      </c>
    </row>
    <row r="312" spans="1:14" x14ac:dyDescent="0.3">
      <c r="A312" t="s">
        <v>358</v>
      </c>
      <c r="B312" t="s">
        <v>27</v>
      </c>
      <c r="C312" t="s">
        <v>46</v>
      </c>
      <c r="D312" t="s">
        <v>37</v>
      </c>
      <c r="E312" s="1">
        <v>45014</v>
      </c>
      <c r="F312" s="1">
        <v>45025</v>
      </c>
      <c r="G312">
        <v>17.5</v>
      </c>
      <c r="H312">
        <v>198</v>
      </c>
      <c r="I312" t="s">
        <v>47</v>
      </c>
      <c r="J312">
        <v>1539</v>
      </c>
      <c r="K312">
        <v>4</v>
      </c>
      <c r="L312" t="str">
        <f>IF(logistics_data[[#This Row],[Delivery_Date]]="","In Transit",
 IF(logistics_data[[#This Row],[Status]]="Lost","Lost",
 IF(logistics_data[[#This Row],[Status]]="Returned","Returned",
 IF(logistics_data[[#This Row],[Status]]="Delayed","Delayed",
 "Delivered"))))</f>
        <v>Delayed</v>
      </c>
      <c r="M312" s="2">
        <f>logistics_data[[#This Row],[Cost]]/logistics_data[[#This Row],[Distance_miles]]</f>
        <v>0.12865497076023391</v>
      </c>
      <c r="N312" t="str">
        <f>IF(logistics_data[[#This Row],[Orginal staus of shipment]]&lt;&gt;"Delivered","not applicabel", IF(logistics_data[[#This Row],[Transit_Days]]&gt;=5,"slow","fast"))</f>
        <v>not applicabel</v>
      </c>
    </row>
    <row r="313" spans="1:14" x14ac:dyDescent="0.3">
      <c r="A313" t="s">
        <v>359</v>
      </c>
      <c r="B313" t="s">
        <v>20</v>
      </c>
      <c r="C313" t="s">
        <v>28</v>
      </c>
      <c r="D313" t="s">
        <v>42</v>
      </c>
      <c r="E313" s="1">
        <v>45128</v>
      </c>
      <c r="F313" s="1">
        <v>45134</v>
      </c>
      <c r="G313">
        <v>60.6</v>
      </c>
      <c r="H313">
        <v>242.49</v>
      </c>
      <c r="I313" t="s">
        <v>15</v>
      </c>
      <c r="J313">
        <v>1435</v>
      </c>
      <c r="K313">
        <v>6</v>
      </c>
      <c r="L313" t="str">
        <f>IF(logistics_data[[#This Row],[Delivery_Date]]="","In Transit",
 IF(logistics_data[[#This Row],[Status]]="Lost","Lost",
 IF(logistics_data[[#This Row],[Status]]="Returned","Returned",
 IF(logistics_data[[#This Row],[Status]]="Delayed","Delayed",
 "Delivered"))))</f>
        <v>Delivered</v>
      </c>
      <c r="M313" s="2">
        <f>logistics_data[[#This Row],[Cost]]/logistics_data[[#This Row],[Distance_miles]]</f>
        <v>0.16898257839721256</v>
      </c>
      <c r="N313" t="str">
        <f>IF(logistics_data[[#This Row],[Orginal staus of shipment]]&lt;&gt;"Delivered","not applicabel", IF(logistics_data[[#This Row],[Transit_Days]]&gt;=5,"slow","fast"))</f>
        <v>slow</v>
      </c>
    </row>
    <row r="314" spans="1:14" x14ac:dyDescent="0.3">
      <c r="A314" t="s">
        <v>360</v>
      </c>
      <c r="B314" t="s">
        <v>30</v>
      </c>
      <c r="C314" t="s">
        <v>57</v>
      </c>
      <c r="D314" t="s">
        <v>37</v>
      </c>
      <c r="E314" s="1">
        <v>45099</v>
      </c>
      <c r="F314" s="1">
        <v>45104</v>
      </c>
      <c r="G314">
        <v>8.3000000000000007</v>
      </c>
      <c r="H314">
        <v>208.92</v>
      </c>
      <c r="I314" t="s">
        <v>15</v>
      </c>
      <c r="J314">
        <v>1713</v>
      </c>
      <c r="K314">
        <v>5</v>
      </c>
      <c r="L314" t="str">
        <f>IF(logistics_data[[#This Row],[Delivery_Date]]="","In Transit",
 IF(logistics_data[[#This Row],[Status]]="Lost","Lost",
 IF(logistics_data[[#This Row],[Status]]="Returned","Returned",
 IF(logistics_data[[#This Row],[Status]]="Delayed","Delayed",
 "Delivered"))))</f>
        <v>Delivered</v>
      </c>
      <c r="M314" s="2">
        <f>logistics_data[[#This Row],[Cost]]/logistics_data[[#This Row],[Distance_miles]]</f>
        <v>0.12196147110332749</v>
      </c>
      <c r="N314" t="str">
        <f>IF(logistics_data[[#This Row],[Orginal staus of shipment]]&lt;&gt;"Delivered","not applicabel", IF(logistics_data[[#This Row],[Transit_Days]]&gt;=5,"slow","fast"))</f>
        <v>slow</v>
      </c>
    </row>
    <row r="315" spans="1:14" x14ac:dyDescent="0.3">
      <c r="A315" t="s">
        <v>361</v>
      </c>
      <c r="B315" t="s">
        <v>30</v>
      </c>
      <c r="C315" t="s">
        <v>24</v>
      </c>
      <c r="D315" t="s">
        <v>37</v>
      </c>
      <c r="E315" s="1">
        <v>45279</v>
      </c>
      <c r="F315" s="1">
        <v>45281</v>
      </c>
      <c r="G315">
        <v>20.399999999999999</v>
      </c>
      <c r="H315">
        <v>44.83</v>
      </c>
      <c r="I315" t="s">
        <v>60</v>
      </c>
      <c r="J315">
        <v>135</v>
      </c>
      <c r="K315">
        <v>2</v>
      </c>
      <c r="L315" t="str">
        <f>IF(logistics_data[[#This Row],[Delivery_Date]]="","In Transit",
 IF(logistics_data[[#This Row],[Status]]="Lost","Lost",
 IF(logistics_data[[#This Row],[Status]]="Returned","Returned",
 IF(logistics_data[[#This Row],[Status]]="Delayed","Delayed",
 "Delivered"))))</f>
        <v>Lost</v>
      </c>
      <c r="M315" s="2">
        <f>logistics_data[[#This Row],[Cost]]/logistics_data[[#This Row],[Distance_miles]]</f>
        <v>0.33207407407407408</v>
      </c>
      <c r="N315" t="str">
        <f>IF(logistics_data[[#This Row],[Orginal staus of shipment]]&lt;&gt;"Delivered","not applicabel", IF(logistics_data[[#This Row],[Transit_Days]]&gt;=5,"slow","fast"))</f>
        <v>not applicabel</v>
      </c>
    </row>
    <row r="316" spans="1:14" x14ac:dyDescent="0.3">
      <c r="A316" t="s">
        <v>362</v>
      </c>
      <c r="B316" t="s">
        <v>35</v>
      </c>
      <c r="C316" t="s">
        <v>36</v>
      </c>
      <c r="D316" t="s">
        <v>18</v>
      </c>
      <c r="E316" s="1">
        <v>45227</v>
      </c>
      <c r="F316" s="1">
        <v>45231</v>
      </c>
      <c r="G316">
        <v>37.9</v>
      </c>
      <c r="H316">
        <v>100.86</v>
      </c>
      <c r="I316" t="s">
        <v>15</v>
      </c>
      <c r="J316">
        <v>305</v>
      </c>
      <c r="K316">
        <v>4</v>
      </c>
      <c r="L316" t="str">
        <f>IF(logistics_data[[#This Row],[Delivery_Date]]="","In Transit",
 IF(logistics_data[[#This Row],[Status]]="Lost","Lost",
 IF(logistics_data[[#This Row],[Status]]="Returned","Returned",
 IF(logistics_data[[#This Row],[Status]]="Delayed","Delayed",
 "Delivered"))))</f>
        <v>Delivered</v>
      </c>
      <c r="M316" s="2">
        <f>logistics_data[[#This Row],[Cost]]/logistics_data[[#This Row],[Distance_miles]]</f>
        <v>0.33068852459016396</v>
      </c>
      <c r="N316" t="str">
        <f>IF(logistics_data[[#This Row],[Orginal staus of shipment]]&lt;&gt;"Delivered","not applicabel", IF(logistics_data[[#This Row],[Transit_Days]]&gt;=5,"slow","fast"))</f>
        <v>fast</v>
      </c>
    </row>
    <row r="317" spans="1:14" x14ac:dyDescent="0.3">
      <c r="A317" t="s">
        <v>363</v>
      </c>
      <c r="B317" t="s">
        <v>56</v>
      </c>
      <c r="C317" t="s">
        <v>31</v>
      </c>
      <c r="D317" t="s">
        <v>32</v>
      </c>
      <c r="E317" s="1">
        <v>45078</v>
      </c>
      <c r="F317" s="1">
        <v>45083</v>
      </c>
      <c r="G317">
        <v>16.2</v>
      </c>
      <c r="H317">
        <v>301.83999999999997</v>
      </c>
      <c r="I317" t="s">
        <v>62</v>
      </c>
      <c r="J317">
        <v>2209</v>
      </c>
      <c r="K317">
        <v>5</v>
      </c>
      <c r="L317" t="str">
        <f>IF(logistics_data[[#This Row],[Delivery_Date]]="","In Transit",
 IF(logistics_data[[#This Row],[Status]]="Lost","Lost",
 IF(logistics_data[[#This Row],[Status]]="Returned","Returned",
 IF(logistics_data[[#This Row],[Status]]="Delayed","Delayed",
 "Delivered"))))</f>
        <v>Delivered</v>
      </c>
      <c r="M317" s="2">
        <f>logistics_data[[#This Row],[Cost]]/logistics_data[[#This Row],[Distance_miles]]</f>
        <v>0.13664101403349932</v>
      </c>
      <c r="N317" t="str">
        <f>IF(logistics_data[[#This Row],[Orginal staus of shipment]]&lt;&gt;"Delivered","not applicabel", IF(logistics_data[[#This Row],[Transit_Days]]&gt;=5,"slow","fast"))</f>
        <v>slow</v>
      </c>
    </row>
    <row r="318" spans="1:14" x14ac:dyDescent="0.3">
      <c r="A318" t="s">
        <v>364</v>
      </c>
      <c r="B318" t="s">
        <v>35</v>
      </c>
      <c r="C318" t="s">
        <v>81</v>
      </c>
      <c r="D318" t="s">
        <v>59</v>
      </c>
      <c r="E318" s="1">
        <v>44927</v>
      </c>
      <c r="F318" s="1">
        <v>44933</v>
      </c>
      <c r="G318">
        <v>23.8</v>
      </c>
      <c r="H318">
        <v>128.01</v>
      </c>
      <c r="I318" t="s">
        <v>15</v>
      </c>
      <c r="J318">
        <v>1000</v>
      </c>
      <c r="K318">
        <v>6</v>
      </c>
      <c r="L318" t="str">
        <f>IF(logistics_data[[#This Row],[Delivery_Date]]="","In Transit",
 IF(logistics_data[[#This Row],[Status]]="Lost","Lost",
 IF(logistics_data[[#This Row],[Status]]="Returned","Returned",
 IF(logistics_data[[#This Row],[Status]]="Delayed","Delayed",
 "Delivered"))))</f>
        <v>Delivered</v>
      </c>
      <c r="M318" s="2">
        <f>logistics_data[[#This Row],[Cost]]/logistics_data[[#This Row],[Distance_miles]]</f>
        <v>0.12800999999999998</v>
      </c>
      <c r="N318" t="str">
        <f>IF(logistics_data[[#This Row],[Orginal staus of shipment]]&lt;&gt;"Delivered","not applicabel", IF(logistics_data[[#This Row],[Transit_Days]]&gt;=5,"slow","fast"))</f>
        <v>slow</v>
      </c>
    </row>
    <row r="319" spans="1:14" x14ac:dyDescent="0.3">
      <c r="A319" t="s">
        <v>365</v>
      </c>
      <c r="B319" t="s">
        <v>23</v>
      </c>
      <c r="C319" t="s">
        <v>46</v>
      </c>
      <c r="D319" t="s">
        <v>25</v>
      </c>
      <c r="E319" s="1">
        <v>45179</v>
      </c>
      <c r="F319" s="1">
        <v>45188</v>
      </c>
      <c r="G319">
        <v>15.9</v>
      </c>
      <c r="H319">
        <v>284.07</v>
      </c>
      <c r="I319" t="s">
        <v>15</v>
      </c>
      <c r="J319">
        <v>2374</v>
      </c>
      <c r="K319">
        <v>9</v>
      </c>
      <c r="L319" t="str">
        <f>IF(logistics_data[[#This Row],[Delivery_Date]]="","In Transit",
 IF(logistics_data[[#This Row],[Status]]="Lost","Lost",
 IF(logistics_data[[#This Row],[Status]]="Returned","Returned",
 IF(logistics_data[[#This Row],[Status]]="Delayed","Delayed",
 "Delivered"))))</f>
        <v>Delivered</v>
      </c>
      <c r="M319" s="2">
        <f>logistics_data[[#This Row],[Cost]]/logistics_data[[#This Row],[Distance_miles]]</f>
        <v>0.11965880370682393</v>
      </c>
      <c r="N319" t="str">
        <f>IF(logistics_data[[#This Row],[Orginal staus of shipment]]&lt;&gt;"Delivered","not applicabel", IF(logistics_data[[#This Row],[Transit_Days]]&gt;=5,"slow","fast"))</f>
        <v>slow</v>
      </c>
    </row>
    <row r="320" spans="1:14" x14ac:dyDescent="0.3">
      <c r="A320" t="s">
        <v>366</v>
      </c>
      <c r="B320" t="s">
        <v>39</v>
      </c>
      <c r="C320" t="s">
        <v>70</v>
      </c>
      <c r="D320" t="s">
        <v>25</v>
      </c>
      <c r="E320" s="1">
        <v>45256</v>
      </c>
      <c r="F320" s="1">
        <v>45276</v>
      </c>
      <c r="G320">
        <v>77.8</v>
      </c>
      <c r="H320">
        <v>413.72</v>
      </c>
      <c r="I320" t="s">
        <v>47</v>
      </c>
      <c r="J320">
        <v>2313</v>
      </c>
      <c r="K320">
        <v>10</v>
      </c>
      <c r="L320" t="str">
        <f>IF(logistics_data[[#This Row],[Delivery_Date]]="","In Transit",
 IF(logistics_data[[#This Row],[Status]]="Lost","Lost",
 IF(logistics_data[[#This Row],[Status]]="Returned","Returned",
 IF(logistics_data[[#This Row],[Status]]="Delayed","Delayed",
 "Delivered"))))</f>
        <v>Delayed</v>
      </c>
      <c r="M320" s="2">
        <f>logistics_data[[#This Row],[Cost]]/logistics_data[[#This Row],[Distance_miles]]</f>
        <v>0.17886727194120192</v>
      </c>
      <c r="N320" t="str">
        <f>IF(logistics_data[[#This Row],[Orginal staus of shipment]]&lt;&gt;"Delivered","not applicabel", IF(logistics_data[[#This Row],[Transit_Days]]&gt;=5,"slow","fast"))</f>
        <v>not applicabel</v>
      </c>
    </row>
    <row r="321" spans="1:14" x14ac:dyDescent="0.3">
      <c r="A321" t="s">
        <v>367</v>
      </c>
      <c r="B321" t="s">
        <v>35</v>
      </c>
      <c r="C321" t="s">
        <v>40</v>
      </c>
      <c r="D321" t="s">
        <v>59</v>
      </c>
      <c r="E321" s="1">
        <v>45007</v>
      </c>
      <c r="F321" s="1">
        <v>45011</v>
      </c>
      <c r="G321">
        <v>8.1</v>
      </c>
      <c r="H321">
        <v>41.68</v>
      </c>
      <c r="I321" t="s">
        <v>15</v>
      </c>
      <c r="J321">
        <v>283</v>
      </c>
      <c r="K321">
        <v>4</v>
      </c>
      <c r="L321" t="str">
        <f>IF(logistics_data[[#This Row],[Delivery_Date]]="","In Transit",
 IF(logistics_data[[#This Row],[Status]]="Lost","Lost",
 IF(logistics_data[[#This Row],[Status]]="Returned","Returned",
 IF(logistics_data[[#This Row],[Status]]="Delayed","Delayed",
 "Delivered"))))</f>
        <v>Delivered</v>
      </c>
      <c r="M321" s="2">
        <f>logistics_data[[#This Row],[Cost]]/logistics_data[[#This Row],[Distance_miles]]</f>
        <v>0.14727915194346289</v>
      </c>
      <c r="N321" t="str">
        <f>IF(logistics_data[[#This Row],[Orginal staus of shipment]]&lt;&gt;"Delivered","not applicabel", IF(logistics_data[[#This Row],[Transit_Days]]&gt;=5,"slow","fast"))</f>
        <v>fast</v>
      </c>
    </row>
    <row r="322" spans="1:14" x14ac:dyDescent="0.3">
      <c r="A322" t="s">
        <v>368</v>
      </c>
      <c r="B322" t="s">
        <v>23</v>
      </c>
      <c r="C322" t="s">
        <v>57</v>
      </c>
      <c r="D322" t="s">
        <v>25</v>
      </c>
      <c r="E322" s="1">
        <v>45215</v>
      </c>
      <c r="F322" s="1">
        <v>45220</v>
      </c>
      <c r="G322">
        <v>52.1</v>
      </c>
      <c r="H322">
        <v>282.08</v>
      </c>
      <c r="I322" t="s">
        <v>15</v>
      </c>
      <c r="J322">
        <v>1861</v>
      </c>
      <c r="K322">
        <v>5</v>
      </c>
      <c r="L322" t="str">
        <f>IF(logistics_data[[#This Row],[Delivery_Date]]="","In Transit",
 IF(logistics_data[[#This Row],[Status]]="Lost","Lost",
 IF(logistics_data[[#This Row],[Status]]="Returned","Returned",
 IF(logistics_data[[#This Row],[Status]]="Delayed","Delayed",
 "Delivered"))))</f>
        <v>Delivered</v>
      </c>
      <c r="M322" s="2">
        <f>logistics_data[[#This Row],[Cost]]/logistics_data[[#This Row],[Distance_miles]]</f>
        <v>0.15157442235357335</v>
      </c>
      <c r="N322" t="str">
        <f>IF(logistics_data[[#This Row],[Orginal staus of shipment]]&lt;&gt;"Delivered","not applicabel", IF(logistics_data[[#This Row],[Transit_Days]]&gt;=5,"slow","fast"))</f>
        <v>slow</v>
      </c>
    </row>
    <row r="323" spans="1:14" x14ac:dyDescent="0.3">
      <c r="A323" t="s">
        <v>369</v>
      </c>
      <c r="B323" t="s">
        <v>56</v>
      </c>
      <c r="C323" t="s">
        <v>21</v>
      </c>
      <c r="D323" t="s">
        <v>42</v>
      </c>
      <c r="E323" s="1">
        <v>45196</v>
      </c>
      <c r="G323">
        <v>6.9</v>
      </c>
      <c r="H323">
        <v>53.22</v>
      </c>
      <c r="I323" t="s">
        <v>15</v>
      </c>
      <c r="J323">
        <v>424</v>
      </c>
      <c r="K323">
        <v>2</v>
      </c>
      <c r="L323" t="str">
        <f>IF(logistics_data[[#This Row],[Delivery_Date]]="","In Transit",
 IF(logistics_data[[#This Row],[Status]]="Lost","Lost",
 IF(logistics_data[[#This Row],[Status]]="Returned","Returned",
 IF(logistics_data[[#This Row],[Status]]="Delayed","Delayed",
 "Delivered"))))</f>
        <v>In Transit</v>
      </c>
      <c r="M323" s="2">
        <f>logistics_data[[#This Row],[Cost]]/logistics_data[[#This Row],[Distance_miles]]</f>
        <v>0.12551886792452829</v>
      </c>
      <c r="N323" t="str">
        <f>IF(logistics_data[[#This Row],[Orginal staus of shipment]]&lt;&gt;"Delivered","not applicabel", IF(logistics_data[[#This Row],[Transit_Days]]&gt;=5,"slow","fast"))</f>
        <v>not applicabel</v>
      </c>
    </row>
    <row r="324" spans="1:14" x14ac:dyDescent="0.3">
      <c r="A324" t="s">
        <v>370</v>
      </c>
      <c r="B324" t="s">
        <v>20</v>
      </c>
      <c r="C324" t="s">
        <v>52</v>
      </c>
      <c r="D324" t="s">
        <v>37</v>
      </c>
      <c r="E324" s="1">
        <v>44937</v>
      </c>
      <c r="F324" s="1">
        <v>44943</v>
      </c>
      <c r="G324">
        <v>22.6</v>
      </c>
      <c r="H324">
        <v>76.63</v>
      </c>
      <c r="I324" t="s">
        <v>47</v>
      </c>
      <c r="J324">
        <v>373</v>
      </c>
      <c r="K324">
        <v>5</v>
      </c>
      <c r="L324" t="str">
        <f>IF(logistics_data[[#This Row],[Delivery_Date]]="","In Transit",
 IF(logistics_data[[#This Row],[Status]]="Lost","Lost",
 IF(logistics_data[[#This Row],[Status]]="Returned","Returned",
 IF(logistics_data[[#This Row],[Status]]="Delayed","Delayed",
 "Delivered"))))</f>
        <v>Delayed</v>
      </c>
      <c r="M324" s="2">
        <f>logistics_data[[#This Row],[Cost]]/logistics_data[[#This Row],[Distance_miles]]</f>
        <v>0.20544235924932974</v>
      </c>
      <c r="N324" t="str">
        <f>IF(logistics_data[[#This Row],[Orginal staus of shipment]]&lt;&gt;"Delivered","not applicabel", IF(logistics_data[[#This Row],[Transit_Days]]&gt;=5,"slow","fast"))</f>
        <v>not applicabel</v>
      </c>
    </row>
    <row r="325" spans="1:14" x14ac:dyDescent="0.3">
      <c r="A325" t="s">
        <v>371</v>
      </c>
      <c r="B325" t="s">
        <v>30</v>
      </c>
      <c r="C325" t="s">
        <v>52</v>
      </c>
      <c r="D325" t="s">
        <v>59</v>
      </c>
      <c r="E325" s="1">
        <v>45187</v>
      </c>
      <c r="F325" s="1">
        <v>45192</v>
      </c>
      <c r="G325">
        <v>31.9</v>
      </c>
      <c r="H325">
        <v>207.32</v>
      </c>
      <c r="I325" t="s">
        <v>15</v>
      </c>
      <c r="J325">
        <v>1520</v>
      </c>
      <c r="K325">
        <v>5</v>
      </c>
      <c r="L325" t="str">
        <f>IF(logistics_data[[#This Row],[Delivery_Date]]="","In Transit",
 IF(logistics_data[[#This Row],[Status]]="Lost","Lost",
 IF(logistics_data[[#This Row],[Status]]="Returned","Returned",
 IF(logistics_data[[#This Row],[Status]]="Delayed","Delayed",
 "Delivered"))))</f>
        <v>Delivered</v>
      </c>
      <c r="M325" s="2">
        <f>logistics_data[[#This Row],[Cost]]/logistics_data[[#This Row],[Distance_miles]]</f>
        <v>0.13639473684210526</v>
      </c>
      <c r="N325" t="str">
        <f>IF(logistics_data[[#This Row],[Orginal staus of shipment]]&lt;&gt;"Delivered","not applicabel", IF(logistics_data[[#This Row],[Transit_Days]]&gt;=5,"slow","fast"))</f>
        <v>slow</v>
      </c>
    </row>
    <row r="326" spans="1:14" x14ac:dyDescent="0.3">
      <c r="A326" t="s">
        <v>372</v>
      </c>
      <c r="B326" t="s">
        <v>23</v>
      </c>
      <c r="C326" t="s">
        <v>54</v>
      </c>
      <c r="D326" t="s">
        <v>32</v>
      </c>
      <c r="E326" s="1">
        <v>45222</v>
      </c>
      <c r="F326" s="1">
        <v>45226</v>
      </c>
      <c r="G326">
        <v>45.9</v>
      </c>
      <c r="H326">
        <v>89.19</v>
      </c>
      <c r="I326" t="s">
        <v>15</v>
      </c>
      <c r="J326">
        <v>247</v>
      </c>
      <c r="K326">
        <v>4</v>
      </c>
      <c r="L326" t="str">
        <f>IF(logistics_data[[#This Row],[Delivery_Date]]="","In Transit",
 IF(logistics_data[[#This Row],[Status]]="Lost","Lost",
 IF(logistics_data[[#This Row],[Status]]="Returned","Returned",
 IF(logistics_data[[#This Row],[Status]]="Delayed","Delayed",
 "Delivered"))))</f>
        <v>Delivered</v>
      </c>
      <c r="M326" s="2">
        <f>logistics_data[[#This Row],[Cost]]/logistics_data[[#This Row],[Distance_miles]]</f>
        <v>0.36109311740890687</v>
      </c>
      <c r="N326" t="str">
        <f>IF(logistics_data[[#This Row],[Orginal staus of shipment]]&lt;&gt;"Delivered","not applicabel", IF(logistics_data[[#This Row],[Transit_Days]]&gt;=5,"slow","fast"))</f>
        <v>fast</v>
      </c>
    </row>
    <row r="327" spans="1:14" x14ac:dyDescent="0.3">
      <c r="A327" t="s">
        <v>373</v>
      </c>
      <c r="B327" t="s">
        <v>30</v>
      </c>
      <c r="C327" t="s">
        <v>21</v>
      </c>
      <c r="D327" t="s">
        <v>32</v>
      </c>
      <c r="E327" s="1">
        <v>45133</v>
      </c>
      <c r="F327" s="1">
        <v>45137</v>
      </c>
      <c r="G327">
        <v>14.9</v>
      </c>
      <c r="H327">
        <v>112.48</v>
      </c>
      <c r="I327" t="s">
        <v>15</v>
      </c>
      <c r="J327">
        <v>789</v>
      </c>
      <c r="K327">
        <v>4</v>
      </c>
      <c r="L327" t="str">
        <f>IF(logistics_data[[#This Row],[Delivery_Date]]="","In Transit",
 IF(logistics_data[[#This Row],[Status]]="Lost","Lost",
 IF(logistics_data[[#This Row],[Status]]="Returned","Returned",
 IF(logistics_data[[#This Row],[Status]]="Delayed","Delayed",
 "Delivered"))))</f>
        <v>Delivered</v>
      </c>
      <c r="M327" s="2">
        <f>logistics_data[[#This Row],[Cost]]/logistics_data[[#This Row],[Distance_miles]]</f>
        <v>0.14256020278833967</v>
      </c>
      <c r="N327" t="str">
        <f>IF(logistics_data[[#This Row],[Orginal staus of shipment]]&lt;&gt;"Delivered","not applicabel", IF(logistics_data[[#This Row],[Transit_Days]]&gt;=5,"slow","fast"))</f>
        <v>fast</v>
      </c>
    </row>
    <row r="328" spans="1:14" x14ac:dyDescent="0.3">
      <c r="A328" t="s">
        <v>374</v>
      </c>
      <c r="B328" t="s">
        <v>35</v>
      </c>
      <c r="C328" t="s">
        <v>81</v>
      </c>
      <c r="D328" t="s">
        <v>37</v>
      </c>
      <c r="E328" s="1">
        <v>44962</v>
      </c>
      <c r="F328" s="1">
        <v>44966</v>
      </c>
      <c r="G328">
        <v>27.6</v>
      </c>
      <c r="H328">
        <v>165.2</v>
      </c>
      <c r="I328" t="s">
        <v>15</v>
      </c>
      <c r="J328">
        <v>1000</v>
      </c>
      <c r="K328">
        <v>4</v>
      </c>
      <c r="L328" t="str">
        <f>IF(logistics_data[[#This Row],[Delivery_Date]]="","In Transit",
 IF(logistics_data[[#This Row],[Status]]="Lost","Lost",
 IF(logistics_data[[#This Row],[Status]]="Returned","Returned",
 IF(logistics_data[[#This Row],[Status]]="Delayed","Delayed",
 "Delivered"))))</f>
        <v>Delivered</v>
      </c>
      <c r="M328" s="2">
        <f>logistics_data[[#This Row],[Cost]]/logistics_data[[#This Row],[Distance_miles]]</f>
        <v>0.16519999999999999</v>
      </c>
      <c r="N328" t="str">
        <f>IF(logistics_data[[#This Row],[Orginal staus of shipment]]&lt;&gt;"Delivered","not applicabel", IF(logistics_data[[#This Row],[Transit_Days]]&gt;=5,"slow","fast"))</f>
        <v>fast</v>
      </c>
    </row>
    <row r="329" spans="1:14" x14ac:dyDescent="0.3">
      <c r="A329" t="s">
        <v>375</v>
      </c>
      <c r="B329" t="s">
        <v>39</v>
      </c>
      <c r="C329" t="s">
        <v>17</v>
      </c>
      <c r="D329" t="s">
        <v>18</v>
      </c>
      <c r="E329" s="1">
        <v>45010</v>
      </c>
      <c r="F329" s="1">
        <v>45012</v>
      </c>
      <c r="G329">
        <v>8.3000000000000007</v>
      </c>
      <c r="H329">
        <v>128.12</v>
      </c>
      <c r="I329" t="s">
        <v>15</v>
      </c>
      <c r="J329">
        <v>800</v>
      </c>
      <c r="K329">
        <v>2</v>
      </c>
      <c r="L329" t="str">
        <f>IF(logistics_data[[#This Row],[Delivery_Date]]="","In Transit",
 IF(logistics_data[[#This Row],[Status]]="Lost","Lost",
 IF(logistics_data[[#This Row],[Status]]="Returned","Returned",
 IF(logistics_data[[#This Row],[Status]]="Delayed","Delayed",
 "Delivered"))))</f>
        <v>Delivered</v>
      </c>
      <c r="M329" s="2">
        <f>logistics_data[[#This Row],[Cost]]/logistics_data[[#This Row],[Distance_miles]]</f>
        <v>0.16015000000000001</v>
      </c>
      <c r="N329" t="str">
        <f>IF(logistics_data[[#This Row],[Orginal staus of shipment]]&lt;&gt;"Delivered","not applicabel", IF(logistics_data[[#This Row],[Transit_Days]]&gt;=5,"slow","fast"))</f>
        <v>fast</v>
      </c>
    </row>
    <row r="330" spans="1:14" x14ac:dyDescent="0.3">
      <c r="A330" t="s">
        <v>376</v>
      </c>
      <c r="B330" t="s">
        <v>30</v>
      </c>
      <c r="C330" t="s">
        <v>44</v>
      </c>
      <c r="D330" t="s">
        <v>18</v>
      </c>
      <c r="E330" s="1">
        <v>45226</v>
      </c>
      <c r="F330" s="1">
        <v>45231</v>
      </c>
      <c r="G330">
        <v>41.8</v>
      </c>
      <c r="H330">
        <v>174.68</v>
      </c>
      <c r="I330" t="s">
        <v>15</v>
      </c>
      <c r="J330">
        <v>773</v>
      </c>
      <c r="K330">
        <v>5</v>
      </c>
      <c r="L330" t="str">
        <f>IF(logistics_data[[#This Row],[Delivery_Date]]="","In Transit",
 IF(logistics_data[[#This Row],[Status]]="Lost","Lost",
 IF(logistics_data[[#This Row],[Status]]="Returned","Returned",
 IF(logistics_data[[#This Row],[Status]]="Delayed","Delayed",
 "Delivered"))))</f>
        <v>Delivered</v>
      </c>
      <c r="M330" s="2">
        <f>logistics_data[[#This Row],[Cost]]/logistics_data[[#This Row],[Distance_miles]]</f>
        <v>0.22597671410090558</v>
      </c>
      <c r="N330" t="str">
        <f>IF(logistics_data[[#This Row],[Orginal staus of shipment]]&lt;&gt;"Delivered","not applicabel", IF(logistics_data[[#This Row],[Transit_Days]]&gt;=5,"slow","fast"))</f>
        <v>slow</v>
      </c>
    </row>
    <row r="331" spans="1:14" x14ac:dyDescent="0.3">
      <c r="A331" t="s">
        <v>377</v>
      </c>
      <c r="B331" t="s">
        <v>56</v>
      </c>
      <c r="C331" t="s">
        <v>24</v>
      </c>
      <c r="D331" t="s">
        <v>37</v>
      </c>
      <c r="E331" s="1">
        <v>45111</v>
      </c>
      <c r="F331" s="1">
        <v>45116</v>
      </c>
      <c r="G331">
        <v>10.7</v>
      </c>
      <c r="H331">
        <v>219.9</v>
      </c>
      <c r="I331" t="s">
        <v>60</v>
      </c>
      <c r="J331">
        <v>1857</v>
      </c>
      <c r="K331">
        <v>5</v>
      </c>
      <c r="L331" t="str">
        <f>IF(logistics_data[[#This Row],[Delivery_Date]]="","In Transit",
 IF(logistics_data[[#This Row],[Status]]="Lost","Lost",
 IF(logistics_data[[#This Row],[Status]]="Returned","Returned",
 IF(logistics_data[[#This Row],[Status]]="Delayed","Delayed",
 "Delivered"))))</f>
        <v>Lost</v>
      </c>
      <c r="M331" s="2">
        <f>logistics_data[[#This Row],[Cost]]/logistics_data[[#This Row],[Distance_miles]]</f>
        <v>0.11841680129240711</v>
      </c>
      <c r="N331" t="str">
        <f>IF(logistics_data[[#This Row],[Orginal staus of shipment]]&lt;&gt;"Delivered","not applicabel", IF(logistics_data[[#This Row],[Transit_Days]]&gt;=5,"slow","fast"))</f>
        <v>not applicabel</v>
      </c>
    </row>
    <row r="332" spans="1:14" x14ac:dyDescent="0.3">
      <c r="A332" t="s">
        <v>378</v>
      </c>
      <c r="B332" t="s">
        <v>12</v>
      </c>
      <c r="C332" t="s">
        <v>40</v>
      </c>
      <c r="D332" t="s">
        <v>37</v>
      </c>
      <c r="E332" s="1">
        <v>45117</v>
      </c>
      <c r="F332" s="1">
        <v>45120</v>
      </c>
      <c r="G332">
        <v>8.3000000000000007</v>
      </c>
      <c r="H332">
        <v>154.62</v>
      </c>
      <c r="I332" t="s">
        <v>15</v>
      </c>
      <c r="J332">
        <v>1155</v>
      </c>
      <c r="K332">
        <v>3</v>
      </c>
      <c r="L332" t="str">
        <f>IF(logistics_data[[#This Row],[Delivery_Date]]="","In Transit",
 IF(logistics_data[[#This Row],[Status]]="Lost","Lost",
 IF(logistics_data[[#This Row],[Status]]="Returned","Returned",
 IF(logistics_data[[#This Row],[Status]]="Delayed","Delayed",
 "Delivered"))))</f>
        <v>Delivered</v>
      </c>
      <c r="M332" s="2">
        <f>logistics_data[[#This Row],[Cost]]/logistics_data[[#This Row],[Distance_miles]]</f>
        <v>0.13387012987012986</v>
      </c>
      <c r="N332" t="str">
        <f>IF(logistics_data[[#This Row],[Orginal staus of shipment]]&lt;&gt;"Delivered","not applicabel", IF(logistics_data[[#This Row],[Transit_Days]]&gt;=5,"slow","fast"))</f>
        <v>fast</v>
      </c>
    </row>
    <row r="333" spans="1:14" x14ac:dyDescent="0.3">
      <c r="A333" t="s">
        <v>379</v>
      </c>
      <c r="B333" t="s">
        <v>51</v>
      </c>
      <c r="C333" t="s">
        <v>21</v>
      </c>
      <c r="D333" t="s">
        <v>14</v>
      </c>
      <c r="E333" s="1">
        <v>45080</v>
      </c>
      <c r="F333" s="1">
        <v>45084</v>
      </c>
      <c r="G333">
        <v>67.900000000000006</v>
      </c>
      <c r="H333">
        <v>253.84</v>
      </c>
      <c r="I333" t="s">
        <v>15</v>
      </c>
      <c r="J333">
        <v>1154</v>
      </c>
      <c r="K333">
        <v>4</v>
      </c>
      <c r="L333" t="str">
        <f>IF(logistics_data[[#This Row],[Delivery_Date]]="","In Transit",
 IF(logistics_data[[#This Row],[Status]]="Lost","Lost",
 IF(logistics_data[[#This Row],[Status]]="Returned","Returned",
 IF(logistics_data[[#This Row],[Status]]="Delayed","Delayed",
 "Delivered"))))</f>
        <v>Delivered</v>
      </c>
      <c r="M333" s="2">
        <f>logistics_data[[#This Row],[Cost]]/logistics_data[[#This Row],[Distance_miles]]</f>
        <v>0.21996533795493933</v>
      </c>
      <c r="N333" t="str">
        <f>IF(logistics_data[[#This Row],[Orginal staus of shipment]]&lt;&gt;"Delivered","not applicabel", IF(logistics_data[[#This Row],[Transit_Days]]&gt;=5,"slow","fast"))</f>
        <v>fast</v>
      </c>
    </row>
    <row r="334" spans="1:14" x14ac:dyDescent="0.3">
      <c r="A334" t="s">
        <v>380</v>
      </c>
      <c r="B334" t="s">
        <v>12</v>
      </c>
      <c r="C334" t="s">
        <v>81</v>
      </c>
      <c r="D334" t="s">
        <v>14</v>
      </c>
      <c r="E334" s="1">
        <v>45237</v>
      </c>
      <c r="F334" s="1">
        <v>45241</v>
      </c>
      <c r="G334">
        <v>10.3</v>
      </c>
      <c r="H334">
        <v>233.37</v>
      </c>
      <c r="I334" t="s">
        <v>15</v>
      </c>
      <c r="J334">
        <v>1477</v>
      </c>
      <c r="K334">
        <v>4</v>
      </c>
      <c r="L334" t="str">
        <f>IF(logistics_data[[#This Row],[Delivery_Date]]="","In Transit",
 IF(logistics_data[[#This Row],[Status]]="Lost","Lost",
 IF(logistics_data[[#This Row],[Status]]="Returned","Returned",
 IF(logistics_data[[#This Row],[Status]]="Delayed","Delayed",
 "Delivered"))))</f>
        <v>Delivered</v>
      </c>
      <c r="M334" s="2">
        <f>logistics_data[[#This Row],[Cost]]/logistics_data[[#This Row],[Distance_miles]]</f>
        <v>0.15800270819228165</v>
      </c>
      <c r="N334" t="str">
        <f>IF(logistics_data[[#This Row],[Orginal staus of shipment]]&lt;&gt;"Delivered","not applicabel", IF(logistics_data[[#This Row],[Transit_Days]]&gt;=5,"slow","fast"))</f>
        <v>fast</v>
      </c>
    </row>
    <row r="335" spans="1:14" x14ac:dyDescent="0.3">
      <c r="A335" t="s">
        <v>381</v>
      </c>
      <c r="B335" t="s">
        <v>51</v>
      </c>
      <c r="C335" t="s">
        <v>21</v>
      </c>
      <c r="D335" t="s">
        <v>25</v>
      </c>
      <c r="E335" s="1">
        <v>44956</v>
      </c>
      <c r="F335" s="1">
        <v>44960</v>
      </c>
      <c r="G335">
        <v>22.7</v>
      </c>
      <c r="H335">
        <v>218.75</v>
      </c>
      <c r="I335" t="s">
        <v>15</v>
      </c>
      <c r="J335">
        <v>1541</v>
      </c>
      <c r="K335">
        <v>4</v>
      </c>
      <c r="L335" t="str">
        <f>IF(logistics_data[[#This Row],[Delivery_Date]]="","In Transit",
 IF(logistics_data[[#This Row],[Status]]="Lost","Lost",
 IF(logistics_data[[#This Row],[Status]]="Returned","Returned",
 IF(logistics_data[[#This Row],[Status]]="Delayed","Delayed",
 "Delivered"))))</f>
        <v>Delivered</v>
      </c>
      <c r="M335" s="2">
        <f>logistics_data[[#This Row],[Cost]]/logistics_data[[#This Row],[Distance_miles]]</f>
        <v>0.1419532770927969</v>
      </c>
      <c r="N335" t="str">
        <f>IF(logistics_data[[#This Row],[Orginal staus of shipment]]&lt;&gt;"Delivered","not applicabel", IF(logistics_data[[#This Row],[Transit_Days]]&gt;=5,"slow","fast"))</f>
        <v>fast</v>
      </c>
    </row>
    <row r="336" spans="1:14" x14ac:dyDescent="0.3">
      <c r="A336" t="s">
        <v>382</v>
      </c>
      <c r="B336" t="s">
        <v>20</v>
      </c>
      <c r="C336" t="s">
        <v>54</v>
      </c>
      <c r="D336" t="s">
        <v>18</v>
      </c>
      <c r="E336" s="1">
        <v>45237</v>
      </c>
      <c r="F336" s="1">
        <v>45240</v>
      </c>
      <c r="G336">
        <v>19</v>
      </c>
      <c r="H336">
        <v>127.07</v>
      </c>
      <c r="I336" t="s">
        <v>15</v>
      </c>
      <c r="J336">
        <v>622</v>
      </c>
      <c r="K336">
        <v>3</v>
      </c>
      <c r="L336" t="str">
        <f>IF(logistics_data[[#This Row],[Delivery_Date]]="","In Transit",
 IF(logistics_data[[#This Row],[Status]]="Lost","Lost",
 IF(logistics_data[[#This Row],[Status]]="Returned","Returned",
 IF(logistics_data[[#This Row],[Status]]="Delayed","Delayed",
 "Delivered"))))</f>
        <v>Delivered</v>
      </c>
      <c r="M336" s="2">
        <f>logistics_data[[#This Row],[Cost]]/logistics_data[[#This Row],[Distance_miles]]</f>
        <v>0.20429260450160772</v>
      </c>
      <c r="N336" t="str">
        <f>IF(logistics_data[[#This Row],[Orginal staus of shipment]]&lt;&gt;"Delivered","not applicabel", IF(logistics_data[[#This Row],[Transit_Days]]&gt;=5,"slow","fast"))</f>
        <v>fast</v>
      </c>
    </row>
    <row r="337" spans="1:14" x14ac:dyDescent="0.3">
      <c r="A337" t="s">
        <v>383</v>
      </c>
      <c r="B337" t="s">
        <v>23</v>
      </c>
      <c r="C337" t="s">
        <v>57</v>
      </c>
      <c r="D337" t="s">
        <v>37</v>
      </c>
      <c r="E337" s="1">
        <v>45040</v>
      </c>
      <c r="F337" s="1">
        <v>45042</v>
      </c>
      <c r="G337">
        <v>43.4</v>
      </c>
      <c r="I337" t="s">
        <v>15</v>
      </c>
      <c r="J337">
        <v>844</v>
      </c>
      <c r="K337">
        <v>2</v>
      </c>
      <c r="L337" t="str">
        <f>IF(logistics_data[[#This Row],[Delivery_Date]]="","In Transit",
 IF(logistics_data[[#This Row],[Status]]="Lost","Lost",
 IF(logistics_data[[#This Row],[Status]]="Returned","Returned",
 IF(logistics_data[[#This Row],[Status]]="Delayed","Delayed",
 "Delivered"))))</f>
        <v>Delivered</v>
      </c>
      <c r="M337" s="2">
        <f>logistics_data[[#This Row],[Cost]]/logistics_data[[#This Row],[Distance_miles]]</f>
        <v>0</v>
      </c>
      <c r="N337" t="str">
        <f>IF(logistics_data[[#This Row],[Orginal staus of shipment]]&lt;&gt;"Delivered","not applicabel", IF(logistics_data[[#This Row],[Transit_Days]]&gt;=5,"slow","fast"))</f>
        <v>fast</v>
      </c>
    </row>
    <row r="338" spans="1:14" x14ac:dyDescent="0.3">
      <c r="A338" t="s">
        <v>384</v>
      </c>
      <c r="B338" t="s">
        <v>49</v>
      </c>
      <c r="C338" t="s">
        <v>52</v>
      </c>
      <c r="D338" t="s">
        <v>37</v>
      </c>
      <c r="E338" s="1">
        <v>45043</v>
      </c>
      <c r="F338" s="1">
        <v>45046</v>
      </c>
      <c r="G338">
        <v>12.7</v>
      </c>
      <c r="H338">
        <v>192.88</v>
      </c>
      <c r="I338" t="s">
        <v>15</v>
      </c>
      <c r="J338">
        <v>1608</v>
      </c>
      <c r="K338">
        <v>3</v>
      </c>
      <c r="L338" t="str">
        <f>IF(logistics_data[[#This Row],[Delivery_Date]]="","In Transit",
 IF(logistics_data[[#This Row],[Status]]="Lost","Lost",
 IF(logistics_data[[#This Row],[Status]]="Returned","Returned",
 IF(logistics_data[[#This Row],[Status]]="Delayed","Delayed",
 "Delivered"))))</f>
        <v>Delivered</v>
      </c>
      <c r="M338" s="2">
        <f>logistics_data[[#This Row],[Cost]]/logistics_data[[#This Row],[Distance_miles]]</f>
        <v>0.1199502487562189</v>
      </c>
      <c r="N338" t="str">
        <f>IF(logistics_data[[#This Row],[Orginal staus of shipment]]&lt;&gt;"Delivered","not applicabel", IF(logistics_data[[#This Row],[Transit_Days]]&gt;=5,"slow","fast"))</f>
        <v>fast</v>
      </c>
    </row>
    <row r="339" spans="1:14" x14ac:dyDescent="0.3">
      <c r="A339" t="s">
        <v>385</v>
      </c>
      <c r="B339" t="s">
        <v>49</v>
      </c>
      <c r="C339" t="s">
        <v>17</v>
      </c>
      <c r="D339" t="s">
        <v>14</v>
      </c>
      <c r="E339" s="1">
        <v>44936</v>
      </c>
      <c r="F339" s="1">
        <v>44940</v>
      </c>
      <c r="G339">
        <v>45.3</v>
      </c>
      <c r="H339">
        <v>240.32</v>
      </c>
      <c r="I339" t="s">
        <v>15</v>
      </c>
      <c r="J339">
        <v>1324</v>
      </c>
      <c r="K339">
        <v>4</v>
      </c>
      <c r="L339" t="str">
        <f>IF(logistics_data[[#This Row],[Delivery_Date]]="","In Transit",
 IF(logistics_data[[#This Row],[Status]]="Lost","Lost",
 IF(logistics_data[[#This Row],[Status]]="Returned","Returned",
 IF(logistics_data[[#This Row],[Status]]="Delayed","Delayed",
 "Delivered"))))</f>
        <v>Delivered</v>
      </c>
      <c r="M339" s="2">
        <f>logistics_data[[#This Row],[Cost]]/logistics_data[[#This Row],[Distance_miles]]</f>
        <v>0.1815105740181269</v>
      </c>
      <c r="N339" t="str">
        <f>IF(logistics_data[[#This Row],[Orginal staus of shipment]]&lt;&gt;"Delivered","not applicabel", IF(logistics_data[[#This Row],[Transit_Days]]&gt;=5,"slow","fast"))</f>
        <v>fast</v>
      </c>
    </row>
    <row r="340" spans="1:14" x14ac:dyDescent="0.3">
      <c r="A340" t="s">
        <v>386</v>
      </c>
      <c r="B340" t="s">
        <v>35</v>
      </c>
      <c r="C340" t="s">
        <v>36</v>
      </c>
      <c r="D340" t="s">
        <v>14</v>
      </c>
      <c r="E340" s="1">
        <v>45155</v>
      </c>
      <c r="F340" s="1">
        <v>45160</v>
      </c>
      <c r="G340">
        <v>12.3</v>
      </c>
      <c r="H340">
        <v>310.02</v>
      </c>
      <c r="I340" t="s">
        <v>15</v>
      </c>
      <c r="J340">
        <v>2328</v>
      </c>
      <c r="K340">
        <v>5</v>
      </c>
      <c r="L340" t="str">
        <f>IF(logistics_data[[#This Row],[Delivery_Date]]="","In Transit",
 IF(logistics_data[[#This Row],[Status]]="Lost","Lost",
 IF(logistics_data[[#This Row],[Status]]="Returned","Returned",
 IF(logistics_data[[#This Row],[Status]]="Delayed","Delayed",
 "Delivered"))))</f>
        <v>Delivered</v>
      </c>
      <c r="M340" s="2">
        <f>logistics_data[[#This Row],[Cost]]/logistics_data[[#This Row],[Distance_miles]]</f>
        <v>0.13317010309278349</v>
      </c>
      <c r="N340" t="str">
        <f>IF(logistics_data[[#This Row],[Orginal staus of shipment]]&lt;&gt;"Delivered","not applicabel", IF(logistics_data[[#This Row],[Transit_Days]]&gt;=5,"slow","fast"))</f>
        <v>slow</v>
      </c>
    </row>
    <row r="341" spans="1:14" x14ac:dyDescent="0.3">
      <c r="A341" t="s">
        <v>387</v>
      </c>
      <c r="B341" t="s">
        <v>27</v>
      </c>
      <c r="C341" t="s">
        <v>40</v>
      </c>
      <c r="D341" t="s">
        <v>59</v>
      </c>
      <c r="E341" s="1">
        <v>45209</v>
      </c>
      <c r="F341" s="1">
        <v>45214</v>
      </c>
      <c r="G341">
        <v>52.2</v>
      </c>
      <c r="H341">
        <v>253.33</v>
      </c>
      <c r="I341" t="s">
        <v>47</v>
      </c>
      <c r="J341">
        <v>1608</v>
      </c>
      <c r="K341">
        <v>4</v>
      </c>
      <c r="L341" t="str">
        <f>IF(logistics_data[[#This Row],[Delivery_Date]]="","In Transit",
 IF(logistics_data[[#This Row],[Status]]="Lost","Lost",
 IF(logistics_data[[#This Row],[Status]]="Returned","Returned",
 IF(logistics_data[[#This Row],[Status]]="Delayed","Delayed",
 "Delivered"))))</f>
        <v>Delayed</v>
      </c>
      <c r="M341" s="2">
        <f>logistics_data[[#This Row],[Cost]]/logistics_data[[#This Row],[Distance_miles]]</f>
        <v>0.15754353233830848</v>
      </c>
      <c r="N341" t="str">
        <f>IF(logistics_data[[#This Row],[Orginal staus of shipment]]&lt;&gt;"Delivered","not applicabel", IF(logistics_data[[#This Row],[Transit_Days]]&gt;=5,"slow","fast"))</f>
        <v>not applicabel</v>
      </c>
    </row>
    <row r="342" spans="1:14" x14ac:dyDescent="0.3">
      <c r="A342" t="s">
        <v>388</v>
      </c>
      <c r="B342" t="s">
        <v>30</v>
      </c>
      <c r="C342" t="s">
        <v>52</v>
      </c>
      <c r="D342" t="s">
        <v>14</v>
      </c>
      <c r="E342" s="1">
        <v>44938</v>
      </c>
      <c r="F342" s="1">
        <v>44947</v>
      </c>
      <c r="G342">
        <v>8.4</v>
      </c>
      <c r="H342">
        <v>280.39</v>
      </c>
      <c r="I342" t="s">
        <v>15</v>
      </c>
      <c r="J342">
        <v>2388</v>
      </c>
      <c r="K342">
        <v>9</v>
      </c>
      <c r="L342" t="str">
        <f>IF(logistics_data[[#This Row],[Delivery_Date]]="","In Transit",
 IF(logistics_data[[#This Row],[Status]]="Lost","Lost",
 IF(logistics_data[[#This Row],[Status]]="Returned","Returned",
 IF(logistics_data[[#This Row],[Status]]="Delayed","Delayed",
 "Delivered"))))</f>
        <v>Delivered</v>
      </c>
      <c r="M342" s="2">
        <f>logistics_data[[#This Row],[Cost]]/logistics_data[[#This Row],[Distance_miles]]</f>
        <v>0.11741624790619765</v>
      </c>
      <c r="N342" t="str">
        <f>IF(logistics_data[[#This Row],[Orginal staus of shipment]]&lt;&gt;"Delivered","not applicabel", IF(logistics_data[[#This Row],[Transit_Days]]&gt;=5,"slow","fast"))</f>
        <v>slow</v>
      </c>
    </row>
    <row r="343" spans="1:14" x14ac:dyDescent="0.3">
      <c r="A343" t="s">
        <v>389</v>
      </c>
      <c r="B343" t="s">
        <v>39</v>
      </c>
      <c r="C343" t="s">
        <v>44</v>
      </c>
      <c r="D343" t="s">
        <v>37</v>
      </c>
      <c r="E343" s="1">
        <v>45119</v>
      </c>
      <c r="F343" s="1">
        <v>45122</v>
      </c>
      <c r="G343">
        <v>13.9</v>
      </c>
      <c r="H343">
        <v>136.58000000000001</v>
      </c>
      <c r="I343" t="s">
        <v>15</v>
      </c>
      <c r="J343">
        <v>1028</v>
      </c>
      <c r="K343">
        <v>3</v>
      </c>
      <c r="L343" t="str">
        <f>IF(logistics_data[[#This Row],[Delivery_Date]]="","In Transit",
 IF(logistics_data[[#This Row],[Status]]="Lost","Lost",
 IF(logistics_data[[#This Row],[Status]]="Returned","Returned",
 IF(logistics_data[[#This Row],[Status]]="Delayed","Delayed",
 "Delivered"))))</f>
        <v>Delivered</v>
      </c>
      <c r="M343" s="2">
        <f>logistics_data[[#This Row],[Cost]]/logistics_data[[#This Row],[Distance_miles]]</f>
        <v>0.13285992217898834</v>
      </c>
      <c r="N343" t="str">
        <f>IF(logistics_data[[#This Row],[Orginal staus of shipment]]&lt;&gt;"Delivered","not applicabel", IF(logistics_data[[#This Row],[Transit_Days]]&gt;=5,"slow","fast"))</f>
        <v>fast</v>
      </c>
    </row>
    <row r="344" spans="1:14" x14ac:dyDescent="0.3">
      <c r="A344" t="s">
        <v>390</v>
      </c>
      <c r="B344" t="s">
        <v>20</v>
      </c>
      <c r="C344" t="s">
        <v>17</v>
      </c>
      <c r="D344" t="s">
        <v>42</v>
      </c>
      <c r="E344" s="1">
        <v>44946</v>
      </c>
      <c r="F344" s="1">
        <v>44955</v>
      </c>
      <c r="G344">
        <v>41</v>
      </c>
      <c r="H344">
        <v>278.39</v>
      </c>
      <c r="I344" t="s">
        <v>47</v>
      </c>
      <c r="J344">
        <v>2061</v>
      </c>
      <c r="K344">
        <v>5</v>
      </c>
      <c r="L344" t="str">
        <f>IF(logistics_data[[#This Row],[Delivery_Date]]="","In Transit",
 IF(logistics_data[[#This Row],[Status]]="Lost","Lost",
 IF(logistics_data[[#This Row],[Status]]="Returned","Returned",
 IF(logistics_data[[#This Row],[Status]]="Delayed","Delayed",
 "Delivered"))))</f>
        <v>Delayed</v>
      </c>
      <c r="M344" s="2">
        <f>logistics_data[[#This Row],[Cost]]/logistics_data[[#This Row],[Distance_miles]]</f>
        <v>0.13507520621057739</v>
      </c>
      <c r="N344" t="str">
        <f>IF(logistics_data[[#This Row],[Orginal staus of shipment]]&lt;&gt;"Delivered","not applicabel", IF(logistics_data[[#This Row],[Transit_Days]]&gt;=5,"slow","fast"))</f>
        <v>not applicabel</v>
      </c>
    </row>
    <row r="345" spans="1:14" x14ac:dyDescent="0.3">
      <c r="A345" t="s">
        <v>391</v>
      </c>
      <c r="B345" t="s">
        <v>20</v>
      </c>
      <c r="C345" t="s">
        <v>44</v>
      </c>
      <c r="D345" t="s">
        <v>59</v>
      </c>
      <c r="E345" s="1">
        <v>45213</v>
      </c>
      <c r="F345" s="1">
        <v>45218</v>
      </c>
      <c r="G345">
        <v>26.1</v>
      </c>
      <c r="H345">
        <v>232.56</v>
      </c>
      <c r="I345" t="s">
        <v>15</v>
      </c>
      <c r="J345">
        <v>1772</v>
      </c>
      <c r="K345">
        <v>5</v>
      </c>
      <c r="L345" t="str">
        <f>IF(logistics_data[[#This Row],[Delivery_Date]]="","In Transit",
 IF(logistics_data[[#This Row],[Status]]="Lost","Lost",
 IF(logistics_data[[#This Row],[Status]]="Returned","Returned",
 IF(logistics_data[[#This Row],[Status]]="Delayed","Delayed",
 "Delivered"))))</f>
        <v>Delivered</v>
      </c>
      <c r="M345" s="2">
        <f>logistics_data[[#This Row],[Cost]]/logistics_data[[#This Row],[Distance_miles]]</f>
        <v>0.13124153498871333</v>
      </c>
      <c r="N345" t="str">
        <f>IF(logistics_data[[#This Row],[Orginal staus of shipment]]&lt;&gt;"Delivered","not applicabel", IF(logistics_data[[#This Row],[Transit_Days]]&gt;=5,"slow","fast"))</f>
        <v>slow</v>
      </c>
    </row>
    <row r="346" spans="1:14" x14ac:dyDescent="0.3">
      <c r="A346" t="s">
        <v>392</v>
      </c>
      <c r="B346" t="s">
        <v>20</v>
      </c>
      <c r="C346" t="s">
        <v>44</v>
      </c>
      <c r="D346" t="s">
        <v>59</v>
      </c>
      <c r="E346" s="1">
        <v>45219</v>
      </c>
      <c r="F346" s="1">
        <v>45223</v>
      </c>
      <c r="G346">
        <v>26.2</v>
      </c>
      <c r="H346">
        <v>210.07</v>
      </c>
      <c r="I346" t="s">
        <v>15</v>
      </c>
      <c r="J346">
        <v>1707</v>
      </c>
      <c r="K346">
        <v>4</v>
      </c>
      <c r="L346" t="str">
        <f>IF(logistics_data[[#This Row],[Delivery_Date]]="","In Transit",
 IF(logistics_data[[#This Row],[Status]]="Lost","Lost",
 IF(logistics_data[[#This Row],[Status]]="Returned","Returned",
 IF(logistics_data[[#This Row],[Status]]="Delayed","Delayed",
 "Delivered"))))</f>
        <v>Delivered</v>
      </c>
      <c r="M346" s="2">
        <f>logistics_data[[#This Row],[Cost]]/logistics_data[[#This Row],[Distance_miles]]</f>
        <v>0.1230638547158758</v>
      </c>
      <c r="N346" t="str">
        <f>IF(logistics_data[[#This Row],[Orginal staus of shipment]]&lt;&gt;"Delivered","not applicabel", IF(logistics_data[[#This Row],[Transit_Days]]&gt;=5,"slow","fast"))</f>
        <v>fast</v>
      </c>
    </row>
    <row r="347" spans="1:14" x14ac:dyDescent="0.3">
      <c r="A347" t="s">
        <v>393</v>
      </c>
      <c r="B347" t="s">
        <v>49</v>
      </c>
      <c r="C347" t="s">
        <v>40</v>
      </c>
      <c r="D347" t="s">
        <v>59</v>
      </c>
      <c r="E347" s="1">
        <v>44971</v>
      </c>
      <c r="F347" s="1">
        <v>44941</v>
      </c>
      <c r="G347">
        <v>47.6</v>
      </c>
      <c r="H347">
        <v>135.78</v>
      </c>
      <c r="I347" t="s">
        <v>47</v>
      </c>
      <c r="J347">
        <v>636</v>
      </c>
      <c r="K347">
        <v>1</v>
      </c>
      <c r="L347" t="str">
        <f>IF(logistics_data[[#This Row],[Delivery_Date]]="","In Transit",
 IF(logistics_data[[#This Row],[Status]]="Lost","Lost",
 IF(logistics_data[[#This Row],[Status]]="Returned","Returned",
 IF(logistics_data[[#This Row],[Status]]="Delayed","Delayed",
 "Delivered"))))</f>
        <v>Delayed</v>
      </c>
      <c r="M347" s="2">
        <f>logistics_data[[#This Row],[Cost]]/logistics_data[[#This Row],[Distance_miles]]</f>
        <v>0.21349056603773586</v>
      </c>
      <c r="N347" t="str">
        <f>IF(logistics_data[[#This Row],[Orginal staus of shipment]]&lt;&gt;"Delivered","not applicabel", IF(logistics_data[[#This Row],[Transit_Days]]&gt;=5,"slow","fast"))</f>
        <v>not applicabel</v>
      </c>
    </row>
    <row r="348" spans="1:14" x14ac:dyDescent="0.3">
      <c r="A348" t="s">
        <v>394</v>
      </c>
      <c r="B348" t="s">
        <v>27</v>
      </c>
      <c r="C348" t="s">
        <v>21</v>
      </c>
      <c r="D348" t="s">
        <v>32</v>
      </c>
      <c r="E348" s="1">
        <v>45236</v>
      </c>
      <c r="F348" s="1">
        <v>45246</v>
      </c>
      <c r="G348">
        <v>10.8</v>
      </c>
      <c r="H348">
        <v>349.56</v>
      </c>
      <c r="I348" t="s">
        <v>62</v>
      </c>
      <c r="J348">
        <v>1953</v>
      </c>
      <c r="K348">
        <v>10</v>
      </c>
      <c r="L348" t="str">
        <f>IF(logistics_data[[#This Row],[Delivery_Date]]="","In Transit",
 IF(logistics_data[[#This Row],[Status]]="Lost","Lost",
 IF(logistics_data[[#This Row],[Status]]="Returned","Returned",
 IF(logistics_data[[#This Row],[Status]]="Delayed","Delayed",
 "Delivered"))))</f>
        <v>Delivered</v>
      </c>
      <c r="M348" s="2">
        <f>logistics_data[[#This Row],[Cost]]/logistics_data[[#This Row],[Distance_miles]]</f>
        <v>0.17898617511520737</v>
      </c>
      <c r="N348" t="str">
        <f>IF(logistics_data[[#This Row],[Orginal staus of shipment]]&lt;&gt;"Delivered","not applicabel", IF(logistics_data[[#This Row],[Transit_Days]]&gt;=5,"slow","fast"))</f>
        <v>slow</v>
      </c>
    </row>
    <row r="349" spans="1:14" x14ac:dyDescent="0.3">
      <c r="A349" t="s">
        <v>395</v>
      </c>
      <c r="B349" t="s">
        <v>51</v>
      </c>
      <c r="C349" t="s">
        <v>40</v>
      </c>
      <c r="D349" t="s">
        <v>59</v>
      </c>
      <c r="E349" s="1">
        <v>45227</v>
      </c>
      <c r="F349" s="1">
        <v>45232</v>
      </c>
      <c r="G349">
        <v>42.4</v>
      </c>
      <c r="H349">
        <v>192.86</v>
      </c>
      <c r="I349" t="s">
        <v>15</v>
      </c>
      <c r="J349">
        <v>1319</v>
      </c>
      <c r="K349">
        <v>5</v>
      </c>
      <c r="L349" t="str">
        <f>IF(logistics_data[[#This Row],[Delivery_Date]]="","In Transit",
 IF(logistics_data[[#This Row],[Status]]="Lost","Lost",
 IF(logistics_data[[#This Row],[Status]]="Returned","Returned",
 IF(logistics_data[[#This Row],[Status]]="Delayed","Delayed",
 "Delivered"))))</f>
        <v>Delivered</v>
      </c>
      <c r="M349" s="2">
        <f>logistics_data[[#This Row],[Cost]]/logistics_data[[#This Row],[Distance_miles]]</f>
        <v>0.14621683093252466</v>
      </c>
      <c r="N349" t="str">
        <f>IF(logistics_data[[#This Row],[Orginal staus of shipment]]&lt;&gt;"Delivered","not applicabel", IF(logistics_data[[#This Row],[Transit_Days]]&gt;=5,"slow","fast"))</f>
        <v>slow</v>
      </c>
    </row>
    <row r="350" spans="1:14" x14ac:dyDescent="0.3">
      <c r="A350" t="s">
        <v>396</v>
      </c>
      <c r="B350" t="s">
        <v>56</v>
      </c>
      <c r="C350" t="s">
        <v>46</v>
      </c>
      <c r="D350" t="s">
        <v>25</v>
      </c>
      <c r="E350" s="1">
        <v>45277</v>
      </c>
      <c r="G350">
        <v>8.1999999999999993</v>
      </c>
      <c r="H350">
        <v>69.790000000000006</v>
      </c>
      <c r="I350" t="s">
        <v>15</v>
      </c>
      <c r="J350">
        <v>383</v>
      </c>
      <c r="K350">
        <v>2</v>
      </c>
      <c r="L350" t="str">
        <f>IF(logistics_data[[#This Row],[Delivery_Date]]="","In Transit",
 IF(logistics_data[[#This Row],[Status]]="Lost","Lost",
 IF(logistics_data[[#This Row],[Status]]="Returned","Returned",
 IF(logistics_data[[#This Row],[Status]]="Delayed","Delayed",
 "Delivered"))))</f>
        <v>In Transit</v>
      </c>
      <c r="M350" s="2">
        <f>logistics_data[[#This Row],[Cost]]/logistics_data[[#This Row],[Distance_miles]]</f>
        <v>0.18221932114882508</v>
      </c>
      <c r="N350" t="str">
        <f>IF(logistics_data[[#This Row],[Orginal staus of shipment]]&lt;&gt;"Delivered","not applicabel", IF(logistics_data[[#This Row],[Transit_Days]]&gt;=5,"slow","fast"))</f>
        <v>not applicabel</v>
      </c>
    </row>
    <row r="351" spans="1:14" x14ac:dyDescent="0.3">
      <c r="A351" t="s">
        <v>397</v>
      </c>
      <c r="B351" t="s">
        <v>49</v>
      </c>
      <c r="C351" t="s">
        <v>21</v>
      </c>
      <c r="D351" t="s">
        <v>14</v>
      </c>
      <c r="E351" s="1">
        <v>45170</v>
      </c>
      <c r="F351" s="1">
        <v>45173</v>
      </c>
      <c r="G351">
        <v>26.1</v>
      </c>
      <c r="H351">
        <v>75.760000000000005</v>
      </c>
      <c r="I351" t="s">
        <v>15</v>
      </c>
      <c r="J351">
        <v>325</v>
      </c>
      <c r="K351">
        <v>3</v>
      </c>
      <c r="L351" t="str">
        <f>IF(logistics_data[[#This Row],[Delivery_Date]]="","In Transit",
 IF(logistics_data[[#This Row],[Status]]="Lost","Lost",
 IF(logistics_data[[#This Row],[Status]]="Returned","Returned",
 IF(logistics_data[[#This Row],[Status]]="Delayed","Delayed",
 "Delivered"))))</f>
        <v>Delivered</v>
      </c>
      <c r="M351" s="2">
        <f>logistics_data[[#This Row],[Cost]]/logistics_data[[#This Row],[Distance_miles]]</f>
        <v>0.23310769230769232</v>
      </c>
      <c r="N351" t="str">
        <f>IF(logistics_data[[#This Row],[Orginal staus of shipment]]&lt;&gt;"Delivered","not applicabel", IF(logistics_data[[#This Row],[Transit_Days]]&gt;=5,"slow","fast"))</f>
        <v>fast</v>
      </c>
    </row>
    <row r="352" spans="1:14" x14ac:dyDescent="0.3">
      <c r="A352" t="s">
        <v>398</v>
      </c>
      <c r="B352" t="s">
        <v>27</v>
      </c>
      <c r="C352" t="s">
        <v>36</v>
      </c>
      <c r="D352" t="s">
        <v>14</v>
      </c>
      <c r="E352" s="1">
        <v>45019</v>
      </c>
      <c r="F352" s="1">
        <v>45021</v>
      </c>
      <c r="G352">
        <v>21.1</v>
      </c>
      <c r="H352">
        <v>73.7</v>
      </c>
      <c r="I352" t="s">
        <v>15</v>
      </c>
      <c r="J352">
        <v>347</v>
      </c>
      <c r="K352">
        <v>2</v>
      </c>
      <c r="L352" t="str">
        <f>IF(logistics_data[[#This Row],[Delivery_Date]]="","In Transit",
 IF(logistics_data[[#This Row],[Status]]="Lost","Lost",
 IF(logistics_data[[#This Row],[Status]]="Returned","Returned",
 IF(logistics_data[[#This Row],[Status]]="Delayed","Delayed",
 "Delivered"))))</f>
        <v>Delivered</v>
      </c>
      <c r="M352" s="2">
        <f>logistics_data[[#This Row],[Cost]]/logistics_data[[#This Row],[Distance_miles]]</f>
        <v>0.21239193083573488</v>
      </c>
      <c r="N352" t="str">
        <f>IF(logistics_data[[#This Row],[Orginal staus of shipment]]&lt;&gt;"Delivered","not applicabel", IF(logistics_data[[#This Row],[Transit_Days]]&gt;=5,"slow","fast"))</f>
        <v>fast</v>
      </c>
    </row>
    <row r="353" spans="1:14" x14ac:dyDescent="0.3">
      <c r="A353" t="s">
        <v>399</v>
      </c>
      <c r="B353" t="s">
        <v>27</v>
      </c>
      <c r="C353" t="s">
        <v>36</v>
      </c>
      <c r="D353" t="s">
        <v>37</v>
      </c>
      <c r="E353" s="1">
        <v>45100</v>
      </c>
      <c r="F353" s="1">
        <v>45102</v>
      </c>
      <c r="G353">
        <v>15.7</v>
      </c>
      <c r="H353">
        <v>87.18</v>
      </c>
      <c r="I353" t="s">
        <v>15</v>
      </c>
      <c r="J353">
        <v>509</v>
      </c>
      <c r="K353">
        <v>2</v>
      </c>
      <c r="L353" t="str">
        <f>IF(logistics_data[[#This Row],[Delivery_Date]]="","In Transit",
 IF(logistics_data[[#This Row],[Status]]="Lost","Lost",
 IF(logistics_data[[#This Row],[Status]]="Returned","Returned",
 IF(logistics_data[[#This Row],[Status]]="Delayed","Delayed",
 "Delivered"))))</f>
        <v>Delivered</v>
      </c>
      <c r="M353" s="2">
        <f>logistics_data[[#This Row],[Cost]]/logistics_data[[#This Row],[Distance_miles]]</f>
        <v>0.1712770137524558</v>
      </c>
      <c r="N353" t="str">
        <f>IF(logistics_data[[#This Row],[Orginal staus of shipment]]&lt;&gt;"Delivered","not applicabel", IF(logistics_data[[#This Row],[Transit_Days]]&gt;=5,"slow","fast"))</f>
        <v>fast</v>
      </c>
    </row>
    <row r="354" spans="1:14" x14ac:dyDescent="0.3">
      <c r="A354" t="s">
        <v>400</v>
      </c>
      <c r="B354" t="s">
        <v>49</v>
      </c>
      <c r="C354" t="s">
        <v>57</v>
      </c>
      <c r="D354" t="s">
        <v>25</v>
      </c>
      <c r="E354" s="1">
        <v>45276</v>
      </c>
      <c r="F354" s="1">
        <v>45278</v>
      </c>
      <c r="G354">
        <v>14.3</v>
      </c>
      <c r="H354">
        <v>88.22</v>
      </c>
      <c r="I354" t="s">
        <v>15</v>
      </c>
      <c r="J354">
        <v>421</v>
      </c>
      <c r="K354">
        <v>2</v>
      </c>
      <c r="L354" t="str">
        <f>IF(logistics_data[[#This Row],[Delivery_Date]]="","In Transit",
 IF(logistics_data[[#This Row],[Status]]="Lost","Lost",
 IF(logistics_data[[#This Row],[Status]]="Returned","Returned",
 IF(logistics_data[[#This Row],[Status]]="Delayed","Delayed",
 "Delivered"))))</f>
        <v>Delivered</v>
      </c>
      <c r="M354" s="2">
        <f>logistics_data[[#This Row],[Cost]]/logistics_data[[#This Row],[Distance_miles]]</f>
        <v>0.20954869358669834</v>
      </c>
      <c r="N354" t="str">
        <f>IF(logistics_data[[#This Row],[Orginal staus of shipment]]&lt;&gt;"Delivered","not applicabel", IF(logistics_data[[#This Row],[Transit_Days]]&gt;=5,"slow","fast"))</f>
        <v>fast</v>
      </c>
    </row>
    <row r="355" spans="1:14" x14ac:dyDescent="0.3">
      <c r="A355" t="s">
        <v>401</v>
      </c>
      <c r="B355" t="s">
        <v>39</v>
      </c>
      <c r="C355" t="s">
        <v>57</v>
      </c>
      <c r="D355" t="s">
        <v>25</v>
      </c>
      <c r="E355" s="1">
        <v>45166</v>
      </c>
      <c r="F355" s="1">
        <v>45171</v>
      </c>
      <c r="G355">
        <v>34.299999999999997</v>
      </c>
      <c r="H355">
        <v>287.66000000000003</v>
      </c>
      <c r="I355" t="s">
        <v>15</v>
      </c>
      <c r="J355">
        <v>2065</v>
      </c>
      <c r="K355">
        <v>5</v>
      </c>
      <c r="L355" t="str">
        <f>IF(logistics_data[[#This Row],[Delivery_Date]]="","In Transit",
 IF(logistics_data[[#This Row],[Status]]="Lost","Lost",
 IF(logistics_data[[#This Row],[Status]]="Returned","Returned",
 IF(logistics_data[[#This Row],[Status]]="Delayed","Delayed",
 "Delivered"))))</f>
        <v>Delivered</v>
      </c>
      <c r="M355" s="2">
        <f>logistics_data[[#This Row],[Cost]]/logistics_data[[#This Row],[Distance_miles]]</f>
        <v>0.13930266343825667</v>
      </c>
      <c r="N355" t="str">
        <f>IF(logistics_data[[#This Row],[Orginal staus of shipment]]&lt;&gt;"Delivered","not applicabel", IF(logistics_data[[#This Row],[Transit_Days]]&gt;=5,"slow","fast"))</f>
        <v>slow</v>
      </c>
    </row>
    <row r="356" spans="1:14" x14ac:dyDescent="0.3">
      <c r="A356" t="s">
        <v>402</v>
      </c>
      <c r="B356" t="s">
        <v>35</v>
      </c>
      <c r="C356" t="s">
        <v>70</v>
      </c>
      <c r="D356" t="s">
        <v>14</v>
      </c>
      <c r="E356" s="1">
        <v>45059</v>
      </c>
      <c r="F356" s="1">
        <v>45066</v>
      </c>
      <c r="G356">
        <v>13.7</v>
      </c>
      <c r="H356">
        <v>341.16</v>
      </c>
      <c r="I356" t="s">
        <v>15</v>
      </c>
      <c r="J356">
        <v>2361</v>
      </c>
      <c r="K356">
        <v>7</v>
      </c>
      <c r="L356" t="str">
        <f>IF(logistics_data[[#This Row],[Delivery_Date]]="","In Transit",
 IF(logistics_data[[#This Row],[Status]]="Lost","Lost",
 IF(logistics_data[[#This Row],[Status]]="Returned","Returned",
 IF(logistics_data[[#This Row],[Status]]="Delayed","Delayed",
 "Delivered"))))</f>
        <v>Delivered</v>
      </c>
      <c r="M356" s="2">
        <f>logistics_data[[#This Row],[Cost]]/logistics_data[[#This Row],[Distance_miles]]</f>
        <v>0.14449809402795427</v>
      </c>
      <c r="N356" t="str">
        <f>IF(logistics_data[[#This Row],[Orginal staus of shipment]]&lt;&gt;"Delivered","not applicabel", IF(logistics_data[[#This Row],[Transit_Days]]&gt;=5,"slow","fast"))</f>
        <v>slow</v>
      </c>
    </row>
    <row r="357" spans="1:14" x14ac:dyDescent="0.3">
      <c r="A357" t="s">
        <v>403</v>
      </c>
      <c r="B357" t="s">
        <v>12</v>
      </c>
      <c r="C357" t="s">
        <v>13</v>
      </c>
      <c r="D357" t="s">
        <v>18</v>
      </c>
      <c r="E357" s="1">
        <v>45288</v>
      </c>
      <c r="F357" s="1">
        <v>45292</v>
      </c>
      <c r="G357">
        <v>31.2</v>
      </c>
      <c r="H357">
        <v>274.73</v>
      </c>
      <c r="I357" t="s">
        <v>15</v>
      </c>
      <c r="J357">
        <v>1415</v>
      </c>
      <c r="K357">
        <v>4</v>
      </c>
      <c r="L357" t="str">
        <f>IF(logistics_data[[#This Row],[Delivery_Date]]="","In Transit",
 IF(logistics_data[[#This Row],[Status]]="Lost","Lost",
 IF(logistics_data[[#This Row],[Status]]="Returned","Returned",
 IF(logistics_data[[#This Row],[Status]]="Delayed","Delayed",
 "Delivered"))))</f>
        <v>Delivered</v>
      </c>
      <c r="M357" s="2">
        <f>logistics_data[[#This Row],[Cost]]/logistics_data[[#This Row],[Distance_miles]]</f>
        <v>0.19415547703180214</v>
      </c>
      <c r="N357" t="str">
        <f>IF(logistics_data[[#This Row],[Orginal staus of shipment]]&lt;&gt;"Delivered","not applicabel", IF(logistics_data[[#This Row],[Transit_Days]]&gt;=5,"slow","fast"))</f>
        <v>fast</v>
      </c>
    </row>
    <row r="358" spans="1:14" x14ac:dyDescent="0.3">
      <c r="A358" t="s">
        <v>404</v>
      </c>
      <c r="B358" t="s">
        <v>27</v>
      </c>
      <c r="C358" t="s">
        <v>40</v>
      </c>
      <c r="D358" t="s">
        <v>42</v>
      </c>
      <c r="E358" s="1">
        <v>45249</v>
      </c>
      <c r="F358" s="1">
        <v>45254</v>
      </c>
      <c r="G358">
        <v>18.7</v>
      </c>
      <c r="H358">
        <v>270.75</v>
      </c>
      <c r="I358" t="s">
        <v>15</v>
      </c>
      <c r="J358">
        <v>1679</v>
      </c>
      <c r="K358">
        <v>5</v>
      </c>
      <c r="L358" t="str">
        <f>IF(logistics_data[[#This Row],[Delivery_Date]]="","In Transit",
 IF(logistics_data[[#This Row],[Status]]="Lost","Lost",
 IF(logistics_data[[#This Row],[Status]]="Returned","Returned",
 IF(logistics_data[[#This Row],[Status]]="Delayed","Delayed",
 "Delivered"))))</f>
        <v>Delivered</v>
      </c>
      <c r="M358" s="2">
        <f>logistics_data[[#This Row],[Cost]]/logistics_data[[#This Row],[Distance_miles]]</f>
        <v>0.16125670041691484</v>
      </c>
      <c r="N358" t="str">
        <f>IF(logistics_data[[#This Row],[Orginal staus of shipment]]&lt;&gt;"Delivered","not applicabel", IF(logistics_data[[#This Row],[Transit_Days]]&gt;=5,"slow","fast"))</f>
        <v>slow</v>
      </c>
    </row>
    <row r="359" spans="1:14" x14ac:dyDescent="0.3">
      <c r="A359" t="s">
        <v>405</v>
      </c>
      <c r="B359" t="s">
        <v>27</v>
      </c>
      <c r="C359" t="s">
        <v>46</v>
      </c>
      <c r="D359" t="s">
        <v>18</v>
      </c>
      <c r="E359" s="1">
        <v>45174</v>
      </c>
      <c r="F359" s="1">
        <v>45177</v>
      </c>
      <c r="G359">
        <v>30</v>
      </c>
      <c r="H359">
        <v>187.33</v>
      </c>
      <c r="I359" t="s">
        <v>15</v>
      </c>
      <c r="J359">
        <v>1180</v>
      </c>
      <c r="K359">
        <v>3</v>
      </c>
      <c r="L359" t="str">
        <f>IF(logistics_data[[#This Row],[Delivery_Date]]="","In Transit",
 IF(logistics_data[[#This Row],[Status]]="Lost","Lost",
 IF(logistics_data[[#This Row],[Status]]="Returned","Returned",
 IF(logistics_data[[#This Row],[Status]]="Delayed","Delayed",
 "Delivered"))))</f>
        <v>Delivered</v>
      </c>
      <c r="M359" s="2">
        <f>logistics_data[[#This Row],[Cost]]/logistics_data[[#This Row],[Distance_miles]]</f>
        <v>0.15875423728813559</v>
      </c>
      <c r="N359" t="str">
        <f>IF(logistics_data[[#This Row],[Orginal staus of shipment]]&lt;&gt;"Delivered","not applicabel", IF(logistics_data[[#This Row],[Transit_Days]]&gt;=5,"slow","fast"))</f>
        <v>fast</v>
      </c>
    </row>
    <row r="360" spans="1:14" x14ac:dyDescent="0.3">
      <c r="A360" t="s">
        <v>406</v>
      </c>
      <c r="B360" t="s">
        <v>49</v>
      </c>
      <c r="C360" t="s">
        <v>28</v>
      </c>
      <c r="D360" t="s">
        <v>59</v>
      </c>
      <c r="E360" s="1">
        <v>44967</v>
      </c>
      <c r="F360" s="1">
        <v>44970</v>
      </c>
      <c r="G360">
        <v>20.7</v>
      </c>
      <c r="H360">
        <v>201.34</v>
      </c>
      <c r="I360" t="s">
        <v>15</v>
      </c>
      <c r="J360">
        <v>1515</v>
      </c>
      <c r="K360">
        <v>3</v>
      </c>
      <c r="L360" t="str">
        <f>IF(logistics_data[[#This Row],[Delivery_Date]]="","In Transit",
 IF(logistics_data[[#This Row],[Status]]="Lost","Lost",
 IF(logistics_data[[#This Row],[Status]]="Returned","Returned",
 IF(logistics_data[[#This Row],[Status]]="Delayed","Delayed",
 "Delivered"))))</f>
        <v>Delivered</v>
      </c>
      <c r="M360" s="2">
        <f>logistics_data[[#This Row],[Cost]]/logistics_data[[#This Row],[Distance_miles]]</f>
        <v>0.1328976897689769</v>
      </c>
      <c r="N360" t="str">
        <f>IF(logistics_data[[#This Row],[Orginal staus of shipment]]&lt;&gt;"Delivered","not applicabel", IF(logistics_data[[#This Row],[Transit_Days]]&gt;=5,"slow","fast"))</f>
        <v>fast</v>
      </c>
    </row>
    <row r="361" spans="1:14" x14ac:dyDescent="0.3">
      <c r="A361" t="s">
        <v>407</v>
      </c>
      <c r="B361" t="s">
        <v>35</v>
      </c>
      <c r="C361" t="s">
        <v>40</v>
      </c>
      <c r="D361" t="s">
        <v>37</v>
      </c>
      <c r="E361" s="1">
        <v>45240</v>
      </c>
      <c r="F361" s="1">
        <v>45242</v>
      </c>
      <c r="G361">
        <v>27.2</v>
      </c>
      <c r="H361">
        <v>87.22</v>
      </c>
      <c r="I361" t="s">
        <v>15</v>
      </c>
      <c r="J361">
        <v>283</v>
      </c>
      <c r="K361">
        <v>2</v>
      </c>
      <c r="L361" t="str">
        <f>IF(logistics_data[[#This Row],[Delivery_Date]]="","In Transit",
 IF(logistics_data[[#This Row],[Status]]="Lost","Lost",
 IF(logistics_data[[#This Row],[Status]]="Returned","Returned",
 IF(logistics_data[[#This Row],[Status]]="Delayed","Delayed",
 "Delivered"))))</f>
        <v>Delivered</v>
      </c>
      <c r="M361" s="2">
        <f>logistics_data[[#This Row],[Cost]]/logistics_data[[#This Row],[Distance_miles]]</f>
        <v>0.30819787985865726</v>
      </c>
      <c r="N361" t="str">
        <f>IF(logistics_data[[#This Row],[Orginal staus of shipment]]&lt;&gt;"Delivered","not applicabel", IF(logistics_data[[#This Row],[Transit_Days]]&gt;=5,"slow","fast"))</f>
        <v>fast</v>
      </c>
    </row>
    <row r="362" spans="1:14" x14ac:dyDescent="0.3">
      <c r="A362" t="s">
        <v>408</v>
      </c>
      <c r="B362" t="s">
        <v>12</v>
      </c>
      <c r="C362" t="s">
        <v>52</v>
      </c>
      <c r="D362" t="s">
        <v>14</v>
      </c>
      <c r="E362" s="1">
        <v>44981</v>
      </c>
      <c r="F362" s="1">
        <v>44989</v>
      </c>
      <c r="G362">
        <v>10.6</v>
      </c>
      <c r="H362">
        <v>78.78</v>
      </c>
      <c r="I362" t="s">
        <v>47</v>
      </c>
      <c r="J362">
        <v>517</v>
      </c>
      <c r="K362">
        <v>2</v>
      </c>
      <c r="L362" t="str">
        <f>IF(logistics_data[[#This Row],[Delivery_Date]]="","In Transit",
 IF(logistics_data[[#This Row],[Status]]="Lost","Lost",
 IF(logistics_data[[#This Row],[Status]]="Returned","Returned",
 IF(logistics_data[[#This Row],[Status]]="Delayed","Delayed",
 "Delivered"))))</f>
        <v>Delayed</v>
      </c>
      <c r="M362" s="2">
        <f>logistics_data[[#This Row],[Cost]]/logistics_data[[#This Row],[Distance_miles]]</f>
        <v>0.15237911025145068</v>
      </c>
      <c r="N362" t="str">
        <f>IF(logistics_data[[#This Row],[Orginal staus of shipment]]&lt;&gt;"Delivered","not applicabel", IF(logistics_data[[#This Row],[Transit_Days]]&gt;=5,"slow","fast"))</f>
        <v>not applicabel</v>
      </c>
    </row>
    <row r="363" spans="1:14" x14ac:dyDescent="0.3">
      <c r="A363" t="s">
        <v>409</v>
      </c>
      <c r="B363" t="s">
        <v>56</v>
      </c>
      <c r="C363" t="s">
        <v>57</v>
      </c>
      <c r="D363" t="s">
        <v>37</v>
      </c>
      <c r="E363" s="1">
        <v>45006</v>
      </c>
      <c r="F363" s="1">
        <v>45009</v>
      </c>
      <c r="G363">
        <v>6.9</v>
      </c>
      <c r="H363">
        <v>23.19</v>
      </c>
      <c r="I363" t="s">
        <v>15</v>
      </c>
      <c r="J363">
        <v>140</v>
      </c>
      <c r="K363">
        <v>3</v>
      </c>
      <c r="L363" t="str">
        <f>IF(logistics_data[[#This Row],[Delivery_Date]]="","In Transit",
 IF(logistics_data[[#This Row],[Status]]="Lost","Lost",
 IF(logistics_data[[#This Row],[Status]]="Returned","Returned",
 IF(logistics_data[[#This Row],[Status]]="Delayed","Delayed",
 "Delivered"))))</f>
        <v>Delivered</v>
      </c>
      <c r="M363" s="2">
        <f>logistics_data[[#This Row],[Cost]]/logistics_data[[#This Row],[Distance_miles]]</f>
        <v>0.16564285714285715</v>
      </c>
      <c r="N363" t="str">
        <f>IF(logistics_data[[#This Row],[Orginal staus of shipment]]&lt;&gt;"Delivered","not applicabel", IF(logistics_data[[#This Row],[Transit_Days]]&gt;=5,"slow","fast"))</f>
        <v>fast</v>
      </c>
    </row>
    <row r="364" spans="1:14" x14ac:dyDescent="0.3">
      <c r="A364" t="s">
        <v>410</v>
      </c>
      <c r="B364" t="s">
        <v>49</v>
      </c>
      <c r="C364" t="s">
        <v>70</v>
      </c>
      <c r="D364" t="s">
        <v>32</v>
      </c>
      <c r="E364" s="1">
        <v>45192</v>
      </c>
      <c r="F364" s="1">
        <v>45198</v>
      </c>
      <c r="G364">
        <v>17.100000000000001</v>
      </c>
      <c r="H364">
        <v>309.74</v>
      </c>
      <c r="I364" t="s">
        <v>15</v>
      </c>
      <c r="J364">
        <v>2081</v>
      </c>
      <c r="K364">
        <v>6</v>
      </c>
      <c r="L364" t="str">
        <f>IF(logistics_data[[#This Row],[Delivery_Date]]="","In Transit",
 IF(logistics_data[[#This Row],[Status]]="Lost","Lost",
 IF(logistics_data[[#This Row],[Status]]="Returned","Returned",
 IF(logistics_data[[#This Row],[Status]]="Delayed","Delayed",
 "Delivered"))))</f>
        <v>Delivered</v>
      </c>
      <c r="M364" s="2">
        <f>logistics_data[[#This Row],[Cost]]/logistics_data[[#This Row],[Distance_miles]]</f>
        <v>0.14884190293128305</v>
      </c>
      <c r="N364" t="str">
        <f>IF(logistics_data[[#This Row],[Orginal staus of shipment]]&lt;&gt;"Delivered","not applicabel", IF(logistics_data[[#This Row],[Transit_Days]]&gt;=5,"slow","fast"))</f>
        <v>slow</v>
      </c>
    </row>
    <row r="365" spans="1:14" x14ac:dyDescent="0.3">
      <c r="A365" t="s">
        <v>411</v>
      </c>
      <c r="B365" t="s">
        <v>56</v>
      </c>
      <c r="C365" t="s">
        <v>70</v>
      </c>
      <c r="D365" t="s">
        <v>14</v>
      </c>
      <c r="E365" s="1">
        <v>45086</v>
      </c>
      <c r="F365" s="1">
        <v>45092</v>
      </c>
      <c r="G365">
        <v>33.1</v>
      </c>
      <c r="H365">
        <v>283.18</v>
      </c>
      <c r="I365" t="s">
        <v>15</v>
      </c>
      <c r="J365">
        <v>1885</v>
      </c>
      <c r="K365">
        <v>6</v>
      </c>
      <c r="L365" t="str">
        <f>IF(logistics_data[[#This Row],[Delivery_Date]]="","In Transit",
 IF(logistics_data[[#This Row],[Status]]="Lost","Lost",
 IF(logistics_data[[#This Row],[Status]]="Returned","Returned",
 IF(logistics_data[[#This Row],[Status]]="Delayed","Delayed",
 "Delivered"))))</f>
        <v>Delivered</v>
      </c>
      <c r="M365" s="2">
        <f>logistics_data[[#This Row],[Cost]]/logistics_data[[#This Row],[Distance_miles]]</f>
        <v>0.15022811671087533</v>
      </c>
      <c r="N365" t="str">
        <f>IF(logistics_data[[#This Row],[Orginal staus of shipment]]&lt;&gt;"Delivered","not applicabel", IF(logistics_data[[#This Row],[Transit_Days]]&gt;=5,"slow","fast"))</f>
        <v>slow</v>
      </c>
    </row>
    <row r="366" spans="1:14" x14ac:dyDescent="0.3">
      <c r="A366" t="s">
        <v>412</v>
      </c>
      <c r="B366" t="s">
        <v>27</v>
      </c>
      <c r="C366" t="s">
        <v>36</v>
      </c>
      <c r="D366" t="s">
        <v>25</v>
      </c>
      <c r="E366" s="1">
        <v>45163</v>
      </c>
      <c r="F366" s="1">
        <v>45165</v>
      </c>
      <c r="G366">
        <v>18.7</v>
      </c>
      <c r="H366">
        <v>90.94</v>
      </c>
      <c r="I366" t="s">
        <v>15</v>
      </c>
      <c r="J366">
        <v>604</v>
      </c>
      <c r="K366">
        <v>2</v>
      </c>
      <c r="L366" t="str">
        <f>IF(logistics_data[[#This Row],[Delivery_Date]]="","In Transit",
 IF(logistics_data[[#This Row],[Status]]="Lost","Lost",
 IF(logistics_data[[#This Row],[Status]]="Returned","Returned",
 IF(logistics_data[[#This Row],[Status]]="Delayed","Delayed",
 "Delivered"))))</f>
        <v>Delivered</v>
      </c>
      <c r="M366" s="2">
        <f>logistics_data[[#This Row],[Cost]]/logistics_data[[#This Row],[Distance_miles]]</f>
        <v>0.15056291390728477</v>
      </c>
      <c r="N366" t="str">
        <f>IF(logistics_data[[#This Row],[Orginal staus of shipment]]&lt;&gt;"Delivered","not applicabel", IF(logistics_data[[#This Row],[Transit_Days]]&gt;=5,"slow","fast"))</f>
        <v>fast</v>
      </c>
    </row>
    <row r="367" spans="1:14" x14ac:dyDescent="0.3">
      <c r="A367" t="s">
        <v>413</v>
      </c>
      <c r="B367" t="s">
        <v>27</v>
      </c>
      <c r="C367" t="s">
        <v>36</v>
      </c>
      <c r="D367" t="s">
        <v>18</v>
      </c>
      <c r="E367" s="1">
        <v>45083</v>
      </c>
      <c r="F367" s="1">
        <v>45087</v>
      </c>
      <c r="G367">
        <v>21.1</v>
      </c>
      <c r="H367">
        <v>141.97999999999999</v>
      </c>
      <c r="I367" t="s">
        <v>15</v>
      </c>
      <c r="J367">
        <v>847</v>
      </c>
      <c r="K367">
        <v>4</v>
      </c>
      <c r="L367" t="str">
        <f>IF(logistics_data[[#This Row],[Delivery_Date]]="","In Transit",
 IF(logistics_data[[#This Row],[Status]]="Lost","Lost",
 IF(logistics_data[[#This Row],[Status]]="Returned","Returned",
 IF(logistics_data[[#This Row],[Status]]="Delayed","Delayed",
 "Delivered"))))</f>
        <v>Delivered</v>
      </c>
      <c r="M367" s="2">
        <f>logistics_data[[#This Row],[Cost]]/logistics_data[[#This Row],[Distance_miles]]</f>
        <v>0.16762691853600944</v>
      </c>
      <c r="N367" t="str">
        <f>IF(logistics_data[[#This Row],[Orginal staus of shipment]]&lt;&gt;"Delivered","not applicabel", IF(logistics_data[[#This Row],[Transit_Days]]&gt;=5,"slow","fast"))</f>
        <v>fast</v>
      </c>
    </row>
    <row r="368" spans="1:14" x14ac:dyDescent="0.3">
      <c r="A368" t="s">
        <v>414</v>
      </c>
      <c r="B368" t="s">
        <v>23</v>
      </c>
      <c r="C368" t="s">
        <v>46</v>
      </c>
      <c r="D368" t="s">
        <v>32</v>
      </c>
      <c r="E368" s="1">
        <v>45272</v>
      </c>
      <c r="F368" s="1">
        <v>45283</v>
      </c>
      <c r="G368">
        <v>55.1</v>
      </c>
      <c r="H368">
        <v>474.36</v>
      </c>
      <c r="I368" t="s">
        <v>47</v>
      </c>
      <c r="J368">
        <v>2247</v>
      </c>
      <c r="K368">
        <v>6</v>
      </c>
      <c r="L368" t="str">
        <f>IF(logistics_data[[#This Row],[Delivery_Date]]="","In Transit",
 IF(logistics_data[[#This Row],[Status]]="Lost","Lost",
 IF(logistics_data[[#This Row],[Status]]="Returned","Returned",
 IF(logistics_data[[#This Row],[Status]]="Delayed","Delayed",
 "Delivered"))))</f>
        <v>Delayed</v>
      </c>
      <c r="M368" s="2">
        <f>logistics_data[[#This Row],[Cost]]/logistics_data[[#This Row],[Distance_miles]]</f>
        <v>0.21110814419225635</v>
      </c>
      <c r="N368" t="str">
        <f>IF(logistics_data[[#This Row],[Orginal staus of shipment]]&lt;&gt;"Delivered","not applicabel", IF(logistics_data[[#This Row],[Transit_Days]]&gt;=5,"slow","fast"))</f>
        <v>not applicabel</v>
      </c>
    </row>
    <row r="369" spans="1:14" x14ac:dyDescent="0.3">
      <c r="A369" t="s">
        <v>415</v>
      </c>
      <c r="B369" t="s">
        <v>27</v>
      </c>
      <c r="C369" t="s">
        <v>44</v>
      </c>
      <c r="D369" t="s">
        <v>25</v>
      </c>
      <c r="E369" s="1">
        <v>45041</v>
      </c>
      <c r="F369" s="1">
        <v>45047</v>
      </c>
      <c r="G369">
        <v>14.6</v>
      </c>
      <c r="H369">
        <v>293.83</v>
      </c>
      <c r="I369" t="s">
        <v>15</v>
      </c>
      <c r="J369">
        <v>2420</v>
      </c>
      <c r="K369">
        <v>6</v>
      </c>
      <c r="L369" t="str">
        <f>IF(logistics_data[[#This Row],[Delivery_Date]]="","In Transit",
 IF(logistics_data[[#This Row],[Status]]="Lost","Lost",
 IF(logistics_data[[#This Row],[Status]]="Returned","Returned",
 IF(logistics_data[[#This Row],[Status]]="Delayed","Delayed",
 "Delivered"))))</f>
        <v>Delivered</v>
      </c>
      <c r="M369" s="2">
        <f>logistics_data[[#This Row],[Cost]]/logistics_data[[#This Row],[Distance_miles]]</f>
        <v>0.12141735537190082</v>
      </c>
      <c r="N369" t="str">
        <f>IF(logistics_data[[#This Row],[Orginal staus of shipment]]&lt;&gt;"Delivered","not applicabel", IF(logistics_data[[#This Row],[Transit_Days]]&gt;=5,"slow","fast"))</f>
        <v>slow</v>
      </c>
    </row>
    <row r="370" spans="1:14" x14ac:dyDescent="0.3">
      <c r="A370" t="s">
        <v>416</v>
      </c>
      <c r="B370" t="s">
        <v>12</v>
      </c>
      <c r="C370" t="s">
        <v>81</v>
      </c>
      <c r="D370" t="s">
        <v>32</v>
      </c>
      <c r="E370" s="1">
        <v>45005</v>
      </c>
      <c r="F370" s="1">
        <v>45011</v>
      </c>
      <c r="G370">
        <v>20.5</v>
      </c>
      <c r="H370">
        <v>315.45999999999998</v>
      </c>
      <c r="I370" t="s">
        <v>15</v>
      </c>
      <c r="J370">
        <v>2294</v>
      </c>
      <c r="K370">
        <v>6</v>
      </c>
      <c r="L370" t="str">
        <f>IF(logistics_data[[#This Row],[Delivery_Date]]="","In Transit",
 IF(logistics_data[[#This Row],[Status]]="Lost","Lost",
 IF(logistics_data[[#This Row],[Status]]="Returned","Returned",
 IF(logistics_data[[#This Row],[Status]]="Delayed","Delayed",
 "Delivered"))))</f>
        <v>Delivered</v>
      </c>
      <c r="M370" s="2">
        <f>logistics_data[[#This Row],[Cost]]/logistics_data[[#This Row],[Distance_miles]]</f>
        <v>0.13751525719267654</v>
      </c>
      <c r="N370" t="str">
        <f>IF(logistics_data[[#This Row],[Orginal staus of shipment]]&lt;&gt;"Delivered","not applicabel", IF(logistics_data[[#This Row],[Transit_Days]]&gt;=5,"slow","fast"))</f>
        <v>slow</v>
      </c>
    </row>
    <row r="371" spans="1:14" x14ac:dyDescent="0.3">
      <c r="A371" t="s">
        <v>417</v>
      </c>
      <c r="B371" t="s">
        <v>49</v>
      </c>
      <c r="C371" t="s">
        <v>17</v>
      </c>
      <c r="D371" t="s">
        <v>18</v>
      </c>
      <c r="E371" s="1">
        <v>45030</v>
      </c>
      <c r="F371" s="1">
        <v>45035</v>
      </c>
      <c r="G371">
        <v>16.8</v>
      </c>
      <c r="H371">
        <v>303.11</v>
      </c>
      <c r="I371" t="s">
        <v>15</v>
      </c>
      <c r="J371">
        <v>2091</v>
      </c>
      <c r="K371">
        <v>5</v>
      </c>
      <c r="L371" t="str">
        <f>IF(logistics_data[[#This Row],[Delivery_Date]]="","In Transit",
 IF(logistics_data[[#This Row],[Status]]="Lost","Lost",
 IF(logistics_data[[#This Row],[Status]]="Returned","Returned",
 IF(logistics_data[[#This Row],[Status]]="Delayed","Delayed",
 "Delivered"))))</f>
        <v>Delivered</v>
      </c>
      <c r="M371" s="2">
        <f>logistics_data[[#This Row],[Cost]]/logistics_data[[#This Row],[Distance_miles]]</f>
        <v>0.14495934959349593</v>
      </c>
      <c r="N371" t="str">
        <f>IF(logistics_data[[#This Row],[Orginal staus of shipment]]&lt;&gt;"Delivered","not applicabel", IF(logistics_data[[#This Row],[Transit_Days]]&gt;=5,"slow","fast"))</f>
        <v>slow</v>
      </c>
    </row>
    <row r="372" spans="1:14" x14ac:dyDescent="0.3">
      <c r="A372" t="s">
        <v>418</v>
      </c>
      <c r="B372" t="s">
        <v>23</v>
      </c>
      <c r="C372" t="s">
        <v>70</v>
      </c>
      <c r="D372" t="s">
        <v>25</v>
      </c>
      <c r="E372" s="1">
        <v>45004</v>
      </c>
      <c r="F372" s="1">
        <v>45008</v>
      </c>
      <c r="G372">
        <v>31.2</v>
      </c>
      <c r="H372">
        <v>206.1</v>
      </c>
      <c r="I372" t="s">
        <v>15</v>
      </c>
      <c r="J372">
        <v>1358</v>
      </c>
      <c r="K372">
        <v>4</v>
      </c>
      <c r="L372" t="str">
        <f>IF(logistics_data[[#This Row],[Delivery_Date]]="","In Transit",
 IF(logistics_data[[#This Row],[Status]]="Lost","Lost",
 IF(logistics_data[[#This Row],[Status]]="Returned","Returned",
 IF(logistics_data[[#This Row],[Status]]="Delayed","Delayed",
 "Delivered"))))</f>
        <v>Delivered</v>
      </c>
      <c r="M372" s="2">
        <f>logistics_data[[#This Row],[Cost]]/logistics_data[[#This Row],[Distance_miles]]</f>
        <v>0.15176730486008835</v>
      </c>
      <c r="N372" t="str">
        <f>IF(logistics_data[[#This Row],[Orginal staus of shipment]]&lt;&gt;"Delivered","not applicabel", IF(logistics_data[[#This Row],[Transit_Days]]&gt;=5,"slow","fast"))</f>
        <v>fast</v>
      </c>
    </row>
    <row r="373" spans="1:14" x14ac:dyDescent="0.3">
      <c r="A373" t="s">
        <v>419</v>
      </c>
      <c r="B373" t="s">
        <v>27</v>
      </c>
      <c r="C373" t="s">
        <v>70</v>
      </c>
      <c r="D373" t="s">
        <v>32</v>
      </c>
      <c r="E373" s="1">
        <v>45196</v>
      </c>
      <c r="F373" s="1">
        <v>45198</v>
      </c>
      <c r="G373">
        <v>16</v>
      </c>
      <c r="H373">
        <v>87.01</v>
      </c>
      <c r="I373" t="s">
        <v>67</v>
      </c>
      <c r="J373">
        <v>484</v>
      </c>
      <c r="K373">
        <v>2</v>
      </c>
      <c r="L373" t="str">
        <f>IF(logistics_data[[#This Row],[Delivery_Date]]="","In Transit",
 IF(logistics_data[[#This Row],[Status]]="Lost","Lost",
 IF(logistics_data[[#This Row],[Status]]="Returned","Returned",
 IF(logistics_data[[#This Row],[Status]]="Delayed","Delayed",
 "Delivered"))))</f>
        <v>Returned</v>
      </c>
      <c r="M373" s="2">
        <f>logistics_data[[#This Row],[Cost]]/logistics_data[[#This Row],[Distance_miles]]</f>
        <v>0.17977272727272728</v>
      </c>
      <c r="N373" t="str">
        <f>IF(logistics_data[[#This Row],[Orginal staus of shipment]]&lt;&gt;"Delivered","not applicabel", IF(logistics_data[[#This Row],[Transit_Days]]&gt;=5,"slow","fast"))</f>
        <v>not applicabel</v>
      </c>
    </row>
    <row r="374" spans="1:14" x14ac:dyDescent="0.3">
      <c r="A374" t="s">
        <v>420</v>
      </c>
      <c r="B374" t="s">
        <v>12</v>
      </c>
      <c r="C374" t="s">
        <v>54</v>
      </c>
      <c r="D374" t="s">
        <v>32</v>
      </c>
      <c r="E374" s="1">
        <v>45246</v>
      </c>
      <c r="F374" s="1">
        <v>45247</v>
      </c>
      <c r="G374">
        <v>11</v>
      </c>
      <c r="H374">
        <v>122.5</v>
      </c>
      <c r="I374" t="s">
        <v>15</v>
      </c>
      <c r="J374">
        <v>675</v>
      </c>
      <c r="K374">
        <v>1</v>
      </c>
      <c r="L374" t="str">
        <f>IF(logistics_data[[#This Row],[Delivery_Date]]="","In Transit",
 IF(logistics_data[[#This Row],[Status]]="Lost","Lost",
 IF(logistics_data[[#This Row],[Status]]="Returned","Returned",
 IF(logistics_data[[#This Row],[Status]]="Delayed","Delayed",
 "Delivered"))))</f>
        <v>Delivered</v>
      </c>
      <c r="M374" s="2">
        <f>logistics_data[[#This Row],[Cost]]/logistics_data[[#This Row],[Distance_miles]]</f>
        <v>0.18148148148148149</v>
      </c>
      <c r="N374" t="str">
        <f>IF(logistics_data[[#This Row],[Orginal staus of shipment]]&lt;&gt;"Delivered","not applicabel", IF(logistics_data[[#This Row],[Transit_Days]]&gt;=5,"slow","fast"))</f>
        <v>fast</v>
      </c>
    </row>
    <row r="375" spans="1:14" x14ac:dyDescent="0.3">
      <c r="A375" t="s">
        <v>421</v>
      </c>
      <c r="B375" t="s">
        <v>30</v>
      </c>
      <c r="C375" t="s">
        <v>40</v>
      </c>
      <c r="D375" t="s">
        <v>59</v>
      </c>
      <c r="E375" s="1">
        <v>45086</v>
      </c>
      <c r="F375" s="1">
        <v>45092</v>
      </c>
      <c r="G375">
        <v>37.9</v>
      </c>
      <c r="H375">
        <v>236.61</v>
      </c>
      <c r="I375" t="s">
        <v>15</v>
      </c>
      <c r="J375">
        <v>1884</v>
      </c>
      <c r="K375">
        <v>6</v>
      </c>
      <c r="L375" t="str">
        <f>IF(logistics_data[[#This Row],[Delivery_Date]]="","In Transit",
 IF(logistics_data[[#This Row],[Status]]="Lost","Lost",
 IF(logistics_data[[#This Row],[Status]]="Returned","Returned",
 IF(logistics_data[[#This Row],[Status]]="Delayed","Delayed",
 "Delivered"))))</f>
        <v>Delivered</v>
      </c>
      <c r="M375" s="2">
        <f>logistics_data[[#This Row],[Cost]]/logistics_data[[#This Row],[Distance_miles]]</f>
        <v>0.1255891719745223</v>
      </c>
      <c r="N375" t="str">
        <f>IF(logistics_data[[#This Row],[Orginal staus of shipment]]&lt;&gt;"Delivered","not applicabel", IF(logistics_data[[#This Row],[Transit_Days]]&gt;=5,"slow","fast"))</f>
        <v>slow</v>
      </c>
    </row>
    <row r="376" spans="1:14" x14ac:dyDescent="0.3">
      <c r="A376" t="s">
        <v>422</v>
      </c>
      <c r="B376" t="s">
        <v>12</v>
      </c>
      <c r="C376" t="s">
        <v>44</v>
      </c>
      <c r="D376" t="s">
        <v>32</v>
      </c>
      <c r="E376" s="1">
        <v>45150</v>
      </c>
      <c r="F376" s="1">
        <v>45155</v>
      </c>
      <c r="G376">
        <v>21.8</v>
      </c>
      <c r="H376">
        <v>299.39999999999998</v>
      </c>
      <c r="I376" t="s">
        <v>15</v>
      </c>
      <c r="J376">
        <v>2196</v>
      </c>
      <c r="K376">
        <v>5</v>
      </c>
      <c r="L376" t="str">
        <f>IF(logistics_data[[#This Row],[Delivery_Date]]="","In Transit",
 IF(logistics_data[[#This Row],[Status]]="Lost","Lost",
 IF(logistics_data[[#This Row],[Status]]="Returned","Returned",
 IF(logistics_data[[#This Row],[Status]]="Delayed","Delayed",
 "Delivered"))))</f>
        <v>Delivered</v>
      </c>
      <c r="M376" s="2">
        <f>logistics_data[[#This Row],[Cost]]/logistics_data[[#This Row],[Distance_miles]]</f>
        <v>0.13633879781420763</v>
      </c>
      <c r="N376" t="str">
        <f>IF(logistics_data[[#This Row],[Orginal staus of shipment]]&lt;&gt;"Delivered","not applicabel", IF(logistics_data[[#This Row],[Transit_Days]]&gt;=5,"slow","fast"))</f>
        <v>slow</v>
      </c>
    </row>
    <row r="377" spans="1:14" x14ac:dyDescent="0.3">
      <c r="A377" t="s">
        <v>423</v>
      </c>
      <c r="B377" t="s">
        <v>35</v>
      </c>
      <c r="C377" t="s">
        <v>17</v>
      </c>
      <c r="D377" t="s">
        <v>59</v>
      </c>
      <c r="E377" s="1">
        <v>45042</v>
      </c>
      <c r="F377" s="1">
        <v>45048</v>
      </c>
      <c r="G377">
        <v>6</v>
      </c>
      <c r="H377">
        <v>253.02</v>
      </c>
      <c r="I377" t="s">
        <v>15</v>
      </c>
      <c r="J377">
        <v>2325</v>
      </c>
      <c r="K377">
        <v>6</v>
      </c>
      <c r="L377" t="str">
        <f>IF(logistics_data[[#This Row],[Delivery_Date]]="","In Transit",
 IF(logistics_data[[#This Row],[Status]]="Lost","Lost",
 IF(logistics_data[[#This Row],[Status]]="Returned","Returned",
 IF(logistics_data[[#This Row],[Status]]="Delayed","Delayed",
 "Delivered"))))</f>
        <v>Delivered</v>
      </c>
      <c r="M377" s="2">
        <f>logistics_data[[#This Row],[Cost]]/logistics_data[[#This Row],[Distance_miles]]</f>
        <v>0.10882580645161291</v>
      </c>
      <c r="N377" t="str">
        <f>IF(logistics_data[[#This Row],[Orginal staus of shipment]]&lt;&gt;"Delivered","not applicabel", IF(logistics_data[[#This Row],[Transit_Days]]&gt;=5,"slow","fast"))</f>
        <v>slow</v>
      </c>
    </row>
    <row r="378" spans="1:14" x14ac:dyDescent="0.3">
      <c r="A378" t="s">
        <v>424</v>
      </c>
      <c r="B378" t="s">
        <v>20</v>
      </c>
      <c r="C378" t="s">
        <v>46</v>
      </c>
      <c r="D378" t="s">
        <v>59</v>
      </c>
      <c r="E378" s="1">
        <v>45116</v>
      </c>
      <c r="F378" s="1">
        <v>45119</v>
      </c>
      <c r="G378">
        <v>37.9</v>
      </c>
      <c r="H378">
        <v>171.78</v>
      </c>
      <c r="I378" t="s">
        <v>62</v>
      </c>
      <c r="J378">
        <v>1014</v>
      </c>
      <c r="K378">
        <v>3</v>
      </c>
      <c r="L378" t="str">
        <f>IF(logistics_data[[#This Row],[Delivery_Date]]="","In Transit",
 IF(logistics_data[[#This Row],[Status]]="Lost","Lost",
 IF(logistics_data[[#This Row],[Status]]="Returned","Returned",
 IF(logistics_data[[#This Row],[Status]]="Delayed","Delayed",
 "Delivered"))))</f>
        <v>Delivered</v>
      </c>
      <c r="M378" s="2">
        <f>logistics_data[[#This Row],[Cost]]/logistics_data[[#This Row],[Distance_miles]]</f>
        <v>0.16940828402366864</v>
      </c>
      <c r="N378" t="str">
        <f>IF(logistics_data[[#This Row],[Orginal staus of shipment]]&lt;&gt;"Delivered","not applicabel", IF(logistics_data[[#This Row],[Transit_Days]]&gt;=5,"slow","fast"))</f>
        <v>fast</v>
      </c>
    </row>
    <row r="379" spans="1:14" x14ac:dyDescent="0.3">
      <c r="A379" t="s">
        <v>425</v>
      </c>
      <c r="B379" t="s">
        <v>23</v>
      </c>
      <c r="C379" t="s">
        <v>28</v>
      </c>
      <c r="D379" t="s">
        <v>14</v>
      </c>
      <c r="E379" s="1">
        <v>44967</v>
      </c>
      <c r="F379" s="1">
        <v>44972</v>
      </c>
      <c r="G379">
        <v>14.8</v>
      </c>
      <c r="H379">
        <v>286.7</v>
      </c>
      <c r="I379" t="s">
        <v>15</v>
      </c>
      <c r="J379">
        <v>2050</v>
      </c>
      <c r="K379">
        <v>5</v>
      </c>
      <c r="L379" t="str">
        <f>IF(logistics_data[[#This Row],[Delivery_Date]]="","In Transit",
 IF(logistics_data[[#This Row],[Status]]="Lost","Lost",
 IF(logistics_data[[#This Row],[Status]]="Returned","Returned",
 IF(logistics_data[[#This Row],[Status]]="Delayed","Delayed",
 "Delivered"))))</f>
        <v>Delivered</v>
      </c>
      <c r="M379" s="2">
        <f>logistics_data[[#This Row],[Cost]]/logistics_data[[#This Row],[Distance_miles]]</f>
        <v>0.13985365853658535</v>
      </c>
      <c r="N379" t="str">
        <f>IF(logistics_data[[#This Row],[Orginal staus of shipment]]&lt;&gt;"Delivered","not applicabel", IF(logistics_data[[#This Row],[Transit_Days]]&gt;=5,"slow","fast"))</f>
        <v>slow</v>
      </c>
    </row>
    <row r="380" spans="1:14" x14ac:dyDescent="0.3">
      <c r="A380" t="s">
        <v>426</v>
      </c>
      <c r="B380" t="s">
        <v>56</v>
      </c>
      <c r="C380" t="s">
        <v>28</v>
      </c>
      <c r="D380" t="s">
        <v>14</v>
      </c>
      <c r="E380" s="1">
        <v>45135</v>
      </c>
      <c r="F380" s="1">
        <v>45141</v>
      </c>
      <c r="G380">
        <v>9.1</v>
      </c>
      <c r="H380">
        <v>75.28</v>
      </c>
      <c r="I380" t="s">
        <v>47</v>
      </c>
      <c r="J380">
        <v>474</v>
      </c>
      <c r="K380">
        <v>5</v>
      </c>
      <c r="L380" t="str">
        <f>IF(logistics_data[[#This Row],[Delivery_Date]]="","In Transit",
 IF(logistics_data[[#This Row],[Status]]="Lost","Lost",
 IF(logistics_data[[#This Row],[Status]]="Returned","Returned",
 IF(logistics_data[[#This Row],[Status]]="Delayed","Delayed",
 "Delivered"))))</f>
        <v>Delayed</v>
      </c>
      <c r="M380" s="2">
        <f>logistics_data[[#This Row],[Cost]]/logistics_data[[#This Row],[Distance_miles]]</f>
        <v>0.15881856540084388</v>
      </c>
      <c r="N380" t="str">
        <f>IF(logistics_data[[#This Row],[Orginal staus of shipment]]&lt;&gt;"Delivered","not applicabel", IF(logistics_data[[#This Row],[Transit_Days]]&gt;=5,"slow","fast"))</f>
        <v>not applicabel</v>
      </c>
    </row>
    <row r="381" spans="1:14" x14ac:dyDescent="0.3">
      <c r="A381" t="s">
        <v>427</v>
      </c>
      <c r="B381" t="s">
        <v>30</v>
      </c>
      <c r="C381" t="s">
        <v>70</v>
      </c>
      <c r="D381" t="s">
        <v>25</v>
      </c>
      <c r="E381" s="1">
        <v>45195</v>
      </c>
      <c r="F381" s="1">
        <v>45196</v>
      </c>
      <c r="G381">
        <v>9.5</v>
      </c>
      <c r="H381">
        <v>77.13</v>
      </c>
      <c r="I381" t="s">
        <v>15</v>
      </c>
      <c r="J381">
        <v>498</v>
      </c>
      <c r="K381">
        <v>1</v>
      </c>
      <c r="L381" t="str">
        <f>IF(logistics_data[[#This Row],[Delivery_Date]]="","In Transit",
 IF(logistics_data[[#This Row],[Status]]="Lost","Lost",
 IF(logistics_data[[#This Row],[Status]]="Returned","Returned",
 IF(logistics_data[[#This Row],[Status]]="Delayed","Delayed",
 "Delivered"))))</f>
        <v>Delivered</v>
      </c>
      <c r="M381" s="2">
        <f>logistics_data[[#This Row],[Cost]]/logistics_data[[#This Row],[Distance_miles]]</f>
        <v>0.15487951807228914</v>
      </c>
      <c r="N381" t="str">
        <f>IF(logistics_data[[#This Row],[Orginal staus of shipment]]&lt;&gt;"Delivered","not applicabel", IF(logistics_data[[#This Row],[Transit_Days]]&gt;=5,"slow","fast"))</f>
        <v>fast</v>
      </c>
    </row>
    <row r="382" spans="1:14" x14ac:dyDescent="0.3">
      <c r="A382" t="s">
        <v>428</v>
      </c>
      <c r="B382" t="s">
        <v>23</v>
      </c>
      <c r="C382" t="s">
        <v>36</v>
      </c>
      <c r="D382" t="s">
        <v>25</v>
      </c>
      <c r="E382" s="1">
        <v>45249</v>
      </c>
      <c r="F382" s="1">
        <v>45253</v>
      </c>
      <c r="G382">
        <v>33.6</v>
      </c>
      <c r="H382">
        <v>291.85000000000002</v>
      </c>
      <c r="I382" t="s">
        <v>15</v>
      </c>
      <c r="J382">
        <v>1512</v>
      </c>
      <c r="K382">
        <v>4</v>
      </c>
      <c r="L382" t="str">
        <f>IF(logistics_data[[#This Row],[Delivery_Date]]="","In Transit",
 IF(logistics_data[[#This Row],[Status]]="Lost","Lost",
 IF(logistics_data[[#This Row],[Status]]="Returned","Returned",
 IF(logistics_data[[#This Row],[Status]]="Delayed","Delayed",
 "Delivered"))))</f>
        <v>Delivered</v>
      </c>
      <c r="M382" s="2">
        <f>logistics_data[[#This Row],[Cost]]/logistics_data[[#This Row],[Distance_miles]]</f>
        <v>0.19302248677248679</v>
      </c>
      <c r="N382" t="str">
        <f>IF(logistics_data[[#This Row],[Orginal staus of shipment]]&lt;&gt;"Delivered","not applicabel", IF(logistics_data[[#This Row],[Transit_Days]]&gt;=5,"slow","fast"))</f>
        <v>fast</v>
      </c>
    </row>
    <row r="383" spans="1:14" x14ac:dyDescent="0.3">
      <c r="A383" t="s">
        <v>429</v>
      </c>
      <c r="B383" t="s">
        <v>12</v>
      </c>
      <c r="C383" t="s">
        <v>17</v>
      </c>
      <c r="D383" t="s">
        <v>59</v>
      </c>
      <c r="E383" s="1">
        <v>45237</v>
      </c>
      <c r="F383" s="1">
        <v>45242</v>
      </c>
      <c r="G383">
        <v>40.299999999999997</v>
      </c>
      <c r="H383">
        <v>206.28</v>
      </c>
      <c r="I383" t="s">
        <v>15</v>
      </c>
      <c r="J383">
        <v>1076</v>
      </c>
      <c r="K383">
        <v>5</v>
      </c>
      <c r="L383" t="str">
        <f>IF(logistics_data[[#This Row],[Delivery_Date]]="","In Transit",
 IF(logistics_data[[#This Row],[Status]]="Lost","Lost",
 IF(logistics_data[[#This Row],[Status]]="Returned","Returned",
 IF(logistics_data[[#This Row],[Status]]="Delayed","Delayed",
 "Delivered"))))</f>
        <v>Delivered</v>
      </c>
      <c r="M383" s="2">
        <f>logistics_data[[#This Row],[Cost]]/logistics_data[[#This Row],[Distance_miles]]</f>
        <v>0.19171003717472118</v>
      </c>
      <c r="N383" t="str">
        <f>IF(logistics_data[[#This Row],[Orginal staus of shipment]]&lt;&gt;"Delivered","not applicabel", IF(logistics_data[[#This Row],[Transit_Days]]&gt;=5,"slow","fast"))</f>
        <v>slow</v>
      </c>
    </row>
    <row r="384" spans="1:14" x14ac:dyDescent="0.3">
      <c r="A384" t="s">
        <v>430</v>
      </c>
      <c r="B384" t="s">
        <v>51</v>
      </c>
      <c r="C384" t="s">
        <v>36</v>
      </c>
      <c r="D384" t="s">
        <v>25</v>
      </c>
      <c r="E384" s="1">
        <v>45009</v>
      </c>
      <c r="F384" s="1">
        <v>45012</v>
      </c>
      <c r="G384">
        <v>15</v>
      </c>
      <c r="H384">
        <v>141.6</v>
      </c>
      <c r="I384" t="s">
        <v>15</v>
      </c>
      <c r="J384">
        <v>1115</v>
      </c>
      <c r="K384">
        <v>3</v>
      </c>
      <c r="L384" t="str">
        <f>IF(logistics_data[[#This Row],[Delivery_Date]]="","In Transit",
 IF(logistics_data[[#This Row],[Status]]="Lost","Lost",
 IF(logistics_data[[#This Row],[Status]]="Returned","Returned",
 IF(logistics_data[[#This Row],[Status]]="Delayed","Delayed",
 "Delivered"))))</f>
        <v>Delivered</v>
      </c>
      <c r="M384" s="2">
        <f>logistics_data[[#This Row],[Cost]]/logistics_data[[#This Row],[Distance_miles]]</f>
        <v>0.12699551569506726</v>
      </c>
      <c r="N384" t="str">
        <f>IF(logistics_data[[#This Row],[Orginal staus of shipment]]&lt;&gt;"Delivered","not applicabel", IF(logistics_data[[#This Row],[Transit_Days]]&gt;=5,"slow","fast"))</f>
        <v>fast</v>
      </c>
    </row>
    <row r="385" spans="1:14" x14ac:dyDescent="0.3">
      <c r="A385" t="s">
        <v>431</v>
      </c>
      <c r="B385" t="s">
        <v>27</v>
      </c>
      <c r="C385" t="s">
        <v>44</v>
      </c>
      <c r="D385" t="s">
        <v>42</v>
      </c>
      <c r="E385" s="1">
        <v>45183</v>
      </c>
      <c r="F385" s="1">
        <v>45185</v>
      </c>
      <c r="G385">
        <v>75.400000000000006</v>
      </c>
      <c r="H385">
        <v>109.7</v>
      </c>
      <c r="I385" t="s">
        <v>15</v>
      </c>
      <c r="J385">
        <v>242</v>
      </c>
      <c r="K385">
        <v>2</v>
      </c>
      <c r="L385" t="str">
        <f>IF(logistics_data[[#This Row],[Delivery_Date]]="","In Transit",
 IF(logistics_data[[#This Row],[Status]]="Lost","Lost",
 IF(logistics_data[[#This Row],[Status]]="Returned","Returned",
 IF(logistics_data[[#This Row],[Status]]="Delayed","Delayed",
 "Delivered"))))</f>
        <v>Delivered</v>
      </c>
      <c r="M385" s="2">
        <f>logistics_data[[#This Row],[Cost]]/logistics_data[[#This Row],[Distance_miles]]</f>
        <v>0.45330578512396696</v>
      </c>
      <c r="N385" t="str">
        <f>IF(logistics_data[[#This Row],[Orginal staus of shipment]]&lt;&gt;"Delivered","not applicabel", IF(logistics_data[[#This Row],[Transit_Days]]&gt;=5,"slow","fast"))</f>
        <v>fast</v>
      </c>
    </row>
    <row r="386" spans="1:14" x14ac:dyDescent="0.3">
      <c r="A386" t="s">
        <v>432</v>
      </c>
      <c r="B386" t="s">
        <v>20</v>
      </c>
      <c r="C386" t="s">
        <v>40</v>
      </c>
      <c r="D386" t="s">
        <v>59</v>
      </c>
      <c r="E386" s="1">
        <v>45283</v>
      </c>
      <c r="F386" s="1">
        <v>45284</v>
      </c>
      <c r="G386">
        <v>6.4</v>
      </c>
      <c r="H386">
        <v>78.84</v>
      </c>
      <c r="I386" t="s">
        <v>15</v>
      </c>
      <c r="J386">
        <v>534</v>
      </c>
      <c r="K386">
        <v>1</v>
      </c>
      <c r="L386" t="str">
        <f>IF(logistics_data[[#This Row],[Delivery_Date]]="","In Transit",
 IF(logistics_data[[#This Row],[Status]]="Lost","Lost",
 IF(logistics_data[[#This Row],[Status]]="Returned","Returned",
 IF(logistics_data[[#This Row],[Status]]="Delayed","Delayed",
 "Delivered"))))</f>
        <v>Delivered</v>
      </c>
      <c r="M386" s="2">
        <f>logistics_data[[#This Row],[Cost]]/logistics_data[[#This Row],[Distance_miles]]</f>
        <v>0.14764044943820226</v>
      </c>
      <c r="N386" t="str">
        <f>IF(logistics_data[[#This Row],[Orginal staus of shipment]]&lt;&gt;"Delivered","not applicabel", IF(logistics_data[[#This Row],[Transit_Days]]&gt;=5,"slow","fast"))</f>
        <v>fast</v>
      </c>
    </row>
    <row r="387" spans="1:14" x14ac:dyDescent="0.3">
      <c r="A387" t="s">
        <v>433</v>
      </c>
      <c r="B387" t="s">
        <v>35</v>
      </c>
      <c r="C387" t="s">
        <v>13</v>
      </c>
      <c r="D387" t="s">
        <v>25</v>
      </c>
      <c r="E387" s="1">
        <v>45154</v>
      </c>
      <c r="F387" s="1">
        <v>45160</v>
      </c>
      <c r="G387">
        <v>44.4</v>
      </c>
      <c r="H387">
        <v>179.93</v>
      </c>
      <c r="I387" t="s">
        <v>15</v>
      </c>
      <c r="J387">
        <v>1059</v>
      </c>
      <c r="K387">
        <v>6</v>
      </c>
      <c r="L387" t="str">
        <f>IF(logistics_data[[#This Row],[Delivery_Date]]="","In Transit",
 IF(logistics_data[[#This Row],[Status]]="Lost","Lost",
 IF(logistics_data[[#This Row],[Status]]="Returned","Returned",
 IF(logistics_data[[#This Row],[Status]]="Delayed","Delayed",
 "Delivered"))))</f>
        <v>Delivered</v>
      </c>
      <c r="M387" s="2">
        <f>logistics_data[[#This Row],[Cost]]/logistics_data[[#This Row],[Distance_miles]]</f>
        <v>0.16990557129367329</v>
      </c>
      <c r="N387" t="str">
        <f>IF(logistics_data[[#This Row],[Orginal staus of shipment]]&lt;&gt;"Delivered","not applicabel", IF(logistics_data[[#This Row],[Transit_Days]]&gt;=5,"slow","fast"))</f>
        <v>slow</v>
      </c>
    </row>
    <row r="388" spans="1:14" x14ac:dyDescent="0.3">
      <c r="A388" t="s">
        <v>434</v>
      </c>
      <c r="B388" t="s">
        <v>27</v>
      </c>
      <c r="C388" t="s">
        <v>57</v>
      </c>
      <c r="D388" t="s">
        <v>37</v>
      </c>
      <c r="E388" s="1">
        <v>45104</v>
      </c>
      <c r="F388" s="1">
        <v>45109</v>
      </c>
      <c r="G388">
        <v>11.7</v>
      </c>
      <c r="H388">
        <v>140.32</v>
      </c>
      <c r="I388" t="s">
        <v>15</v>
      </c>
      <c r="J388">
        <v>1060</v>
      </c>
      <c r="K388">
        <v>5</v>
      </c>
      <c r="L388" t="str">
        <f>IF(logistics_data[[#This Row],[Delivery_Date]]="","In Transit",
 IF(logistics_data[[#This Row],[Status]]="Lost","Lost",
 IF(logistics_data[[#This Row],[Status]]="Returned","Returned",
 IF(logistics_data[[#This Row],[Status]]="Delayed","Delayed",
 "Delivered"))))</f>
        <v>Delivered</v>
      </c>
      <c r="M388" s="2">
        <f>logistics_data[[#This Row],[Cost]]/logistics_data[[#This Row],[Distance_miles]]</f>
        <v>0.13237735849056603</v>
      </c>
      <c r="N388" t="str">
        <f>IF(logistics_data[[#This Row],[Orginal staus of shipment]]&lt;&gt;"Delivered","not applicabel", IF(logistics_data[[#This Row],[Transit_Days]]&gt;=5,"slow","fast"))</f>
        <v>slow</v>
      </c>
    </row>
    <row r="389" spans="1:14" x14ac:dyDescent="0.3">
      <c r="A389" t="s">
        <v>435</v>
      </c>
      <c r="B389" t="s">
        <v>39</v>
      </c>
      <c r="C389" t="s">
        <v>70</v>
      </c>
      <c r="D389" t="s">
        <v>14</v>
      </c>
      <c r="E389" s="1">
        <v>44988</v>
      </c>
      <c r="F389" s="1">
        <v>44993</v>
      </c>
      <c r="G389">
        <v>24.4</v>
      </c>
      <c r="H389">
        <v>326.92</v>
      </c>
      <c r="I389" t="s">
        <v>15</v>
      </c>
      <c r="J389">
        <v>2330</v>
      </c>
      <c r="K389">
        <v>5</v>
      </c>
      <c r="L389" t="str">
        <f>IF(logistics_data[[#This Row],[Delivery_Date]]="","In Transit",
 IF(logistics_data[[#This Row],[Status]]="Lost","Lost",
 IF(logistics_data[[#This Row],[Status]]="Returned","Returned",
 IF(logistics_data[[#This Row],[Status]]="Delayed","Delayed",
 "Delivered"))))</f>
        <v>Delivered</v>
      </c>
      <c r="M389" s="2">
        <f>logistics_data[[#This Row],[Cost]]/logistics_data[[#This Row],[Distance_miles]]</f>
        <v>0.14030901287553649</v>
      </c>
      <c r="N389" t="str">
        <f>IF(logistics_data[[#This Row],[Orginal staus of shipment]]&lt;&gt;"Delivered","not applicabel", IF(logistics_data[[#This Row],[Transit_Days]]&gt;=5,"slow","fast"))</f>
        <v>slow</v>
      </c>
    </row>
    <row r="390" spans="1:14" x14ac:dyDescent="0.3">
      <c r="A390" t="s">
        <v>436</v>
      </c>
      <c r="B390" t="s">
        <v>56</v>
      </c>
      <c r="C390" t="s">
        <v>44</v>
      </c>
      <c r="D390" t="s">
        <v>32</v>
      </c>
      <c r="E390" s="1">
        <v>45190</v>
      </c>
      <c r="F390" s="1">
        <v>45195</v>
      </c>
      <c r="G390">
        <v>20.9</v>
      </c>
      <c r="H390">
        <v>268.01</v>
      </c>
      <c r="I390" t="s">
        <v>15</v>
      </c>
      <c r="J390">
        <v>1867</v>
      </c>
      <c r="K390">
        <v>5</v>
      </c>
      <c r="L390" t="str">
        <f>IF(logistics_data[[#This Row],[Delivery_Date]]="","In Transit",
 IF(logistics_data[[#This Row],[Status]]="Lost","Lost",
 IF(logistics_data[[#This Row],[Status]]="Returned","Returned",
 IF(logistics_data[[#This Row],[Status]]="Delayed","Delayed",
 "Delivered"))))</f>
        <v>Delivered</v>
      </c>
      <c r="M390" s="2">
        <f>logistics_data[[#This Row],[Cost]]/logistics_data[[#This Row],[Distance_miles]]</f>
        <v>0.14355115158007498</v>
      </c>
      <c r="N390" t="str">
        <f>IF(logistics_data[[#This Row],[Orginal staus of shipment]]&lt;&gt;"Delivered","not applicabel", IF(logistics_data[[#This Row],[Transit_Days]]&gt;=5,"slow","fast"))</f>
        <v>slow</v>
      </c>
    </row>
    <row r="391" spans="1:14" x14ac:dyDescent="0.3">
      <c r="A391" t="s">
        <v>437</v>
      </c>
      <c r="B391" t="s">
        <v>12</v>
      </c>
      <c r="C391" t="s">
        <v>46</v>
      </c>
      <c r="D391" t="s">
        <v>25</v>
      </c>
      <c r="E391" s="1">
        <v>45172</v>
      </c>
      <c r="F391" s="1">
        <v>45180</v>
      </c>
      <c r="G391">
        <v>17.7</v>
      </c>
      <c r="I391" t="s">
        <v>15</v>
      </c>
      <c r="J391">
        <v>2465</v>
      </c>
      <c r="K391">
        <v>8</v>
      </c>
      <c r="L391" t="str">
        <f>IF(logistics_data[[#This Row],[Delivery_Date]]="","In Transit",
 IF(logistics_data[[#This Row],[Status]]="Lost","Lost",
 IF(logistics_data[[#This Row],[Status]]="Returned","Returned",
 IF(logistics_data[[#This Row],[Status]]="Delayed","Delayed",
 "Delivered"))))</f>
        <v>Delivered</v>
      </c>
      <c r="M391" s="2">
        <f>logistics_data[[#This Row],[Cost]]/logistics_data[[#This Row],[Distance_miles]]</f>
        <v>0</v>
      </c>
      <c r="N391" t="str">
        <f>IF(logistics_data[[#This Row],[Orginal staus of shipment]]&lt;&gt;"Delivered","not applicabel", IF(logistics_data[[#This Row],[Transit_Days]]&gt;=5,"slow","fast"))</f>
        <v>slow</v>
      </c>
    </row>
    <row r="392" spans="1:14" x14ac:dyDescent="0.3">
      <c r="A392" t="s">
        <v>438</v>
      </c>
      <c r="B392" t="s">
        <v>49</v>
      </c>
      <c r="C392" t="s">
        <v>28</v>
      </c>
      <c r="D392" t="s">
        <v>14</v>
      </c>
      <c r="E392" s="1">
        <v>45092</v>
      </c>
      <c r="F392" s="1">
        <v>45098</v>
      </c>
      <c r="G392">
        <v>9.1999999999999993</v>
      </c>
      <c r="H392">
        <v>286.14999999999998</v>
      </c>
      <c r="I392" t="s">
        <v>15</v>
      </c>
      <c r="J392">
        <v>2096</v>
      </c>
      <c r="K392">
        <v>6</v>
      </c>
      <c r="L392" t="str">
        <f>IF(logistics_data[[#This Row],[Delivery_Date]]="","In Transit",
 IF(logistics_data[[#This Row],[Status]]="Lost","Lost",
 IF(logistics_data[[#This Row],[Status]]="Returned","Returned",
 IF(logistics_data[[#This Row],[Status]]="Delayed","Delayed",
 "Delivered"))))</f>
        <v>Delivered</v>
      </c>
      <c r="M392" s="2">
        <f>logistics_data[[#This Row],[Cost]]/logistics_data[[#This Row],[Distance_miles]]</f>
        <v>0.13652194656488548</v>
      </c>
      <c r="N392" t="str">
        <f>IF(logistics_data[[#This Row],[Orginal staus of shipment]]&lt;&gt;"Delivered","not applicabel", IF(logistics_data[[#This Row],[Transit_Days]]&gt;=5,"slow","fast"))</f>
        <v>slow</v>
      </c>
    </row>
    <row r="393" spans="1:14" x14ac:dyDescent="0.3">
      <c r="A393" t="s">
        <v>439</v>
      </c>
      <c r="B393" t="s">
        <v>20</v>
      </c>
      <c r="C393" t="s">
        <v>13</v>
      </c>
      <c r="D393" t="s">
        <v>37</v>
      </c>
      <c r="E393" s="1">
        <v>45150</v>
      </c>
      <c r="F393" s="1">
        <v>45157</v>
      </c>
      <c r="G393">
        <v>32.4</v>
      </c>
      <c r="H393">
        <v>332.08</v>
      </c>
      <c r="I393" t="s">
        <v>15</v>
      </c>
      <c r="J393">
        <v>2409</v>
      </c>
      <c r="K393">
        <v>7</v>
      </c>
      <c r="L393" t="str">
        <f>IF(logistics_data[[#This Row],[Delivery_Date]]="","In Transit",
 IF(logistics_data[[#This Row],[Status]]="Lost","Lost",
 IF(logistics_data[[#This Row],[Status]]="Returned","Returned",
 IF(logistics_data[[#This Row],[Status]]="Delayed","Delayed",
 "Delivered"))))</f>
        <v>Delivered</v>
      </c>
      <c r="M393" s="2">
        <f>logistics_data[[#This Row],[Cost]]/logistics_data[[#This Row],[Distance_miles]]</f>
        <v>0.1378497301784973</v>
      </c>
      <c r="N393" t="str">
        <f>IF(logistics_data[[#This Row],[Orginal staus of shipment]]&lt;&gt;"Delivered","not applicabel", IF(logistics_data[[#This Row],[Transit_Days]]&gt;=5,"slow","fast"))</f>
        <v>slow</v>
      </c>
    </row>
    <row r="394" spans="1:14" x14ac:dyDescent="0.3">
      <c r="A394" t="s">
        <v>440</v>
      </c>
      <c r="B394" t="s">
        <v>27</v>
      </c>
      <c r="C394" t="s">
        <v>46</v>
      </c>
      <c r="D394" t="s">
        <v>32</v>
      </c>
      <c r="E394" s="1">
        <v>44953</v>
      </c>
      <c r="F394" s="1">
        <v>44956</v>
      </c>
      <c r="G394">
        <v>110.9</v>
      </c>
      <c r="H394">
        <v>283.94</v>
      </c>
      <c r="I394" t="s">
        <v>15</v>
      </c>
      <c r="J394">
        <v>1032</v>
      </c>
      <c r="K394">
        <v>3</v>
      </c>
      <c r="L394" t="str">
        <f>IF(logistics_data[[#This Row],[Delivery_Date]]="","In Transit",
 IF(logistics_data[[#This Row],[Status]]="Lost","Lost",
 IF(logistics_data[[#This Row],[Status]]="Returned","Returned",
 IF(logistics_data[[#This Row],[Status]]="Delayed","Delayed",
 "Delivered"))))</f>
        <v>Delivered</v>
      </c>
      <c r="M394" s="2">
        <f>logistics_data[[#This Row],[Cost]]/logistics_data[[#This Row],[Distance_miles]]</f>
        <v>0.27513565891472869</v>
      </c>
      <c r="N394" t="str">
        <f>IF(logistics_data[[#This Row],[Orginal staus of shipment]]&lt;&gt;"Delivered","not applicabel", IF(logistics_data[[#This Row],[Transit_Days]]&gt;=5,"slow","fast"))</f>
        <v>fast</v>
      </c>
    </row>
    <row r="395" spans="1:14" x14ac:dyDescent="0.3">
      <c r="A395" t="s">
        <v>441</v>
      </c>
      <c r="B395" t="s">
        <v>51</v>
      </c>
      <c r="C395" t="s">
        <v>17</v>
      </c>
      <c r="D395" t="s">
        <v>32</v>
      </c>
      <c r="E395" s="1">
        <v>45145</v>
      </c>
      <c r="F395" s="1">
        <v>45147</v>
      </c>
      <c r="G395">
        <v>50.4</v>
      </c>
      <c r="H395">
        <v>175.48</v>
      </c>
      <c r="I395" t="s">
        <v>15</v>
      </c>
      <c r="J395">
        <v>870</v>
      </c>
      <c r="K395">
        <v>2</v>
      </c>
      <c r="L395" t="str">
        <f>IF(logistics_data[[#This Row],[Delivery_Date]]="","In Transit",
 IF(logistics_data[[#This Row],[Status]]="Lost","Lost",
 IF(logistics_data[[#This Row],[Status]]="Returned","Returned",
 IF(logistics_data[[#This Row],[Status]]="Delayed","Delayed",
 "Delivered"))))</f>
        <v>Delivered</v>
      </c>
      <c r="M395" s="2">
        <f>logistics_data[[#This Row],[Cost]]/logistics_data[[#This Row],[Distance_miles]]</f>
        <v>0.20170114942528736</v>
      </c>
      <c r="N395" t="str">
        <f>IF(logistics_data[[#This Row],[Orginal staus of shipment]]&lt;&gt;"Delivered","not applicabel", IF(logistics_data[[#This Row],[Transit_Days]]&gt;=5,"slow","fast"))</f>
        <v>fast</v>
      </c>
    </row>
    <row r="396" spans="1:14" x14ac:dyDescent="0.3">
      <c r="A396" t="s">
        <v>442</v>
      </c>
      <c r="B396" t="s">
        <v>20</v>
      </c>
      <c r="C396" t="s">
        <v>36</v>
      </c>
      <c r="D396" t="s">
        <v>32</v>
      </c>
      <c r="E396" s="1">
        <v>45078</v>
      </c>
      <c r="F396" s="1">
        <v>45084</v>
      </c>
      <c r="G396">
        <v>54.4</v>
      </c>
      <c r="H396">
        <v>284.26</v>
      </c>
      <c r="I396" t="s">
        <v>15</v>
      </c>
      <c r="J396">
        <v>1616</v>
      </c>
      <c r="K396">
        <v>6</v>
      </c>
      <c r="L396" t="str">
        <f>IF(logistics_data[[#This Row],[Delivery_Date]]="","In Transit",
 IF(logistics_data[[#This Row],[Status]]="Lost","Lost",
 IF(logistics_data[[#This Row],[Status]]="Returned","Returned",
 IF(logistics_data[[#This Row],[Status]]="Delayed","Delayed",
 "Delivered"))))</f>
        <v>Delivered</v>
      </c>
      <c r="M396" s="2">
        <f>logistics_data[[#This Row],[Cost]]/logistics_data[[#This Row],[Distance_miles]]</f>
        <v>0.17590346534653464</v>
      </c>
      <c r="N396" t="str">
        <f>IF(logistics_data[[#This Row],[Orginal staus of shipment]]&lt;&gt;"Delivered","not applicabel", IF(logistics_data[[#This Row],[Transit_Days]]&gt;=5,"slow","fast"))</f>
        <v>slow</v>
      </c>
    </row>
    <row r="397" spans="1:14" x14ac:dyDescent="0.3">
      <c r="A397" t="s">
        <v>443</v>
      </c>
      <c r="B397" t="s">
        <v>49</v>
      </c>
      <c r="C397" t="s">
        <v>28</v>
      </c>
      <c r="D397" t="s">
        <v>18</v>
      </c>
      <c r="E397" s="1">
        <v>44990</v>
      </c>
      <c r="F397" s="1">
        <v>45002</v>
      </c>
      <c r="G397">
        <v>34.5</v>
      </c>
      <c r="H397">
        <v>233.71</v>
      </c>
      <c r="I397" t="s">
        <v>47</v>
      </c>
      <c r="J397">
        <v>1366</v>
      </c>
      <c r="K397">
        <v>4</v>
      </c>
      <c r="L397" t="str">
        <f>IF(logistics_data[[#This Row],[Delivery_Date]]="","In Transit",
 IF(logistics_data[[#This Row],[Status]]="Lost","Lost",
 IF(logistics_data[[#This Row],[Status]]="Returned","Returned",
 IF(logistics_data[[#This Row],[Status]]="Delayed","Delayed",
 "Delivered"))))</f>
        <v>Delayed</v>
      </c>
      <c r="M397" s="2">
        <f>logistics_data[[#This Row],[Cost]]/logistics_data[[#This Row],[Distance_miles]]</f>
        <v>0.17109077598828698</v>
      </c>
      <c r="N397" t="str">
        <f>IF(logistics_data[[#This Row],[Orginal staus of shipment]]&lt;&gt;"Delivered","not applicabel", IF(logistics_data[[#This Row],[Transit_Days]]&gt;=5,"slow","fast"))</f>
        <v>not applicabel</v>
      </c>
    </row>
    <row r="398" spans="1:14" x14ac:dyDescent="0.3">
      <c r="A398" t="s">
        <v>444</v>
      </c>
      <c r="B398" t="s">
        <v>20</v>
      </c>
      <c r="C398" t="s">
        <v>81</v>
      </c>
      <c r="D398" t="s">
        <v>14</v>
      </c>
      <c r="E398" s="1">
        <v>45025</v>
      </c>
      <c r="F398" s="1">
        <v>45031</v>
      </c>
      <c r="G398">
        <v>9.5</v>
      </c>
      <c r="H398">
        <v>228.41</v>
      </c>
      <c r="I398" t="s">
        <v>15</v>
      </c>
      <c r="J398">
        <v>1802</v>
      </c>
      <c r="K398">
        <v>6</v>
      </c>
      <c r="L398" t="str">
        <f>IF(logistics_data[[#This Row],[Delivery_Date]]="","In Transit",
 IF(logistics_data[[#This Row],[Status]]="Lost","Lost",
 IF(logistics_data[[#This Row],[Status]]="Returned","Returned",
 IF(logistics_data[[#This Row],[Status]]="Delayed","Delayed",
 "Delivered"))))</f>
        <v>Delivered</v>
      </c>
      <c r="M398" s="2">
        <f>logistics_data[[#This Row],[Cost]]/logistics_data[[#This Row],[Distance_miles]]</f>
        <v>0.12675360710321865</v>
      </c>
      <c r="N398" t="str">
        <f>IF(logistics_data[[#This Row],[Orginal staus of shipment]]&lt;&gt;"Delivered","not applicabel", IF(logistics_data[[#This Row],[Transit_Days]]&gt;=5,"slow","fast"))</f>
        <v>slow</v>
      </c>
    </row>
    <row r="399" spans="1:14" x14ac:dyDescent="0.3">
      <c r="A399" t="s">
        <v>445</v>
      </c>
      <c r="B399" t="s">
        <v>30</v>
      </c>
      <c r="C399" t="s">
        <v>40</v>
      </c>
      <c r="D399" t="s">
        <v>37</v>
      </c>
      <c r="E399" s="1">
        <v>45091</v>
      </c>
      <c r="F399" s="1">
        <v>45061</v>
      </c>
      <c r="G399">
        <v>58</v>
      </c>
      <c r="H399">
        <v>90.41</v>
      </c>
      <c r="I399" t="s">
        <v>15</v>
      </c>
      <c r="J399">
        <v>196</v>
      </c>
      <c r="K399">
        <v>2</v>
      </c>
      <c r="L399" t="str">
        <f>IF(logistics_data[[#This Row],[Delivery_Date]]="","In Transit",
 IF(logistics_data[[#This Row],[Status]]="Lost","Lost",
 IF(logistics_data[[#This Row],[Status]]="Returned","Returned",
 IF(logistics_data[[#This Row],[Status]]="Delayed","Delayed",
 "Delivered"))))</f>
        <v>Delivered</v>
      </c>
      <c r="M399" s="2">
        <f>logistics_data[[#This Row],[Cost]]/logistics_data[[#This Row],[Distance_miles]]</f>
        <v>0.46127551020408164</v>
      </c>
      <c r="N399" t="str">
        <f>IF(logistics_data[[#This Row],[Orginal staus of shipment]]&lt;&gt;"Delivered","not applicabel", IF(logistics_data[[#This Row],[Transit_Days]]&gt;=5,"slow","fast"))</f>
        <v>fast</v>
      </c>
    </row>
    <row r="400" spans="1:14" x14ac:dyDescent="0.3">
      <c r="A400" t="s">
        <v>446</v>
      </c>
      <c r="B400" t="s">
        <v>23</v>
      </c>
      <c r="C400" t="s">
        <v>17</v>
      </c>
      <c r="D400" t="s">
        <v>25</v>
      </c>
      <c r="E400" s="1">
        <v>45278</v>
      </c>
      <c r="F400" s="1">
        <v>45285</v>
      </c>
      <c r="G400">
        <v>10.8</v>
      </c>
      <c r="H400">
        <v>400.75</v>
      </c>
      <c r="I400" t="s">
        <v>15</v>
      </c>
      <c r="J400">
        <v>2425</v>
      </c>
      <c r="K400">
        <v>7</v>
      </c>
      <c r="L400" t="str">
        <f>IF(logistics_data[[#This Row],[Delivery_Date]]="","In Transit",
 IF(logistics_data[[#This Row],[Status]]="Lost","Lost",
 IF(logistics_data[[#This Row],[Status]]="Returned","Returned",
 IF(logistics_data[[#This Row],[Status]]="Delayed","Delayed",
 "Delivered"))))</f>
        <v>Delivered</v>
      </c>
      <c r="M400" s="2">
        <f>logistics_data[[#This Row],[Cost]]/logistics_data[[#This Row],[Distance_miles]]</f>
        <v>0.16525773195876289</v>
      </c>
      <c r="N400" t="str">
        <f>IF(logistics_data[[#This Row],[Orginal staus of shipment]]&lt;&gt;"Delivered","not applicabel", IF(logistics_data[[#This Row],[Transit_Days]]&gt;=5,"slow","fast"))</f>
        <v>slow</v>
      </c>
    </row>
    <row r="401" spans="1:14" x14ac:dyDescent="0.3">
      <c r="A401" t="s">
        <v>447</v>
      </c>
      <c r="B401" t="s">
        <v>49</v>
      </c>
      <c r="C401" t="s">
        <v>17</v>
      </c>
      <c r="D401" t="s">
        <v>25</v>
      </c>
      <c r="E401" s="1">
        <v>44995</v>
      </c>
      <c r="F401" s="1">
        <v>44999</v>
      </c>
      <c r="G401">
        <v>26</v>
      </c>
      <c r="H401">
        <v>222.33</v>
      </c>
      <c r="I401" t="s">
        <v>15</v>
      </c>
      <c r="J401">
        <v>1641</v>
      </c>
      <c r="K401">
        <v>4</v>
      </c>
      <c r="L401" t="str">
        <f>IF(logistics_data[[#This Row],[Delivery_Date]]="","In Transit",
 IF(logistics_data[[#This Row],[Status]]="Lost","Lost",
 IF(logistics_data[[#This Row],[Status]]="Returned","Returned",
 IF(logistics_data[[#This Row],[Status]]="Delayed","Delayed",
 "Delivered"))))</f>
        <v>Delivered</v>
      </c>
      <c r="M401" s="2">
        <f>logistics_data[[#This Row],[Cost]]/logistics_data[[#This Row],[Distance_miles]]</f>
        <v>0.13548446069469836</v>
      </c>
      <c r="N401" t="str">
        <f>IF(logistics_data[[#This Row],[Orginal staus of shipment]]&lt;&gt;"Delivered","not applicabel", IF(logistics_data[[#This Row],[Transit_Days]]&gt;=5,"slow","fast"))</f>
        <v>fast</v>
      </c>
    </row>
    <row r="402" spans="1:14" x14ac:dyDescent="0.3">
      <c r="A402" t="s">
        <v>448</v>
      </c>
      <c r="B402" t="s">
        <v>30</v>
      </c>
      <c r="C402" t="s">
        <v>13</v>
      </c>
      <c r="D402" t="s">
        <v>37</v>
      </c>
      <c r="E402" s="1">
        <v>45261</v>
      </c>
      <c r="F402" s="1">
        <v>45266</v>
      </c>
      <c r="G402">
        <v>6.5</v>
      </c>
      <c r="H402">
        <v>28.34</v>
      </c>
      <c r="I402" t="s">
        <v>60</v>
      </c>
      <c r="J402">
        <v>129</v>
      </c>
      <c r="K402">
        <v>2</v>
      </c>
      <c r="L402" t="str">
        <f>IF(logistics_data[[#This Row],[Delivery_Date]]="","In Transit",
 IF(logistics_data[[#This Row],[Status]]="Lost","Lost",
 IF(logistics_data[[#This Row],[Status]]="Returned","Returned",
 IF(logistics_data[[#This Row],[Status]]="Delayed","Delayed",
 "Delivered"))))</f>
        <v>Lost</v>
      </c>
      <c r="M402" s="2">
        <f>logistics_data[[#This Row],[Cost]]/logistics_data[[#This Row],[Distance_miles]]</f>
        <v>0.21968992248062016</v>
      </c>
      <c r="N402" t="str">
        <f>IF(logistics_data[[#This Row],[Orginal staus of shipment]]&lt;&gt;"Delivered","not applicabel", IF(logistics_data[[#This Row],[Transit_Days]]&gt;=5,"slow","fast"))</f>
        <v>not applicabel</v>
      </c>
    </row>
    <row r="403" spans="1:14" x14ac:dyDescent="0.3">
      <c r="A403" t="s">
        <v>449</v>
      </c>
      <c r="B403" t="s">
        <v>30</v>
      </c>
      <c r="C403" t="s">
        <v>36</v>
      </c>
      <c r="D403" t="s">
        <v>42</v>
      </c>
      <c r="E403" s="1">
        <v>45227</v>
      </c>
      <c r="F403" s="1">
        <v>45231</v>
      </c>
      <c r="G403">
        <v>6.9</v>
      </c>
      <c r="H403">
        <v>194.18</v>
      </c>
      <c r="I403" t="s">
        <v>15</v>
      </c>
      <c r="J403">
        <v>1649</v>
      </c>
      <c r="K403">
        <v>4</v>
      </c>
      <c r="L403" t="str">
        <f>IF(logistics_data[[#This Row],[Delivery_Date]]="","In Transit",
 IF(logistics_data[[#This Row],[Status]]="Lost","Lost",
 IF(logistics_data[[#This Row],[Status]]="Returned","Returned",
 IF(logistics_data[[#This Row],[Status]]="Delayed","Delayed",
 "Delivered"))))</f>
        <v>Delivered</v>
      </c>
      <c r="M403" s="2">
        <f>logistics_data[[#This Row],[Cost]]/logistics_data[[#This Row],[Distance_miles]]</f>
        <v>0.11775621588841723</v>
      </c>
      <c r="N403" t="str">
        <f>IF(logistics_data[[#This Row],[Orginal staus of shipment]]&lt;&gt;"Delivered","not applicabel", IF(logistics_data[[#This Row],[Transit_Days]]&gt;=5,"slow","fast"))</f>
        <v>fast</v>
      </c>
    </row>
    <row r="404" spans="1:14" x14ac:dyDescent="0.3">
      <c r="A404" t="s">
        <v>450</v>
      </c>
      <c r="B404" t="s">
        <v>12</v>
      </c>
      <c r="C404" t="s">
        <v>46</v>
      </c>
      <c r="D404" t="s">
        <v>18</v>
      </c>
      <c r="E404" s="1">
        <v>44969</v>
      </c>
      <c r="F404" s="1">
        <v>44989</v>
      </c>
      <c r="G404">
        <v>29.5</v>
      </c>
      <c r="H404">
        <v>224.76</v>
      </c>
      <c r="I404" t="s">
        <v>47</v>
      </c>
      <c r="J404">
        <v>1289</v>
      </c>
      <c r="K404">
        <v>8</v>
      </c>
      <c r="L404" t="str">
        <f>IF(logistics_data[[#This Row],[Delivery_Date]]="","In Transit",
 IF(logistics_data[[#This Row],[Status]]="Lost","Lost",
 IF(logistics_data[[#This Row],[Status]]="Returned","Returned",
 IF(logistics_data[[#This Row],[Status]]="Delayed","Delayed",
 "Delivered"))))</f>
        <v>Delayed</v>
      </c>
      <c r="M404" s="2">
        <f>logistics_data[[#This Row],[Cost]]/logistics_data[[#This Row],[Distance_miles]]</f>
        <v>0.17436772692009309</v>
      </c>
      <c r="N404" t="str">
        <f>IF(logistics_data[[#This Row],[Orginal staus of shipment]]&lt;&gt;"Delivered","not applicabel", IF(logistics_data[[#This Row],[Transit_Days]]&gt;=5,"slow","fast"))</f>
        <v>not applicabel</v>
      </c>
    </row>
    <row r="405" spans="1:14" x14ac:dyDescent="0.3">
      <c r="A405" t="s">
        <v>451</v>
      </c>
      <c r="B405" t="s">
        <v>51</v>
      </c>
      <c r="C405" t="s">
        <v>28</v>
      </c>
      <c r="D405" t="s">
        <v>42</v>
      </c>
      <c r="E405" s="1">
        <v>45277</v>
      </c>
      <c r="F405" s="1">
        <v>45278</v>
      </c>
      <c r="G405">
        <v>12.7</v>
      </c>
      <c r="H405">
        <v>56.43</v>
      </c>
      <c r="I405" t="s">
        <v>15</v>
      </c>
      <c r="J405">
        <v>273</v>
      </c>
      <c r="K405">
        <v>1</v>
      </c>
      <c r="L405" t="str">
        <f>IF(logistics_data[[#This Row],[Delivery_Date]]="","In Transit",
 IF(logistics_data[[#This Row],[Status]]="Lost","Lost",
 IF(logistics_data[[#This Row],[Status]]="Returned","Returned",
 IF(logistics_data[[#This Row],[Status]]="Delayed","Delayed",
 "Delivered"))))</f>
        <v>Delivered</v>
      </c>
      <c r="M405" s="2">
        <f>logistics_data[[#This Row],[Cost]]/logistics_data[[#This Row],[Distance_miles]]</f>
        <v>0.20670329670329671</v>
      </c>
      <c r="N405" t="str">
        <f>IF(logistics_data[[#This Row],[Orginal staus of shipment]]&lt;&gt;"Delivered","not applicabel", IF(logistics_data[[#This Row],[Transit_Days]]&gt;=5,"slow","fast"))</f>
        <v>fast</v>
      </c>
    </row>
    <row r="406" spans="1:14" x14ac:dyDescent="0.3">
      <c r="A406" t="s">
        <v>452</v>
      </c>
      <c r="B406" t="s">
        <v>39</v>
      </c>
      <c r="C406" t="s">
        <v>54</v>
      </c>
      <c r="D406" t="s">
        <v>14</v>
      </c>
      <c r="E406" s="1">
        <v>45118</v>
      </c>
      <c r="F406" s="1">
        <v>45121</v>
      </c>
      <c r="G406">
        <v>29.1</v>
      </c>
      <c r="H406">
        <v>160.13999999999999</v>
      </c>
      <c r="I406" t="s">
        <v>15</v>
      </c>
      <c r="J406">
        <v>940</v>
      </c>
      <c r="K406">
        <v>3</v>
      </c>
      <c r="L406" t="str">
        <f>IF(logistics_data[[#This Row],[Delivery_Date]]="","In Transit",
 IF(logistics_data[[#This Row],[Status]]="Lost","Lost",
 IF(logistics_data[[#This Row],[Status]]="Returned","Returned",
 IF(logistics_data[[#This Row],[Status]]="Delayed","Delayed",
 "Delivered"))))</f>
        <v>Delivered</v>
      </c>
      <c r="M406" s="2">
        <f>logistics_data[[#This Row],[Cost]]/logistics_data[[#This Row],[Distance_miles]]</f>
        <v>0.17036170212765955</v>
      </c>
      <c r="N406" t="str">
        <f>IF(logistics_data[[#This Row],[Orginal staus of shipment]]&lt;&gt;"Delivered","not applicabel", IF(logistics_data[[#This Row],[Transit_Days]]&gt;=5,"slow","fast"))</f>
        <v>fast</v>
      </c>
    </row>
    <row r="407" spans="1:14" x14ac:dyDescent="0.3">
      <c r="A407" t="s">
        <v>453</v>
      </c>
      <c r="B407" t="s">
        <v>30</v>
      </c>
      <c r="C407" t="s">
        <v>40</v>
      </c>
      <c r="D407" t="s">
        <v>59</v>
      </c>
      <c r="E407" s="1">
        <v>45254</v>
      </c>
      <c r="F407" s="1">
        <v>45258</v>
      </c>
      <c r="G407">
        <v>34.700000000000003</v>
      </c>
      <c r="H407">
        <v>329.19</v>
      </c>
      <c r="I407" t="s">
        <v>15</v>
      </c>
      <c r="J407">
        <v>1913</v>
      </c>
      <c r="K407">
        <v>4</v>
      </c>
      <c r="L407" t="str">
        <f>IF(logistics_data[[#This Row],[Delivery_Date]]="","In Transit",
 IF(logistics_data[[#This Row],[Status]]="Lost","Lost",
 IF(logistics_data[[#This Row],[Status]]="Returned","Returned",
 IF(logistics_data[[#This Row],[Status]]="Delayed","Delayed",
 "Delivered"))))</f>
        <v>Delivered</v>
      </c>
      <c r="M407" s="2">
        <f>logistics_data[[#This Row],[Cost]]/logistics_data[[#This Row],[Distance_miles]]</f>
        <v>0.17208050182958703</v>
      </c>
      <c r="N407" t="str">
        <f>IF(logistics_data[[#This Row],[Orginal staus of shipment]]&lt;&gt;"Delivered","not applicabel", IF(logistics_data[[#This Row],[Transit_Days]]&gt;=5,"slow","fast"))</f>
        <v>fast</v>
      </c>
    </row>
    <row r="408" spans="1:14" x14ac:dyDescent="0.3">
      <c r="A408" t="s">
        <v>454</v>
      </c>
      <c r="B408" t="s">
        <v>20</v>
      </c>
      <c r="C408" t="s">
        <v>13</v>
      </c>
      <c r="D408" t="s">
        <v>42</v>
      </c>
      <c r="E408" s="1">
        <v>45104</v>
      </c>
      <c r="F408" s="1">
        <v>45105</v>
      </c>
      <c r="G408">
        <v>13.3</v>
      </c>
      <c r="H408">
        <v>42.44</v>
      </c>
      <c r="I408" t="s">
        <v>15</v>
      </c>
      <c r="J408">
        <v>252</v>
      </c>
      <c r="K408">
        <v>1</v>
      </c>
      <c r="L408" t="str">
        <f>IF(logistics_data[[#This Row],[Delivery_Date]]="","In Transit",
 IF(logistics_data[[#This Row],[Status]]="Lost","Lost",
 IF(logistics_data[[#This Row],[Status]]="Returned","Returned",
 IF(logistics_data[[#This Row],[Status]]="Delayed","Delayed",
 "Delivered"))))</f>
        <v>Delivered</v>
      </c>
      <c r="M408" s="2">
        <f>logistics_data[[#This Row],[Cost]]/logistics_data[[#This Row],[Distance_miles]]</f>
        <v>0.1684126984126984</v>
      </c>
      <c r="N408" t="str">
        <f>IF(logistics_data[[#This Row],[Orginal staus of shipment]]&lt;&gt;"Delivered","not applicabel", IF(logistics_data[[#This Row],[Transit_Days]]&gt;=5,"slow","fast"))</f>
        <v>fast</v>
      </c>
    </row>
    <row r="409" spans="1:14" x14ac:dyDescent="0.3">
      <c r="A409" t="s">
        <v>455</v>
      </c>
      <c r="B409" t="s">
        <v>12</v>
      </c>
      <c r="C409" t="s">
        <v>52</v>
      </c>
      <c r="D409" t="s">
        <v>25</v>
      </c>
      <c r="E409" s="1">
        <v>45124</v>
      </c>
      <c r="F409" s="1">
        <v>45127</v>
      </c>
      <c r="G409">
        <v>29.3</v>
      </c>
      <c r="H409">
        <v>136.26</v>
      </c>
      <c r="I409" t="s">
        <v>62</v>
      </c>
      <c r="J409">
        <v>919</v>
      </c>
      <c r="K409">
        <v>3</v>
      </c>
      <c r="L409" t="str">
        <f>IF(logistics_data[[#This Row],[Delivery_Date]]="","In Transit",
 IF(logistics_data[[#This Row],[Status]]="Lost","Lost",
 IF(logistics_data[[#This Row],[Status]]="Returned","Returned",
 IF(logistics_data[[#This Row],[Status]]="Delayed","Delayed",
 "Delivered"))))</f>
        <v>Delivered</v>
      </c>
      <c r="M409" s="2">
        <f>logistics_data[[#This Row],[Cost]]/logistics_data[[#This Row],[Distance_miles]]</f>
        <v>0.14826985854189334</v>
      </c>
      <c r="N409" t="str">
        <f>IF(logistics_data[[#This Row],[Orginal staus of shipment]]&lt;&gt;"Delivered","not applicabel", IF(logistics_data[[#This Row],[Transit_Days]]&gt;=5,"slow","fast"))</f>
        <v>fast</v>
      </c>
    </row>
    <row r="410" spans="1:14" x14ac:dyDescent="0.3">
      <c r="A410" t="s">
        <v>456</v>
      </c>
      <c r="B410" t="s">
        <v>35</v>
      </c>
      <c r="C410" t="s">
        <v>17</v>
      </c>
      <c r="D410" t="s">
        <v>25</v>
      </c>
      <c r="E410" s="1">
        <v>45262</v>
      </c>
      <c r="F410" s="1">
        <v>45267</v>
      </c>
      <c r="G410">
        <v>9.6</v>
      </c>
      <c r="H410">
        <v>154.66</v>
      </c>
      <c r="I410" t="s">
        <v>15</v>
      </c>
      <c r="J410">
        <v>1040</v>
      </c>
      <c r="K410">
        <v>5</v>
      </c>
      <c r="L410" t="str">
        <f>IF(logistics_data[[#This Row],[Delivery_Date]]="","In Transit",
 IF(logistics_data[[#This Row],[Status]]="Lost","Lost",
 IF(logistics_data[[#This Row],[Status]]="Returned","Returned",
 IF(logistics_data[[#This Row],[Status]]="Delayed","Delayed",
 "Delivered"))))</f>
        <v>Delivered</v>
      </c>
      <c r="M410" s="2">
        <f>logistics_data[[#This Row],[Cost]]/logistics_data[[#This Row],[Distance_miles]]</f>
        <v>0.14871153846153845</v>
      </c>
      <c r="N410" t="str">
        <f>IF(logistics_data[[#This Row],[Orginal staus of shipment]]&lt;&gt;"Delivered","not applicabel", IF(logistics_data[[#This Row],[Transit_Days]]&gt;=5,"slow","fast"))</f>
        <v>slow</v>
      </c>
    </row>
    <row r="411" spans="1:14" x14ac:dyDescent="0.3">
      <c r="A411" t="s">
        <v>457</v>
      </c>
      <c r="B411" t="s">
        <v>23</v>
      </c>
      <c r="C411" t="s">
        <v>31</v>
      </c>
      <c r="D411" t="s">
        <v>32</v>
      </c>
      <c r="E411" s="1">
        <v>45051</v>
      </c>
      <c r="F411" s="1">
        <v>45057</v>
      </c>
      <c r="G411">
        <v>6.3</v>
      </c>
      <c r="H411">
        <v>267.55</v>
      </c>
      <c r="I411" t="s">
        <v>15</v>
      </c>
      <c r="J411">
        <v>2108</v>
      </c>
      <c r="K411">
        <v>6</v>
      </c>
      <c r="L411" t="str">
        <f>IF(logistics_data[[#This Row],[Delivery_Date]]="","In Transit",
 IF(logistics_data[[#This Row],[Status]]="Lost","Lost",
 IF(logistics_data[[#This Row],[Status]]="Returned","Returned",
 IF(logistics_data[[#This Row],[Status]]="Delayed","Delayed",
 "Delivered"))))</f>
        <v>Delivered</v>
      </c>
      <c r="M411" s="2">
        <f>logistics_data[[#This Row],[Cost]]/logistics_data[[#This Row],[Distance_miles]]</f>
        <v>0.12692125237191651</v>
      </c>
      <c r="N411" t="str">
        <f>IF(logistics_data[[#This Row],[Orginal staus of shipment]]&lt;&gt;"Delivered","not applicabel", IF(logistics_data[[#This Row],[Transit_Days]]&gt;=5,"slow","fast"))</f>
        <v>slow</v>
      </c>
    </row>
    <row r="412" spans="1:14" x14ac:dyDescent="0.3">
      <c r="A412" t="s">
        <v>458</v>
      </c>
      <c r="B412" t="s">
        <v>27</v>
      </c>
      <c r="C412" t="s">
        <v>52</v>
      </c>
      <c r="D412" t="s">
        <v>42</v>
      </c>
      <c r="E412" s="1">
        <v>45202</v>
      </c>
      <c r="F412" s="1">
        <v>45206</v>
      </c>
      <c r="G412">
        <v>15.6</v>
      </c>
      <c r="H412">
        <v>95.5</v>
      </c>
      <c r="I412" t="s">
        <v>15</v>
      </c>
      <c r="J412">
        <v>627</v>
      </c>
      <c r="K412">
        <v>4</v>
      </c>
      <c r="L412" t="str">
        <f>IF(logistics_data[[#This Row],[Delivery_Date]]="","In Transit",
 IF(logistics_data[[#This Row],[Status]]="Lost","Lost",
 IF(logistics_data[[#This Row],[Status]]="Returned","Returned",
 IF(logistics_data[[#This Row],[Status]]="Delayed","Delayed",
 "Delivered"))))</f>
        <v>Delivered</v>
      </c>
      <c r="M412" s="2">
        <f>logistics_data[[#This Row],[Cost]]/logistics_data[[#This Row],[Distance_miles]]</f>
        <v>0.15231259968102073</v>
      </c>
      <c r="N412" t="str">
        <f>IF(logistics_data[[#This Row],[Orginal staus of shipment]]&lt;&gt;"Delivered","not applicabel", IF(logistics_data[[#This Row],[Transit_Days]]&gt;=5,"slow","fast"))</f>
        <v>fast</v>
      </c>
    </row>
    <row r="413" spans="1:14" x14ac:dyDescent="0.3">
      <c r="A413" t="s">
        <v>459</v>
      </c>
      <c r="B413" t="s">
        <v>49</v>
      </c>
      <c r="C413" t="s">
        <v>21</v>
      </c>
      <c r="D413" t="s">
        <v>32</v>
      </c>
      <c r="E413" s="1">
        <v>45037</v>
      </c>
      <c r="F413" s="1">
        <v>45038</v>
      </c>
      <c r="G413">
        <v>8.6</v>
      </c>
      <c r="H413">
        <v>33.61</v>
      </c>
      <c r="I413" t="s">
        <v>60</v>
      </c>
      <c r="J413">
        <v>178</v>
      </c>
      <c r="K413">
        <v>1</v>
      </c>
      <c r="L413" t="str">
        <f>IF(logistics_data[[#This Row],[Delivery_Date]]="","In Transit",
 IF(logistics_data[[#This Row],[Status]]="Lost","Lost",
 IF(logistics_data[[#This Row],[Status]]="Returned","Returned",
 IF(logistics_data[[#This Row],[Status]]="Delayed","Delayed",
 "Delivered"))))</f>
        <v>Lost</v>
      </c>
      <c r="M413" s="2">
        <f>logistics_data[[#This Row],[Cost]]/logistics_data[[#This Row],[Distance_miles]]</f>
        <v>0.18882022471910112</v>
      </c>
      <c r="N413" t="str">
        <f>IF(logistics_data[[#This Row],[Orginal staus of shipment]]&lt;&gt;"Delivered","not applicabel", IF(logistics_data[[#This Row],[Transit_Days]]&gt;=5,"slow","fast"))</f>
        <v>not applicabel</v>
      </c>
    </row>
    <row r="414" spans="1:14" x14ac:dyDescent="0.3">
      <c r="A414" t="s">
        <v>460</v>
      </c>
      <c r="B414" t="s">
        <v>12</v>
      </c>
      <c r="C414" t="s">
        <v>81</v>
      </c>
      <c r="D414" t="s">
        <v>59</v>
      </c>
      <c r="E414" s="1">
        <v>45169</v>
      </c>
      <c r="F414" s="1">
        <v>45171</v>
      </c>
      <c r="G414">
        <v>34.1</v>
      </c>
      <c r="H414">
        <v>114.04</v>
      </c>
      <c r="I414" t="s">
        <v>15</v>
      </c>
      <c r="J414">
        <v>616</v>
      </c>
      <c r="K414">
        <v>2</v>
      </c>
      <c r="L414" t="str">
        <f>IF(logistics_data[[#This Row],[Delivery_Date]]="","In Transit",
 IF(logistics_data[[#This Row],[Status]]="Lost","Lost",
 IF(logistics_data[[#This Row],[Status]]="Returned","Returned",
 IF(logistics_data[[#This Row],[Status]]="Delayed","Delayed",
 "Delivered"))))</f>
        <v>Delivered</v>
      </c>
      <c r="M414" s="2">
        <f>logistics_data[[#This Row],[Cost]]/logistics_data[[#This Row],[Distance_miles]]</f>
        <v>0.18512987012987014</v>
      </c>
      <c r="N414" t="str">
        <f>IF(logistics_data[[#This Row],[Orginal staus of shipment]]&lt;&gt;"Delivered","not applicabel", IF(logistics_data[[#This Row],[Transit_Days]]&gt;=5,"slow","fast"))</f>
        <v>fast</v>
      </c>
    </row>
    <row r="415" spans="1:14" x14ac:dyDescent="0.3">
      <c r="A415" t="s">
        <v>461</v>
      </c>
      <c r="B415" t="s">
        <v>39</v>
      </c>
      <c r="C415" t="s">
        <v>17</v>
      </c>
      <c r="D415" t="s">
        <v>25</v>
      </c>
      <c r="E415" s="1">
        <v>44975</v>
      </c>
      <c r="F415" s="1">
        <v>44977</v>
      </c>
      <c r="G415">
        <v>21.1</v>
      </c>
      <c r="H415">
        <v>109.65</v>
      </c>
      <c r="I415" t="s">
        <v>15</v>
      </c>
      <c r="J415">
        <v>800</v>
      </c>
      <c r="K415">
        <v>2</v>
      </c>
      <c r="L415" t="str">
        <f>IF(logistics_data[[#This Row],[Delivery_Date]]="","In Transit",
 IF(logistics_data[[#This Row],[Status]]="Lost","Lost",
 IF(logistics_data[[#This Row],[Status]]="Returned","Returned",
 IF(logistics_data[[#This Row],[Status]]="Delayed","Delayed",
 "Delivered"))))</f>
        <v>Delivered</v>
      </c>
      <c r="M415" s="2">
        <f>logistics_data[[#This Row],[Cost]]/logistics_data[[#This Row],[Distance_miles]]</f>
        <v>0.1370625</v>
      </c>
      <c r="N415" t="str">
        <f>IF(logistics_data[[#This Row],[Orginal staus of shipment]]&lt;&gt;"Delivered","not applicabel", IF(logistics_data[[#This Row],[Transit_Days]]&gt;=5,"slow","fast"))</f>
        <v>fast</v>
      </c>
    </row>
    <row r="416" spans="1:14" x14ac:dyDescent="0.3">
      <c r="A416" t="s">
        <v>462</v>
      </c>
      <c r="B416" t="s">
        <v>20</v>
      </c>
      <c r="C416" t="s">
        <v>28</v>
      </c>
      <c r="D416" t="s">
        <v>37</v>
      </c>
      <c r="E416" s="1">
        <v>45091</v>
      </c>
      <c r="F416" s="1">
        <v>45095</v>
      </c>
      <c r="G416">
        <v>33.799999999999997</v>
      </c>
      <c r="H416">
        <v>204.1</v>
      </c>
      <c r="I416" t="s">
        <v>15</v>
      </c>
      <c r="J416">
        <v>1435</v>
      </c>
      <c r="K416">
        <v>4</v>
      </c>
      <c r="L416" t="str">
        <f>IF(logistics_data[[#This Row],[Delivery_Date]]="","In Transit",
 IF(logistics_data[[#This Row],[Status]]="Lost","Lost",
 IF(logistics_data[[#This Row],[Status]]="Returned","Returned",
 IF(logistics_data[[#This Row],[Status]]="Delayed","Delayed",
 "Delivered"))))</f>
        <v>Delivered</v>
      </c>
      <c r="M416" s="2">
        <f>logistics_data[[#This Row],[Cost]]/logistics_data[[#This Row],[Distance_miles]]</f>
        <v>0.14222996515679442</v>
      </c>
      <c r="N416" t="str">
        <f>IF(logistics_data[[#This Row],[Orginal staus of shipment]]&lt;&gt;"Delivered","not applicabel", IF(logistics_data[[#This Row],[Transit_Days]]&gt;=5,"slow","fast"))</f>
        <v>fast</v>
      </c>
    </row>
    <row r="417" spans="1:14" x14ac:dyDescent="0.3">
      <c r="A417" t="s">
        <v>463</v>
      </c>
      <c r="B417" t="s">
        <v>30</v>
      </c>
      <c r="C417" t="s">
        <v>57</v>
      </c>
      <c r="D417" t="s">
        <v>37</v>
      </c>
      <c r="E417" s="1">
        <v>45041</v>
      </c>
      <c r="F417" s="1">
        <v>45047</v>
      </c>
      <c r="G417">
        <v>331.7</v>
      </c>
      <c r="H417">
        <v>242.34</v>
      </c>
      <c r="I417" t="s">
        <v>15</v>
      </c>
      <c r="J417">
        <v>1727</v>
      </c>
      <c r="K417">
        <v>6</v>
      </c>
      <c r="L417" t="str">
        <f>IF(logistics_data[[#This Row],[Delivery_Date]]="","In Transit",
 IF(logistics_data[[#This Row],[Status]]="Lost","Lost",
 IF(logistics_data[[#This Row],[Status]]="Returned","Returned",
 IF(logistics_data[[#This Row],[Status]]="Delayed","Delayed",
 "Delivered"))))</f>
        <v>Delivered</v>
      </c>
      <c r="M417" s="2">
        <f>logistics_data[[#This Row],[Cost]]/logistics_data[[#This Row],[Distance_miles]]</f>
        <v>0.14032426172553561</v>
      </c>
      <c r="N417" t="str">
        <f>IF(logistics_data[[#This Row],[Orginal staus of shipment]]&lt;&gt;"Delivered","not applicabel", IF(logistics_data[[#This Row],[Transit_Days]]&gt;=5,"slow","fast"))</f>
        <v>slow</v>
      </c>
    </row>
    <row r="418" spans="1:14" x14ac:dyDescent="0.3">
      <c r="A418" t="s">
        <v>464</v>
      </c>
      <c r="B418" t="s">
        <v>39</v>
      </c>
      <c r="C418" t="s">
        <v>44</v>
      </c>
      <c r="D418" t="s">
        <v>18</v>
      </c>
      <c r="E418" s="1">
        <v>45191</v>
      </c>
      <c r="F418" s="1">
        <v>45195</v>
      </c>
      <c r="G418">
        <v>9.5</v>
      </c>
      <c r="H418">
        <v>271.58999999999997</v>
      </c>
      <c r="I418" t="s">
        <v>15</v>
      </c>
      <c r="J418">
        <v>2007</v>
      </c>
      <c r="K418">
        <v>4</v>
      </c>
      <c r="L418" t="str">
        <f>IF(logistics_data[[#This Row],[Delivery_Date]]="","In Transit",
 IF(logistics_data[[#This Row],[Status]]="Lost","Lost",
 IF(logistics_data[[#This Row],[Status]]="Returned","Returned",
 IF(logistics_data[[#This Row],[Status]]="Delayed","Delayed",
 "Delivered"))))</f>
        <v>Delivered</v>
      </c>
      <c r="M418" s="2">
        <f>logistics_data[[#This Row],[Cost]]/logistics_data[[#This Row],[Distance_miles]]</f>
        <v>0.13532137518684603</v>
      </c>
      <c r="N418" t="str">
        <f>IF(logistics_data[[#This Row],[Orginal staus of shipment]]&lt;&gt;"Delivered","not applicabel", IF(logistics_data[[#This Row],[Transit_Days]]&gt;=5,"slow","fast"))</f>
        <v>fast</v>
      </c>
    </row>
    <row r="419" spans="1:14" x14ac:dyDescent="0.3">
      <c r="A419" t="s">
        <v>465</v>
      </c>
      <c r="B419" t="s">
        <v>51</v>
      </c>
      <c r="C419" t="s">
        <v>28</v>
      </c>
      <c r="D419" t="s">
        <v>42</v>
      </c>
      <c r="E419" s="1">
        <v>45083</v>
      </c>
      <c r="F419" s="1">
        <v>45091</v>
      </c>
      <c r="G419">
        <v>21.6</v>
      </c>
      <c r="H419">
        <v>221.42</v>
      </c>
      <c r="I419" t="s">
        <v>47</v>
      </c>
      <c r="J419">
        <v>1619</v>
      </c>
      <c r="K419">
        <v>4</v>
      </c>
      <c r="L419" t="str">
        <f>IF(logistics_data[[#This Row],[Delivery_Date]]="","In Transit",
 IF(logistics_data[[#This Row],[Status]]="Lost","Lost",
 IF(logistics_data[[#This Row],[Status]]="Returned","Returned",
 IF(logistics_data[[#This Row],[Status]]="Delayed","Delayed",
 "Delivered"))))</f>
        <v>Delayed</v>
      </c>
      <c r="M419" s="2">
        <f>logistics_data[[#This Row],[Cost]]/logistics_data[[#This Row],[Distance_miles]]</f>
        <v>0.13676343421865347</v>
      </c>
      <c r="N419" t="str">
        <f>IF(logistics_data[[#This Row],[Orginal staus of shipment]]&lt;&gt;"Delivered","not applicabel", IF(logistics_data[[#This Row],[Transit_Days]]&gt;=5,"slow","fast"))</f>
        <v>not applicabel</v>
      </c>
    </row>
    <row r="420" spans="1:14" x14ac:dyDescent="0.3">
      <c r="A420" t="s">
        <v>466</v>
      </c>
      <c r="B420" t="s">
        <v>30</v>
      </c>
      <c r="C420" t="s">
        <v>44</v>
      </c>
      <c r="D420" t="s">
        <v>18</v>
      </c>
      <c r="E420" s="1">
        <v>44944</v>
      </c>
      <c r="F420" s="1">
        <v>44951</v>
      </c>
      <c r="G420">
        <v>10</v>
      </c>
      <c r="H420">
        <v>360.44</v>
      </c>
      <c r="I420" t="s">
        <v>15</v>
      </c>
      <c r="J420">
        <v>2344</v>
      </c>
      <c r="K420">
        <v>7</v>
      </c>
      <c r="L420" t="str">
        <f>IF(logistics_data[[#This Row],[Delivery_Date]]="","In Transit",
 IF(logistics_data[[#This Row],[Status]]="Lost","Lost",
 IF(logistics_data[[#This Row],[Status]]="Returned","Returned",
 IF(logistics_data[[#This Row],[Status]]="Delayed","Delayed",
 "Delivered"))))</f>
        <v>Delivered</v>
      </c>
      <c r="M420" s="2">
        <f>logistics_data[[#This Row],[Cost]]/logistics_data[[#This Row],[Distance_miles]]</f>
        <v>0.15377133105802049</v>
      </c>
      <c r="N420" t="str">
        <f>IF(logistics_data[[#This Row],[Orginal staus of shipment]]&lt;&gt;"Delivered","not applicabel", IF(logistics_data[[#This Row],[Transit_Days]]&gt;=5,"slow","fast"))</f>
        <v>slow</v>
      </c>
    </row>
    <row r="421" spans="1:14" x14ac:dyDescent="0.3">
      <c r="A421" t="s">
        <v>467</v>
      </c>
      <c r="B421" t="s">
        <v>12</v>
      </c>
      <c r="C421" t="s">
        <v>28</v>
      </c>
      <c r="D421" t="s">
        <v>25</v>
      </c>
      <c r="E421" s="1">
        <v>45264</v>
      </c>
      <c r="F421" s="1">
        <v>45234</v>
      </c>
      <c r="G421">
        <v>7.8</v>
      </c>
      <c r="H421">
        <v>330.04</v>
      </c>
      <c r="I421" t="s">
        <v>15</v>
      </c>
      <c r="J421">
        <v>2242</v>
      </c>
      <c r="K421">
        <v>5</v>
      </c>
      <c r="L421" t="str">
        <f>IF(logistics_data[[#This Row],[Delivery_Date]]="","In Transit",
 IF(logistics_data[[#This Row],[Status]]="Lost","Lost",
 IF(logistics_data[[#This Row],[Status]]="Returned","Returned",
 IF(logistics_data[[#This Row],[Status]]="Delayed","Delayed",
 "Delivered"))))</f>
        <v>Delivered</v>
      </c>
      <c r="M421" s="2">
        <f>logistics_data[[#This Row],[Cost]]/logistics_data[[#This Row],[Distance_miles]]</f>
        <v>0.1472078501338091</v>
      </c>
      <c r="N421" t="str">
        <f>IF(logistics_data[[#This Row],[Orginal staus of shipment]]&lt;&gt;"Delivered","not applicabel", IF(logistics_data[[#This Row],[Transit_Days]]&gt;=5,"slow","fast"))</f>
        <v>slow</v>
      </c>
    </row>
    <row r="422" spans="1:14" x14ac:dyDescent="0.3">
      <c r="A422" t="s">
        <v>468</v>
      </c>
      <c r="B422" t="s">
        <v>12</v>
      </c>
      <c r="C422" t="s">
        <v>21</v>
      </c>
      <c r="D422" t="s">
        <v>25</v>
      </c>
      <c r="E422" s="1">
        <v>45166</v>
      </c>
      <c r="F422" s="1">
        <v>45170</v>
      </c>
      <c r="G422">
        <v>26.8</v>
      </c>
      <c r="H422">
        <v>190.03</v>
      </c>
      <c r="I422" t="s">
        <v>62</v>
      </c>
      <c r="J422">
        <v>1346</v>
      </c>
      <c r="K422">
        <v>4</v>
      </c>
      <c r="L422" t="str">
        <f>IF(logistics_data[[#This Row],[Delivery_Date]]="","In Transit",
 IF(logistics_data[[#This Row],[Status]]="Lost","Lost",
 IF(logistics_data[[#This Row],[Status]]="Returned","Returned",
 IF(logistics_data[[#This Row],[Status]]="Delayed","Delayed",
 "Delivered"))))</f>
        <v>Delivered</v>
      </c>
      <c r="M422" s="2">
        <f>logistics_data[[#This Row],[Cost]]/logistics_data[[#This Row],[Distance_miles]]</f>
        <v>0.14118127786032689</v>
      </c>
      <c r="N422" t="str">
        <f>IF(logistics_data[[#This Row],[Orginal staus of shipment]]&lt;&gt;"Delivered","not applicabel", IF(logistics_data[[#This Row],[Transit_Days]]&gt;=5,"slow","fast"))</f>
        <v>fast</v>
      </c>
    </row>
    <row r="423" spans="1:14" x14ac:dyDescent="0.3">
      <c r="A423" t="s">
        <v>469</v>
      </c>
      <c r="B423" t="s">
        <v>51</v>
      </c>
      <c r="C423" t="s">
        <v>54</v>
      </c>
      <c r="D423" t="s">
        <v>14</v>
      </c>
      <c r="E423" s="1">
        <v>45002</v>
      </c>
      <c r="F423" s="1">
        <v>45003</v>
      </c>
      <c r="G423">
        <v>36.299999999999997</v>
      </c>
      <c r="H423">
        <v>77.48</v>
      </c>
      <c r="I423" t="s">
        <v>15</v>
      </c>
      <c r="J423">
        <v>283</v>
      </c>
      <c r="K423">
        <v>1</v>
      </c>
      <c r="L423" t="str">
        <f>IF(logistics_data[[#This Row],[Delivery_Date]]="","In Transit",
 IF(logistics_data[[#This Row],[Status]]="Lost","Lost",
 IF(logistics_data[[#This Row],[Status]]="Returned","Returned",
 IF(logistics_data[[#This Row],[Status]]="Delayed","Delayed",
 "Delivered"))))</f>
        <v>Delivered</v>
      </c>
      <c r="M423" s="2">
        <f>logistics_data[[#This Row],[Cost]]/logistics_data[[#This Row],[Distance_miles]]</f>
        <v>0.27378091872791521</v>
      </c>
      <c r="N423" t="str">
        <f>IF(logistics_data[[#This Row],[Orginal staus of shipment]]&lt;&gt;"Delivered","not applicabel", IF(logistics_data[[#This Row],[Transit_Days]]&gt;=5,"slow","fast"))</f>
        <v>fast</v>
      </c>
    </row>
    <row r="424" spans="1:14" x14ac:dyDescent="0.3">
      <c r="A424" t="s">
        <v>470</v>
      </c>
      <c r="B424" t="s">
        <v>56</v>
      </c>
      <c r="C424" t="s">
        <v>70</v>
      </c>
      <c r="D424" t="s">
        <v>42</v>
      </c>
      <c r="E424" s="1">
        <v>45066</v>
      </c>
      <c r="F424" s="1">
        <v>45070</v>
      </c>
      <c r="G424">
        <v>7.1</v>
      </c>
      <c r="H424">
        <v>26.87</v>
      </c>
      <c r="I424" t="s">
        <v>62</v>
      </c>
      <c r="J424">
        <v>164</v>
      </c>
      <c r="K424">
        <v>4</v>
      </c>
      <c r="L424" t="str">
        <f>IF(logistics_data[[#This Row],[Delivery_Date]]="","In Transit",
 IF(logistics_data[[#This Row],[Status]]="Lost","Lost",
 IF(logistics_data[[#This Row],[Status]]="Returned","Returned",
 IF(logistics_data[[#This Row],[Status]]="Delayed","Delayed",
 "Delivered"))))</f>
        <v>Delivered</v>
      </c>
      <c r="M424" s="2">
        <f>logistics_data[[#This Row],[Cost]]/logistics_data[[#This Row],[Distance_miles]]</f>
        <v>0.16384146341463415</v>
      </c>
      <c r="N424" t="str">
        <f>IF(logistics_data[[#This Row],[Orginal staus of shipment]]&lt;&gt;"Delivered","not applicabel", IF(logistics_data[[#This Row],[Transit_Days]]&gt;=5,"slow","fast"))</f>
        <v>fast</v>
      </c>
    </row>
    <row r="425" spans="1:14" x14ac:dyDescent="0.3">
      <c r="A425" t="s">
        <v>471</v>
      </c>
      <c r="B425" t="s">
        <v>27</v>
      </c>
      <c r="C425" t="s">
        <v>46</v>
      </c>
      <c r="D425" t="s">
        <v>37</v>
      </c>
      <c r="E425" s="1">
        <v>44930</v>
      </c>
      <c r="F425" s="1">
        <v>44937</v>
      </c>
      <c r="G425">
        <v>14.6</v>
      </c>
      <c r="H425">
        <v>188.17</v>
      </c>
      <c r="I425" t="s">
        <v>15</v>
      </c>
      <c r="J425">
        <v>1324</v>
      </c>
      <c r="K425">
        <v>7</v>
      </c>
      <c r="L425" t="str">
        <f>IF(logistics_data[[#This Row],[Delivery_Date]]="","In Transit",
 IF(logistics_data[[#This Row],[Status]]="Lost","Lost",
 IF(logistics_data[[#This Row],[Status]]="Returned","Returned",
 IF(logistics_data[[#This Row],[Status]]="Delayed","Delayed",
 "Delivered"))))</f>
        <v>Delivered</v>
      </c>
      <c r="M425" s="2">
        <f>logistics_data[[#This Row],[Cost]]/logistics_data[[#This Row],[Distance_miles]]</f>
        <v>0.14212235649546825</v>
      </c>
      <c r="N425" t="str">
        <f>IF(logistics_data[[#This Row],[Orginal staus of shipment]]&lt;&gt;"Delivered","not applicabel", IF(logistics_data[[#This Row],[Transit_Days]]&gt;=5,"slow","fast"))</f>
        <v>slow</v>
      </c>
    </row>
    <row r="426" spans="1:14" x14ac:dyDescent="0.3">
      <c r="A426" t="s">
        <v>472</v>
      </c>
      <c r="B426" t="s">
        <v>12</v>
      </c>
      <c r="C426" t="s">
        <v>57</v>
      </c>
      <c r="D426" t="s">
        <v>32</v>
      </c>
      <c r="E426" s="1">
        <v>45269</v>
      </c>
      <c r="F426" s="1">
        <v>45274</v>
      </c>
      <c r="G426">
        <v>8.8000000000000007</v>
      </c>
      <c r="H426">
        <v>157.81</v>
      </c>
      <c r="I426" t="s">
        <v>47</v>
      </c>
      <c r="J426">
        <v>849</v>
      </c>
      <c r="K426">
        <v>2</v>
      </c>
      <c r="L426" t="str">
        <f>IF(logistics_data[[#This Row],[Delivery_Date]]="","In Transit",
 IF(logistics_data[[#This Row],[Status]]="Lost","Lost",
 IF(logistics_data[[#This Row],[Status]]="Returned","Returned",
 IF(logistics_data[[#This Row],[Status]]="Delayed","Delayed",
 "Delivered"))))</f>
        <v>Delayed</v>
      </c>
      <c r="M426" s="2">
        <f>logistics_data[[#This Row],[Cost]]/logistics_data[[#This Row],[Distance_miles]]</f>
        <v>0.18587750294464075</v>
      </c>
      <c r="N426" t="str">
        <f>IF(logistics_data[[#This Row],[Orginal staus of shipment]]&lt;&gt;"Delivered","not applicabel", IF(logistics_data[[#This Row],[Transit_Days]]&gt;=5,"slow","fast"))</f>
        <v>not applicabel</v>
      </c>
    </row>
    <row r="427" spans="1:14" x14ac:dyDescent="0.3">
      <c r="A427" t="s">
        <v>473</v>
      </c>
      <c r="B427" t="s">
        <v>30</v>
      </c>
      <c r="C427" t="s">
        <v>81</v>
      </c>
      <c r="D427" t="s">
        <v>42</v>
      </c>
      <c r="E427" s="1">
        <v>45142</v>
      </c>
      <c r="F427" s="1">
        <v>45143</v>
      </c>
      <c r="G427">
        <v>5.9</v>
      </c>
      <c r="H427">
        <v>30.32</v>
      </c>
      <c r="I427" t="s">
        <v>15</v>
      </c>
      <c r="J427">
        <v>212</v>
      </c>
      <c r="K427">
        <v>1</v>
      </c>
      <c r="L427" t="str">
        <f>IF(logistics_data[[#This Row],[Delivery_Date]]="","In Transit",
 IF(logistics_data[[#This Row],[Status]]="Lost","Lost",
 IF(logistics_data[[#This Row],[Status]]="Returned","Returned",
 IF(logistics_data[[#This Row],[Status]]="Delayed","Delayed",
 "Delivered"))))</f>
        <v>Delivered</v>
      </c>
      <c r="M427" s="2">
        <f>logistics_data[[#This Row],[Cost]]/logistics_data[[#This Row],[Distance_miles]]</f>
        <v>0.14301886792452831</v>
      </c>
      <c r="N427" t="str">
        <f>IF(logistics_data[[#This Row],[Orginal staus of shipment]]&lt;&gt;"Delivered","not applicabel", IF(logistics_data[[#This Row],[Transit_Days]]&gt;=5,"slow","fast"))</f>
        <v>fast</v>
      </c>
    </row>
    <row r="428" spans="1:14" x14ac:dyDescent="0.3">
      <c r="A428" t="s">
        <v>474</v>
      </c>
      <c r="B428" t="s">
        <v>49</v>
      </c>
      <c r="C428" t="s">
        <v>81</v>
      </c>
      <c r="D428" t="s">
        <v>32</v>
      </c>
      <c r="E428" s="1">
        <v>44978</v>
      </c>
      <c r="F428" s="1">
        <v>44984</v>
      </c>
      <c r="G428">
        <v>11.1</v>
      </c>
      <c r="H428">
        <v>139.41999999999999</v>
      </c>
      <c r="I428" t="s">
        <v>15</v>
      </c>
      <c r="J428">
        <v>1035</v>
      </c>
      <c r="K428">
        <v>6</v>
      </c>
      <c r="L428" t="str">
        <f>IF(logistics_data[[#This Row],[Delivery_Date]]="","In Transit",
 IF(logistics_data[[#This Row],[Status]]="Lost","Lost",
 IF(logistics_data[[#This Row],[Status]]="Returned","Returned",
 IF(logistics_data[[#This Row],[Status]]="Delayed","Delayed",
 "Delivered"))))</f>
        <v>Delivered</v>
      </c>
      <c r="M428" s="2">
        <f>logistics_data[[#This Row],[Cost]]/logistics_data[[#This Row],[Distance_miles]]</f>
        <v>0.13470531400966182</v>
      </c>
      <c r="N428" t="str">
        <f>IF(logistics_data[[#This Row],[Orginal staus of shipment]]&lt;&gt;"Delivered","not applicabel", IF(logistics_data[[#This Row],[Transit_Days]]&gt;=5,"slow","fast"))</f>
        <v>slow</v>
      </c>
    </row>
    <row r="429" spans="1:14" x14ac:dyDescent="0.3">
      <c r="A429" t="s">
        <v>475</v>
      </c>
      <c r="B429" t="s">
        <v>20</v>
      </c>
      <c r="C429" t="s">
        <v>52</v>
      </c>
      <c r="D429" t="s">
        <v>59</v>
      </c>
      <c r="E429" s="1">
        <v>45090</v>
      </c>
      <c r="F429" s="1">
        <v>45091</v>
      </c>
      <c r="G429">
        <v>1062.2</v>
      </c>
      <c r="H429">
        <v>51.54</v>
      </c>
      <c r="I429" t="s">
        <v>15</v>
      </c>
      <c r="J429">
        <v>373</v>
      </c>
      <c r="K429">
        <v>1</v>
      </c>
      <c r="L429" t="str">
        <f>IF(logistics_data[[#This Row],[Delivery_Date]]="","In Transit",
 IF(logistics_data[[#This Row],[Status]]="Lost","Lost",
 IF(logistics_data[[#This Row],[Status]]="Returned","Returned",
 IF(logistics_data[[#This Row],[Status]]="Delayed","Delayed",
 "Delivered"))))</f>
        <v>Delivered</v>
      </c>
      <c r="M429" s="2">
        <f>logistics_data[[#This Row],[Cost]]/logistics_data[[#This Row],[Distance_miles]]</f>
        <v>0.13817694369973191</v>
      </c>
      <c r="N429" t="str">
        <f>IF(logistics_data[[#This Row],[Orginal staus of shipment]]&lt;&gt;"Delivered","not applicabel", IF(logistics_data[[#This Row],[Transit_Days]]&gt;=5,"slow","fast"))</f>
        <v>fast</v>
      </c>
    </row>
    <row r="430" spans="1:14" x14ac:dyDescent="0.3">
      <c r="A430" t="s">
        <v>476</v>
      </c>
      <c r="B430" t="s">
        <v>30</v>
      </c>
      <c r="C430" t="s">
        <v>17</v>
      </c>
      <c r="D430" t="s">
        <v>59</v>
      </c>
      <c r="E430" s="1">
        <v>45185</v>
      </c>
      <c r="F430" s="1">
        <v>45188</v>
      </c>
      <c r="G430">
        <v>58.9</v>
      </c>
      <c r="H430">
        <v>136.22</v>
      </c>
      <c r="I430" t="s">
        <v>15</v>
      </c>
      <c r="J430">
        <v>569</v>
      </c>
      <c r="K430">
        <v>3</v>
      </c>
      <c r="L430" t="str">
        <f>IF(logistics_data[[#This Row],[Delivery_Date]]="","In Transit",
 IF(logistics_data[[#This Row],[Status]]="Lost","Lost",
 IF(logistics_data[[#This Row],[Status]]="Returned","Returned",
 IF(logistics_data[[#This Row],[Status]]="Delayed","Delayed",
 "Delivered"))))</f>
        <v>Delivered</v>
      </c>
      <c r="M430" s="2">
        <f>logistics_data[[#This Row],[Cost]]/logistics_data[[#This Row],[Distance_miles]]</f>
        <v>0.239402460456942</v>
      </c>
      <c r="N430" t="str">
        <f>IF(logistics_data[[#This Row],[Orginal staus of shipment]]&lt;&gt;"Delivered","not applicabel", IF(logistics_data[[#This Row],[Transit_Days]]&gt;=5,"slow","fast"))</f>
        <v>fast</v>
      </c>
    </row>
    <row r="431" spans="1:14" x14ac:dyDescent="0.3">
      <c r="A431" t="s">
        <v>477</v>
      </c>
      <c r="B431" t="s">
        <v>51</v>
      </c>
      <c r="C431" t="s">
        <v>40</v>
      </c>
      <c r="D431" t="s">
        <v>25</v>
      </c>
      <c r="E431" s="1">
        <v>45159</v>
      </c>
      <c r="F431" s="1">
        <v>45168</v>
      </c>
      <c r="G431">
        <v>36.6</v>
      </c>
      <c r="H431">
        <v>311.83999999999997</v>
      </c>
      <c r="I431" t="s">
        <v>62</v>
      </c>
      <c r="J431">
        <v>2250</v>
      </c>
      <c r="K431">
        <v>9</v>
      </c>
      <c r="L431" t="str">
        <f>IF(logistics_data[[#This Row],[Delivery_Date]]="","In Transit",
 IF(logistics_data[[#This Row],[Status]]="Lost","Lost",
 IF(logistics_data[[#This Row],[Status]]="Returned","Returned",
 IF(logistics_data[[#This Row],[Status]]="Delayed","Delayed",
 "Delivered"))))</f>
        <v>Delivered</v>
      </c>
      <c r="M431" s="2">
        <f>logistics_data[[#This Row],[Cost]]/logistics_data[[#This Row],[Distance_miles]]</f>
        <v>0.13859555555555556</v>
      </c>
      <c r="N431" t="str">
        <f>IF(logistics_data[[#This Row],[Orginal staus of shipment]]&lt;&gt;"Delivered","not applicabel", IF(logistics_data[[#This Row],[Transit_Days]]&gt;=5,"slow","fast"))</f>
        <v>slow</v>
      </c>
    </row>
    <row r="432" spans="1:14" x14ac:dyDescent="0.3">
      <c r="A432" t="s">
        <v>478</v>
      </c>
      <c r="B432" t="s">
        <v>56</v>
      </c>
      <c r="C432" t="s">
        <v>24</v>
      </c>
      <c r="D432" t="s">
        <v>25</v>
      </c>
      <c r="E432" s="1">
        <v>45039</v>
      </c>
      <c r="F432" s="1">
        <v>45044</v>
      </c>
      <c r="G432">
        <v>23</v>
      </c>
      <c r="H432">
        <v>166.87</v>
      </c>
      <c r="I432" t="s">
        <v>15</v>
      </c>
      <c r="J432">
        <v>1171</v>
      </c>
      <c r="K432">
        <v>5</v>
      </c>
      <c r="L432" t="str">
        <f>IF(logistics_data[[#This Row],[Delivery_Date]]="","In Transit",
 IF(logistics_data[[#This Row],[Status]]="Lost","Lost",
 IF(logistics_data[[#This Row],[Status]]="Returned","Returned",
 IF(logistics_data[[#This Row],[Status]]="Delayed","Delayed",
 "Delivered"))))</f>
        <v>Delivered</v>
      </c>
      <c r="M432" s="2">
        <f>logistics_data[[#This Row],[Cost]]/logistics_data[[#This Row],[Distance_miles]]</f>
        <v>0.14250213492741248</v>
      </c>
      <c r="N432" t="str">
        <f>IF(logistics_data[[#This Row],[Orginal staus of shipment]]&lt;&gt;"Delivered","not applicabel", IF(logistics_data[[#This Row],[Transit_Days]]&gt;=5,"slow","fast"))</f>
        <v>slow</v>
      </c>
    </row>
    <row r="433" spans="1:14" x14ac:dyDescent="0.3">
      <c r="A433" t="s">
        <v>479</v>
      </c>
      <c r="B433" t="s">
        <v>39</v>
      </c>
      <c r="C433" t="s">
        <v>31</v>
      </c>
      <c r="D433" t="s">
        <v>18</v>
      </c>
      <c r="E433" s="1">
        <v>44966</v>
      </c>
      <c r="F433" s="1">
        <v>44969</v>
      </c>
      <c r="G433">
        <v>23</v>
      </c>
      <c r="H433">
        <v>94.01</v>
      </c>
      <c r="I433" t="s">
        <v>15</v>
      </c>
      <c r="J433">
        <v>462</v>
      </c>
      <c r="K433">
        <v>3</v>
      </c>
      <c r="L433" t="str">
        <f>IF(logistics_data[[#This Row],[Delivery_Date]]="","In Transit",
 IF(logistics_data[[#This Row],[Status]]="Lost","Lost",
 IF(logistics_data[[#This Row],[Status]]="Returned","Returned",
 IF(logistics_data[[#This Row],[Status]]="Delayed","Delayed",
 "Delivered"))))</f>
        <v>Delivered</v>
      </c>
      <c r="M433" s="2">
        <f>logistics_data[[#This Row],[Cost]]/logistics_data[[#This Row],[Distance_miles]]</f>
        <v>0.20348484848484849</v>
      </c>
      <c r="N433" t="str">
        <f>IF(logistics_data[[#This Row],[Orginal staus of shipment]]&lt;&gt;"Delivered","not applicabel", IF(logistics_data[[#This Row],[Transit_Days]]&gt;=5,"slow","fast"))</f>
        <v>fast</v>
      </c>
    </row>
    <row r="434" spans="1:14" x14ac:dyDescent="0.3">
      <c r="A434" t="s">
        <v>480</v>
      </c>
      <c r="B434" t="s">
        <v>39</v>
      </c>
      <c r="C434" t="s">
        <v>13</v>
      </c>
      <c r="D434" t="s">
        <v>32</v>
      </c>
      <c r="E434" s="1">
        <v>45054</v>
      </c>
      <c r="F434" s="1">
        <v>45058</v>
      </c>
      <c r="G434">
        <v>18.5</v>
      </c>
      <c r="H434">
        <v>232.87</v>
      </c>
      <c r="I434" t="s">
        <v>15</v>
      </c>
      <c r="J434">
        <v>1761</v>
      </c>
      <c r="K434">
        <v>4</v>
      </c>
      <c r="L434" t="str">
        <f>IF(logistics_data[[#This Row],[Delivery_Date]]="","In Transit",
 IF(logistics_data[[#This Row],[Status]]="Lost","Lost",
 IF(logistics_data[[#This Row],[Status]]="Returned","Returned",
 IF(logistics_data[[#This Row],[Status]]="Delayed","Delayed",
 "Delivered"))))</f>
        <v>Delivered</v>
      </c>
      <c r="M434" s="2">
        <f>logistics_data[[#This Row],[Cost]]/logistics_data[[#This Row],[Distance_miles]]</f>
        <v>0.13223736513344692</v>
      </c>
      <c r="N434" t="str">
        <f>IF(logistics_data[[#This Row],[Orginal staus of shipment]]&lt;&gt;"Delivered","not applicabel", IF(logistics_data[[#This Row],[Transit_Days]]&gt;=5,"slow","fast"))</f>
        <v>fast</v>
      </c>
    </row>
    <row r="435" spans="1:14" x14ac:dyDescent="0.3">
      <c r="A435" t="s">
        <v>481</v>
      </c>
      <c r="B435" t="s">
        <v>39</v>
      </c>
      <c r="C435" t="s">
        <v>57</v>
      </c>
      <c r="D435" t="s">
        <v>18</v>
      </c>
      <c r="E435" s="1">
        <v>44957</v>
      </c>
      <c r="F435" s="1">
        <v>44959</v>
      </c>
      <c r="G435">
        <v>16.8</v>
      </c>
      <c r="H435">
        <v>118.63</v>
      </c>
      <c r="I435" t="s">
        <v>15</v>
      </c>
      <c r="J435">
        <v>658</v>
      </c>
      <c r="K435">
        <v>2</v>
      </c>
      <c r="L435" t="str">
        <f>IF(logistics_data[[#This Row],[Delivery_Date]]="","In Transit",
 IF(logistics_data[[#This Row],[Status]]="Lost","Lost",
 IF(logistics_data[[#This Row],[Status]]="Returned","Returned",
 IF(logistics_data[[#This Row],[Status]]="Delayed","Delayed",
 "Delivered"))))</f>
        <v>Delivered</v>
      </c>
      <c r="M435" s="2">
        <f>logistics_data[[#This Row],[Cost]]/logistics_data[[#This Row],[Distance_miles]]</f>
        <v>0.1802887537993921</v>
      </c>
      <c r="N435" t="str">
        <f>IF(logistics_data[[#This Row],[Orginal staus of shipment]]&lt;&gt;"Delivered","not applicabel", IF(logistics_data[[#This Row],[Transit_Days]]&gt;=5,"slow","fast"))</f>
        <v>fast</v>
      </c>
    </row>
    <row r="436" spans="1:14" x14ac:dyDescent="0.3">
      <c r="A436" t="s">
        <v>482</v>
      </c>
      <c r="B436" t="s">
        <v>39</v>
      </c>
      <c r="C436" t="s">
        <v>52</v>
      </c>
      <c r="D436" t="s">
        <v>18</v>
      </c>
      <c r="E436" s="1">
        <v>45219</v>
      </c>
      <c r="F436" s="1">
        <v>45222</v>
      </c>
      <c r="G436">
        <v>14.2</v>
      </c>
      <c r="H436">
        <v>161.26</v>
      </c>
      <c r="I436" t="s">
        <v>15</v>
      </c>
      <c r="J436">
        <v>978</v>
      </c>
      <c r="K436">
        <v>3</v>
      </c>
      <c r="L436" t="str">
        <f>IF(logistics_data[[#This Row],[Delivery_Date]]="","In Transit",
 IF(logistics_data[[#This Row],[Status]]="Lost","Lost",
 IF(logistics_data[[#This Row],[Status]]="Returned","Returned",
 IF(logistics_data[[#This Row],[Status]]="Delayed","Delayed",
 "Delivered"))))</f>
        <v>Delivered</v>
      </c>
      <c r="M436" s="2">
        <f>logistics_data[[#This Row],[Cost]]/logistics_data[[#This Row],[Distance_miles]]</f>
        <v>0.16488752556237218</v>
      </c>
      <c r="N436" t="str">
        <f>IF(logistics_data[[#This Row],[Orginal staus of shipment]]&lt;&gt;"Delivered","not applicabel", IF(logistics_data[[#This Row],[Transit_Days]]&gt;=5,"slow","fast"))</f>
        <v>fast</v>
      </c>
    </row>
    <row r="437" spans="1:14" x14ac:dyDescent="0.3">
      <c r="A437" t="s">
        <v>483</v>
      </c>
      <c r="B437" t="s">
        <v>35</v>
      </c>
      <c r="C437" t="s">
        <v>52</v>
      </c>
      <c r="D437" t="s">
        <v>18</v>
      </c>
      <c r="E437" s="1">
        <v>44948</v>
      </c>
      <c r="F437" s="1">
        <v>44951</v>
      </c>
      <c r="G437">
        <v>45.1</v>
      </c>
      <c r="H437">
        <v>238.38</v>
      </c>
      <c r="I437" t="s">
        <v>15</v>
      </c>
      <c r="J437">
        <v>1349</v>
      </c>
      <c r="K437">
        <v>3</v>
      </c>
      <c r="L437" t="str">
        <f>IF(logistics_data[[#This Row],[Delivery_Date]]="","In Transit",
 IF(logistics_data[[#This Row],[Status]]="Lost","Lost",
 IF(logistics_data[[#This Row],[Status]]="Returned","Returned",
 IF(logistics_data[[#This Row],[Status]]="Delayed","Delayed",
 "Delivered"))))</f>
        <v>Delivered</v>
      </c>
      <c r="M437" s="2">
        <f>logistics_data[[#This Row],[Cost]]/logistics_data[[#This Row],[Distance_miles]]</f>
        <v>0.17670867309117866</v>
      </c>
      <c r="N437" t="str">
        <f>IF(logistics_data[[#This Row],[Orginal staus of shipment]]&lt;&gt;"Delivered","not applicabel", IF(logistics_data[[#This Row],[Transit_Days]]&gt;=5,"slow","fast"))</f>
        <v>fast</v>
      </c>
    </row>
    <row r="438" spans="1:14" x14ac:dyDescent="0.3">
      <c r="A438" t="s">
        <v>484</v>
      </c>
      <c r="B438" t="s">
        <v>30</v>
      </c>
      <c r="C438" t="s">
        <v>21</v>
      </c>
      <c r="D438" t="s">
        <v>37</v>
      </c>
      <c r="E438" s="1">
        <v>45014</v>
      </c>
      <c r="F438" s="1">
        <v>45015</v>
      </c>
      <c r="G438">
        <v>19</v>
      </c>
      <c r="H438">
        <v>77.14</v>
      </c>
      <c r="I438" t="s">
        <v>15</v>
      </c>
      <c r="J438">
        <v>483</v>
      </c>
      <c r="K438">
        <v>1</v>
      </c>
      <c r="L438" t="str">
        <f>IF(logistics_data[[#This Row],[Delivery_Date]]="","In Transit",
 IF(logistics_data[[#This Row],[Status]]="Lost","Lost",
 IF(logistics_data[[#This Row],[Status]]="Returned","Returned",
 IF(logistics_data[[#This Row],[Status]]="Delayed","Delayed",
 "Delivered"))))</f>
        <v>Delivered</v>
      </c>
      <c r="M438" s="2">
        <f>logistics_data[[#This Row],[Cost]]/logistics_data[[#This Row],[Distance_miles]]</f>
        <v>0.15971014492753624</v>
      </c>
      <c r="N438" t="str">
        <f>IF(logistics_data[[#This Row],[Orginal staus of shipment]]&lt;&gt;"Delivered","not applicabel", IF(logistics_data[[#This Row],[Transit_Days]]&gt;=5,"slow","fast"))</f>
        <v>fast</v>
      </c>
    </row>
    <row r="439" spans="1:14" x14ac:dyDescent="0.3">
      <c r="A439" t="s">
        <v>485</v>
      </c>
      <c r="B439" t="s">
        <v>56</v>
      </c>
      <c r="C439" t="s">
        <v>21</v>
      </c>
      <c r="D439" t="s">
        <v>32</v>
      </c>
      <c r="E439" s="1">
        <v>45030</v>
      </c>
      <c r="F439" s="1">
        <v>45037</v>
      </c>
      <c r="G439">
        <v>9.9</v>
      </c>
      <c r="H439">
        <v>256.92</v>
      </c>
      <c r="I439" t="s">
        <v>15</v>
      </c>
      <c r="J439">
        <v>1707</v>
      </c>
      <c r="K439">
        <v>7</v>
      </c>
      <c r="L439" t="str">
        <f>IF(logistics_data[[#This Row],[Delivery_Date]]="","In Transit",
 IF(logistics_data[[#This Row],[Status]]="Lost","Lost",
 IF(logistics_data[[#This Row],[Status]]="Returned","Returned",
 IF(logistics_data[[#This Row],[Status]]="Delayed","Delayed",
 "Delivered"))))</f>
        <v>Delivered</v>
      </c>
      <c r="M439" s="2">
        <f>logistics_data[[#This Row],[Cost]]/logistics_data[[#This Row],[Distance_miles]]</f>
        <v>0.1505096660808436</v>
      </c>
      <c r="N439" t="str">
        <f>IF(logistics_data[[#This Row],[Orginal staus of shipment]]&lt;&gt;"Delivered","not applicabel", IF(logistics_data[[#This Row],[Transit_Days]]&gt;=5,"slow","fast"))</f>
        <v>slow</v>
      </c>
    </row>
    <row r="440" spans="1:14" x14ac:dyDescent="0.3">
      <c r="A440" t="s">
        <v>486</v>
      </c>
      <c r="B440" t="s">
        <v>30</v>
      </c>
      <c r="C440" t="s">
        <v>28</v>
      </c>
      <c r="D440" t="s">
        <v>59</v>
      </c>
      <c r="E440" s="1">
        <v>45194</v>
      </c>
      <c r="F440" s="1">
        <v>45199</v>
      </c>
      <c r="G440">
        <v>46.2</v>
      </c>
      <c r="H440">
        <v>329.57</v>
      </c>
      <c r="I440" t="s">
        <v>15</v>
      </c>
      <c r="J440">
        <v>2333</v>
      </c>
      <c r="K440">
        <v>5</v>
      </c>
      <c r="L440" t="str">
        <f>IF(logistics_data[[#This Row],[Delivery_Date]]="","In Transit",
 IF(logistics_data[[#This Row],[Status]]="Lost","Lost",
 IF(logistics_data[[#This Row],[Status]]="Returned","Returned",
 IF(logistics_data[[#This Row],[Status]]="Delayed","Delayed",
 "Delivered"))))</f>
        <v>Delivered</v>
      </c>
      <c r="M440" s="2">
        <f>logistics_data[[#This Row],[Cost]]/logistics_data[[#This Row],[Distance_miles]]</f>
        <v>0.14126446635233605</v>
      </c>
      <c r="N440" t="str">
        <f>IF(logistics_data[[#This Row],[Orginal staus of shipment]]&lt;&gt;"Delivered","not applicabel", IF(logistics_data[[#This Row],[Transit_Days]]&gt;=5,"slow","fast"))</f>
        <v>slow</v>
      </c>
    </row>
    <row r="441" spans="1:14" x14ac:dyDescent="0.3">
      <c r="A441" t="s">
        <v>487</v>
      </c>
      <c r="B441" t="s">
        <v>51</v>
      </c>
      <c r="C441" t="s">
        <v>44</v>
      </c>
      <c r="D441" t="s">
        <v>42</v>
      </c>
      <c r="E441" s="1">
        <v>45264</v>
      </c>
      <c r="F441" s="1">
        <v>45266</v>
      </c>
      <c r="G441">
        <v>10.199999999999999</v>
      </c>
      <c r="H441">
        <v>120.04</v>
      </c>
      <c r="I441" t="s">
        <v>15</v>
      </c>
      <c r="J441">
        <v>790</v>
      </c>
      <c r="K441">
        <v>2</v>
      </c>
      <c r="L441" t="str">
        <f>IF(logistics_data[[#This Row],[Delivery_Date]]="","In Transit",
 IF(logistics_data[[#This Row],[Status]]="Lost","Lost",
 IF(logistics_data[[#This Row],[Status]]="Returned","Returned",
 IF(logistics_data[[#This Row],[Status]]="Delayed","Delayed",
 "Delivered"))))</f>
        <v>Delivered</v>
      </c>
      <c r="M441" s="2">
        <f>logistics_data[[#This Row],[Cost]]/logistics_data[[#This Row],[Distance_miles]]</f>
        <v>0.1519493670886076</v>
      </c>
      <c r="N441" t="str">
        <f>IF(logistics_data[[#This Row],[Orginal staus of shipment]]&lt;&gt;"Delivered","not applicabel", IF(logistics_data[[#This Row],[Transit_Days]]&gt;=5,"slow","fast"))</f>
        <v>fast</v>
      </c>
    </row>
    <row r="442" spans="1:14" x14ac:dyDescent="0.3">
      <c r="A442" t="s">
        <v>488</v>
      </c>
      <c r="B442" t="s">
        <v>35</v>
      </c>
      <c r="C442" t="s">
        <v>13</v>
      </c>
      <c r="D442" t="s">
        <v>18</v>
      </c>
      <c r="E442" s="1">
        <v>45019</v>
      </c>
      <c r="F442" s="1">
        <v>45027</v>
      </c>
      <c r="G442">
        <v>5.2</v>
      </c>
      <c r="H442">
        <v>216.66</v>
      </c>
      <c r="I442" t="s">
        <v>15</v>
      </c>
      <c r="J442">
        <v>1605</v>
      </c>
      <c r="K442">
        <v>8</v>
      </c>
      <c r="L442" t="str">
        <f>IF(logistics_data[[#This Row],[Delivery_Date]]="","In Transit",
 IF(logistics_data[[#This Row],[Status]]="Lost","Lost",
 IF(logistics_data[[#This Row],[Status]]="Returned","Returned",
 IF(logistics_data[[#This Row],[Status]]="Delayed","Delayed",
 "Delivered"))))</f>
        <v>Delivered</v>
      </c>
      <c r="M442" s="2">
        <f>logistics_data[[#This Row],[Cost]]/logistics_data[[#This Row],[Distance_miles]]</f>
        <v>0.13499065420560746</v>
      </c>
      <c r="N442" t="str">
        <f>IF(logistics_data[[#This Row],[Orginal staus of shipment]]&lt;&gt;"Delivered","not applicabel", IF(logistics_data[[#This Row],[Transit_Days]]&gt;=5,"slow","fast"))</f>
        <v>slow</v>
      </c>
    </row>
    <row r="443" spans="1:14" x14ac:dyDescent="0.3">
      <c r="A443" t="s">
        <v>489</v>
      </c>
      <c r="B443" t="s">
        <v>27</v>
      </c>
      <c r="C443" t="s">
        <v>24</v>
      </c>
      <c r="D443" t="s">
        <v>14</v>
      </c>
      <c r="E443" s="1">
        <v>45231</v>
      </c>
      <c r="F443" s="1">
        <v>45235</v>
      </c>
      <c r="G443">
        <v>26</v>
      </c>
      <c r="H443">
        <v>183.17</v>
      </c>
      <c r="I443" t="s">
        <v>15</v>
      </c>
      <c r="J443">
        <v>1019</v>
      </c>
      <c r="K443">
        <v>4</v>
      </c>
      <c r="L443" t="str">
        <f>IF(logistics_data[[#This Row],[Delivery_Date]]="","In Transit",
 IF(logistics_data[[#This Row],[Status]]="Lost","Lost",
 IF(logistics_data[[#This Row],[Status]]="Returned","Returned",
 IF(logistics_data[[#This Row],[Status]]="Delayed","Delayed",
 "Delivered"))))</f>
        <v>Delivered</v>
      </c>
      <c r="M443" s="2">
        <f>logistics_data[[#This Row],[Cost]]/logistics_data[[#This Row],[Distance_miles]]</f>
        <v>0.17975466143277721</v>
      </c>
      <c r="N443" t="str">
        <f>IF(logistics_data[[#This Row],[Orginal staus of shipment]]&lt;&gt;"Delivered","not applicabel", IF(logistics_data[[#This Row],[Transit_Days]]&gt;=5,"slow","fast"))</f>
        <v>fast</v>
      </c>
    </row>
    <row r="444" spans="1:14" x14ac:dyDescent="0.3">
      <c r="A444" t="s">
        <v>490</v>
      </c>
      <c r="B444" t="s">
        <v>51</v>
      </c>
      <c r="C444" t="s">
        <v>13</v>
      </c>
      <c r="D444" t="s">
        <v>59</v>
      </c>
      <c r="E444" s="1">
        <v>45185</v>
      </c>
      <c r="F444" s="1">
        <v>45189</v>
      </c>
      <c r="G444">
        <v>13.2</v>
      </c>
      <c r="H444">
        <v>256.52999999999997</v>
      </c>
      <c r="I444" t="s">
        <v>15</v>
      </c>
      <c r="J444">
        <v>1945</v>
      </c>
      <c r="K444">
        <v>4</v>
      </c>
      <c r="L444" t="str">
        <f>IF(logistics_data[[#This Row],[Delivery_Date]]="","In Transit",
 IF(logistics_data[[#This Row],[Status]]="Lost","Lost",
 IF(logistics_data[[#This Row],[Status]]="Returned","Returned",
 IF(logistics_data[[#This Row],[Status]]="Delayed","Delayed",
 "Delivered"))))</f>
        <v>Delivered</v>
      </c>
      <c r="M444" s="2">
        <f>logistics_data[[#This Row],[Cost]]/logistics_data[[#This Row],[Distance_miles]]</f>
        <v>0.13189203084832904</v>
      </c>
      <c r="N444" t="str">
        <f>IF(logistics_data[[#This Row],[Orginal staus of shipment]]&lt;&gt;"Delivered","not applicabel", IF(logistics_data[[#This Row],[Transit_Days]]&gt;=5,"slow","fast"))</f>
        <v>fast</v>
      </c>
    </row>
    <row r="445" spans="1:14" x14ac:dyDescent="0.3">
      <c r="A445" t="s">
        <v>491</v>
      </c>
      <c r="B445" t="s">
        <v>39</v>
      </c>
      <c r="C445" t="s">
        <v>52</v>
      </c>
      <c r="D445" t="s">
        <v>37</v>
      </c>
      <c r="E445" s="1">
        <v>45017</v>
      </c>
      <c r="F445" s="1">
        <v>45019</v>
      </c>
      <c r="G445">
        <v>55.5</v>
      </c>
      <c r="H445">
        <v>169.22</v>
      </c>
      <c r="I445" t="s">
        <v>15</v>
      </c>
      <c r="J445">
        <v>804</v>
      </c>
      <c r="K445">
        <v>2</v>
      </c>
      <c r="L445" t="str">
        <f>IF(logistics_data[[#This Row],[Delivery_Date]]="","In Transit",
 IF(logistics_data[[#This Row],[Status]]="Lost","Lost",
 IF(logistics_data[[#This Row],[Status]]="Returned","Returned",
 IF(logistics_data[[#This Row],[Status]]="Delayed","Delayed",
 "Delivered"))))</f>
        <v>Delivered</v>
      </c>
      <c r="M445" s="2">
        <f>logistics_data[[#This Row],[Cost]]/logistics_data[[#This Row],[Distance_miles]]</f>
        <v>0.21047263681592041</v>
      </c>
      <c r="N445" t="str">
        <f>IF(logistics_data[[#This Row],[Orginal staus of shipment]]&lt;&gt;"Delivered","not applicabel", IF(logistics_data[[#This Row],[Transit_Days]]&gt;=5,"slow","fast"))</f>
        <v>fast</v>
      </c>
    </row>
    <row r="446" spans="1:14" x14ac:dyDescent="0.3">
      <c r="A446" t="s">
        <v>492</v>
      </c>
      <c r="B446" t="s">
        <v>20</v>
      </c>
      <c r="C446" t="s">
        <v>28</v>
      </c>
      <c r="D446" t="s">
        <v>37</v>
      </c>
      <c r="E446" s="1">
        <v>45186</v>
      </c>
      <c r="F446" s="1">
        <v>45192</v>
      </c>
      <c r="G446">
        <v>23.9</v>
      </c>
      <c r="H446">
        <v>188.32</v>
      </c>
      <c r="I446" t="s">
        <v>15</v>
      </c>
      <c r="J446">
        <v>1435</v>
      </c>
      <c r="K446">
        <v>6</v>
      </c>
      <c r="L446" t="str">
        <f>IF(logistics_data[[#This Row],[Delivery_Date]]="","In Transit",
 IF(logistics_data[[#This Row],[Status]]="Lost","Lost",
 IF(logistics_data[[#This Row],[Status]]="Returned","Returned",
 IF(logistics_data[[#This Row],[Status]]="Delayed","Delayed",
 "Delivered"))))</f>
        <v>Delivered</v>
      </c>
      <c r="M446" s="2">
        <f>logistics_data[[#This Row],[Cost]]/logistics_data[[#This Row],[Distance_miles]]</f>
        <v>0.13123344947735191</v>
      </c>
      <c r="N446" t="str">
        <f>IF(logistics_data[[#This Row],[Orginal staus of shipment]]&lt;&gt;"Delivered","not applicabel", IF(logistics_data[[#This Row],[Transit_Days]]&gt;=5,"slow","fast"))</f>
        <v>slow</v>
      </c>
    </row>
    <row r="447" spans="1:14" x14ac:dyDescent="0.3">
      <c r="A447" t="s">
        <v>493</v>
      </c>
      <c r="B447" t="s">
        <v>39</v>
      </c>
      <c r="C447" t="s">
        <v>52</v>
      </c>
      <c r="D447" t="s">
        <v>37</v>
      </c>
      <c r="E447" s="1">
        <v>45026</v>
      </c>
      <c r="F447" s="1">
        <v>45029</v>
      </c>
      <c r="G447">
        <v>31.6</v>
      </c>
      <c r="H447">
        <v>152.35</v>
      </c>
      <c r="I447" t="s">
        <v>62</v>
      </c>
      <c r="J447">
        <v>1081</v>
      </c>
      <c r="K447">
        <v>3</v>
      </c>
      <c r="L447" t="str">
        <f>IF(logistics_data[[#This Row],[Delivery_Date]]="","In Transit",
 IF(logistics_data[[#This Row],[Status]]="Lost","Lost",
 IF(logistics_data[[#This Row],[Status]]="Returned","Returned",
 IF(logistics_data[[#This Row],[Status]]="Delayed","Delayed",
 "Delivered"))))</f>
        <v>Delivered</v>
      </c>
      <c r="M447" s="2">
        <f>logistics_data[[#This Row],[Cost]]/logistics_data[[#This Row],[Distance_miles]]</f>
        <v>0.14093432007400555</v>
      </c>
      <c r="N447" t="str">
        <f>IF(logistics_data[[#This Row],[Orginal staus of shipment]]&lt;&gt;"Delivered","not applicabel", IF(logistics_data[[#This Row],[Transit_Days]]&gt;=5,"slow","fast"))</f>
        <v>fast</v>
      </c>
    </row>
    <row r="448" spans="1:14" x14ac:dyDescent="0.3">
      <c r="A448" t="s">
        <v>494</v>
      </c>
      <c r="B448" t="s">
        <v>49</v>
      </c>
      <c r="C448" t="s">
        <v>24</v>
      </c>
      <c r="D448" t="s">
        <v>32</v>
      </c>
      <c r="E448" s="1">
        <v>45259</v>
      </c>
      <c r="F448" s="1">
        <v>45265</v>
      </c>
      <c r="G448">
        <v>34</v>
      </c>
      <c r="H448">
        <v>234.67</v>
      </c>
      <c r="I448" t="s">
        <v>15</v>
      </c>
      <c r="J448">
        <v>1211</v>
      </c>
      <c r="K448">
        <v>6</v>
      </c>
      <c r="L448" t="str">
        <f>IF(logistics_data[[#This Row],[Delivery_Date]]="","In Transit",
 IF(logistics_data[[#This Row],[Status]]="Lost","Lost",
 IF(logistics_data[[#This Row],[Status]]="Returned","Returned",
 IF(logistics_data[[#This Row],[Status]]="Delayed","Delayed",
 "Delivered"))))</f>
        <v>Delivered</v>
      </c>
      <c r="M448" s="2">
        <f>logistics_data[[#This Row],[Cost]]/logistics_data[[#This Row],[Distance_miles]]</f>
        <v>0.19378199834847232</v>
      </c>
      <c r="N448" t="str">
        <f>IF(logistics_data[[#This Row],[Orginal staus of shipment]]&lt;&gt;"Delivered","not applicabel", IF(logistics_data[[#This Row],[Transit_Days]]&gt;=5,"slow","fast"))</f>
        <v>slow</v>
      </c>
    </row>
    <row r="449" spans="1:14" x14ac:dyDescent="0.3">
      <c r="A449" t="s">
        <v>495</v>
      </c>
      <c r="B449" t="s">
        <v>39</v>
      </c>
      <c r="C449" t="s">
        <v>70</v>
      </c>
      <c r="D449" t="s">
        <v>18</v>
      </c>
      <c r="E449" s="1">
        <v>45135</v>
      </c>
      <c r="G449">
        <v>29.3</v>
      </c>
      <c r="H449">
        <v>171.21</v>
      </c>
      <c r="I449" t="s">
        <v>15</v>
      </c>
      <c r="J449">
        <v>916</v>
      </c>
      <c r="K449">
        <v>4</v>
      </c>
      <c r="L449" t="str">
        <f>IF(logistics_data[[#This Row],[Delivery_Date]]="","In Transit",
 IF(logistics_data[[#This Row],[Status]]="Lost","Lost",
 IF(logistics_data[[#This Row],[Status]]="Returned","Returned",
 IF(logistics_data[[#This Row],[Status]]="Delayed","Delayed",
 "Delivered"))))</f>
        <v>In Transit</v>
      </c>
      <c r="M449" s="2">
        <f>logistics_data[[#This Row],[Cost]]/logistics_data[[#This Row],[Distance_miles]]</f>
        <v>0.18691048034934499</v>
      </c>
      <c r="N449" t="str">
        <f>IF(logistics_data[[#This Row],[Orginal staus of shipment]]&lt;&gt;"Delivered","not applicabel", IF(logistics_data[[#This Row],[Transit_Days]]&gt;=5,"slow","fast"))</f>
        <v>not applicabel</v>
      </c>
    </row>
    <row r="450" spans="1:14" x14ac:dyDescent="0.3">
      <c r="A450" t="s">
        <v>496</v>
      </c>
      <c r="B450" t="s">
        <v>23</v>
      </c>
      <c r="C450" t="s">
        <v>44</v>
      </c>
      <c r="D450" t="s">
        <v>59</v>
      </c>
      <c r="E450" s="1">
        <v>45030</v>
      </c>
      <c r="F450" s="1">
        <v>45034</v>
      </c>
      <c r="G450">
        <v>87.5</v>
      </c>
      <c r="H450">
        <v>322.08999999999997</v>
      </c>
      <c r="I450" t="s">
        <v>15</v>
      </c>
      <c r="J450">
        <v>1941</v>
      </c>
      <c r="K450">
        <v>4</v>
      </c>
      <c r="L450" t="str">
        <f>IF(logistics_data[[#This Row],[Delivery_Date]]="","In Transit",
 IF(logistics_data[[#This Row],[Status]]="Lost","Lost",
 IF(logistics_data[[#This Row],[Status]]="Returned","Returned",
 IF(logistics_data[[#This Row],[Status]]="Delayed","Delayed",
 "Delivered"))))</f>
        <v>Delivered</v>
      </c>
      <c r="M450" s="2">
        <f>logistics_data[[#This Row],[Cost]]/logistics_data[[#This Row],[Distance_miles]]</f>
        <v>0.16594023699124161</v>
      </c>
      <c r="N450" t="str">
        <f>IF(logistics_data[[#This Row],[Orginal staus of shipment]]&lt;&gt;"Delivered","not applicabel", IF(logistics_data[[#This Row],[Transit_Days]]&gt;=5,"slow","fast"))</f>
        <v>fast</v>
      </c>
    </row>
    <row r="451" spans="1:14" x14ac:dyDescent="0.3">
      <c r="A451" t="s">
        <v>497</v>
      </c>
      <c r="B451" t="s">
        <v>35</v>
      </c>
      <c r="C451" t="s">
        <v>21</v>
      </c>
      <c r="D451" t="s">
        <v>25</v>
      </c>
      <c r="E451" s="1">
        <v>45198</v>
      </c>
      <c r="F451" s="1">
        <v>45203</v>
      </c>
      <c r="G451">
        <v>6.6</v>
      </c>
      <c r="H451">
        <v>211.32</v>
      </c>
      <c r="I451" t="s">
        <v>15</v>
      </c>
      <c r="J451">
        <v>1560</v>
      </c>
      <c r="K451">
        <v>5</v>
      </c>
      <c r="L451" t="str">
        <f>IF(logistics_data[[#This Row],[Delivery_Date]]="","In Transit",
 IF(logistics_data[[#This Row],[Status]]="Lost","Lost",
 IF(logistics_data[[#This Row],[Status]]="Returned","Returned",
 IF(logistics_data[[#This Row],[Status]]="Delayed","Delayed",
 "Delivered"))))</f>
        <v>Delivered</v>
      </c>
      <c r="M451" s="2">
        <f>logistics_data[[#This Row],[Cost]]/logistics_data[[#This Row],[Distance_miles]]</f>
        <v>0.13546153846153847</v>
      </c>
      <c r="N451" t="str">
        <f>IF(logistics_data[[#This Row],[Orginal staus of shipment]]&lt;&gt;"Delivered","not applicabel", IF(logistics_data[[#This Row],[Transit_Days]]&gt;=5,"slow","fast"))</f>
        <v>slow</v>
      </c>
    </row>
    <row r="452" spans="1:14" x14ac:dyDescent="0.3">
      <c r="A452" t="s">
        <v>498</v>
      </c>
      <c r="B452" t="s">
        <v>23</v>
      </c>
      <c r="C452" t="s">
        <v>44</v>
      </c>
      <c r="D452" t="s">
        <v>18</v>
      </c>
      <c r="E452" s="1">
        <v>45183</v>
      </c>
      <c r="F452" s="1">
        <v>45188</v>
      </c>
      <c r="G452">
        <v>14.2</v>
      </c>
      <c r="H452">
        <v>279.38</v>
      </c>
      <c r="I452" t="s">
        <v>15</v>
      </c>
      <c r="J452">
        <v>1843</v>
      </c>
      <c r="K452">
        <v>5</v>
      </c>
      <c r="L452" t="str">
        <f>IF(logistics_data[[#This Row],[Delivery_Date]]="","In Transit",
 IF(logistics_data[[#This Row],[Status]]="Lost","Lost",
 IF(logistics_data[[#This Row],[Status]]="Returned","Returned",
 IF(logistics_data[[#This Row],[Status]]="Delayed","Delayed",
 "Delivered"))))</f>
        <v>Delivered</v>
      </c>
      <c r="M452" s="2">
        <f>logistics_data[[#This Row],[Cost]]/logistics_data[[#This Row],[Distance_miles]]</f>
        <v>0.15158979924036897</v>
      </c>
      <c r="N452" t="str">
        <f>IF(logistics_data[[#This Row],[Orginal staus of shipment]]&lt;&gt;"Delivered","not applicabel", IF(logistics_data[[#This Row],[Transit_Days]]&gt;=5,"slow","fast"))</f>
        <v>slow</v>
      </c>
    </row>
    <row r="453" spans="1:14" x14ac:dyDescent="0.3">
      <c r="A453" t="s">
        <v>499</v>
      </c>
      <c r="B453" t="s">
        <v>49</v>
      </c>
      <c r="C453" t="s">
        <v>24</v>
      </c>
      <c r="D453" t="s">
        <v>25</v>
      </c>
      <c r="E453" s="1">
        <v>44991</v>
      </c>
      <c r="F453" s="1">
        <v>44999</v>
      </c>
      <c r="G453">
        <v>8.3000000000000007</v>
      </c>
      <c r="H453">
        <v>274.13</v>
      </c>
      <c r="I453" t="s">
        <v>15</v>
      </c>
      <c r="J453">
        <v>2418</v>
      </c>
      <c r="K453">
        <v>8</v>
      </c>
      <c r="L453" t="str">
        <f>IF(logistics_data[[#This Row],[Delivery_Date]]="","In Transit",
 IF(logistics_data[[#This Row],[Status]]="Lost","Lost",
 IF(logistics_data[[#This Row],[Status]]="Returned","Returned",
 IF(logistics_data[[#This Row],[Status]]="Delayed","Delayed",
 "Delivered"))))</f>
        <v>Delivered</v>
      </c>
      <c r="M453" s="2">
        <f>logistics_data[[#This Row],[Cost]]/logistics_data[[#This Row],[Distance_miles]]</f>
        <v>0.11337055417700578</v>
      </c>
      <c r="N453" t="str">
        <f>IF(logistics_data[[#This Row],[Orginal staus of shipment]]&lt;&gt;"Delivered","not applicabel", IF(logistics_data[[#This Row],[Transit_Days]]&gt;=5,"slow","fast"))</f>
        <v>slow</v>
      </c>
    </row>
    <row r="454" spans="1:14" x14ac:dyDescent="0.3">
      <c r="A454" t="s">
        <v>500</v>
      </c>
      <c r="B454" t="s">
        <v>23</v>
      </c>
      <c r="C454" t="s">
        <v>13</v>
      </c>
      <c r="D454" t="s">
        <v>42</v>
      </c>
      <c r="E454" s="1">
        <v>44930</v>
      </c>
      <c r="F454" s="1">
        <v>44947</v>
      </c>
      <c r="G454">
        <v>18</v>
      </c>
      <c r="H454">
        <v>271.68</v>
      </c>
      <c r="I454" t="s">
        <v>47</v>
      </c>
      <c r="J454">
        <v>2067</v>
      </c>
      <c r="K454">
        <v>5</v>
      </c>
      <c r="L454" t="str">
        <f>IF(logistics_data[[#This Row],[Delivery_Date]]="","In Transit",
 IF(logistics_data[[#This Row],[Status]]="Lost","Lost",
 IF(logistics_data[[#This Row],[Status]]="Returned","Returned",
 IF(logistics_data[[#This Row],[Status]]="Delayed","Delayed",
 "Delivered"))))</f>
        <v>Delayed</v>
      </c>
      <c r="M454" s="2">
        <f>logistics_data[[#This Row],[Cost]]/logistics_data[[#This Row],[Distance_miles]]</f>
        <v>0.13143686502177068</v>
      </c>
      <c r="N454" t="str">
        <f>IF(logistics_data[[#This Row],[Orginal staus of shipment]]&lt;&gt;"Delivered","not applicabel", IF(logistics_data[[#This Row],[Transit_Days]]&gt;=5,"slow","fast"))</f>
        <v>not applicabel</v>
      </c>
    </row>
    <row r="455" spans="1:14" x14ac:dyDescent="0.3">
      <c r="A455" t="s">
        <v>501</v>
      </c>
      <c r="B455" t="s">
        <v>51</v>
      </c>
      <c r="C455" t="s">
        <v>36</v>
      </c>
      <c r="D455" t="s">
        <v>25</v>
      </c>
      <c r="E455" s="1">
        <v>44947</v>
      </c>
      <c r="F455" s="1">
        <v>44949</v>
      </c>
      <c r="G455">
        <v>45</v>
      </c>
      <c r="H455">
        <v>124.14</v>
      </c>
      <c r="I455" t="s">
        <v>15</v>
      </c>
      <c r="J455">
        <v>568</v>
      </c>
      <c r="K455">
        <v>2</v>
      </c>
      <c r="L455" t="str">
        <f>IF(logistics_data[[#This Row],[Delivery_Date]]="","In Transit",
 IF(logistics_data[[#This Row],[Status]]="Lost","Lost",
 IF(logistics_data[[#This Row],[Status]]="Returned","Returned",
 IF(logistics_data[[#This Row],[Status]]="Delayed","Delayed",
 "Delivered"))))</f>
        <v>Delivered</v>
      </c>
      <c r="M455" s="2">
        <f>logistics_data[[#This Row],[Cost]]/logistics_data[[#This Row],[Distance_miles]]</f>
        <v>0.21855633802816901</v>
      </c>
      <c r="N455" t="str">
        <f>IF(logistics_data[[#This Row],[Orginal staus of shipment]]&lt;&gt;"Delivered","not applicabel", IF(logistics_data[[#This Row],[Transit_Days]]&gt;=5,"slow","fast"))</f>
        <v>fast</v>
      </c>
    </row>
    <row r="456" spans="1:14" x14ac:dyDescent="0.3">
      <c r="A456" t="s">
        <v>502</v>
      </c>
      <c r="B456" t="s">
        <v>51</v>
      </c>
      <c r="C456" t="s">
        <v>13</v>
      </c>
      <c r="D456" t="s">
        <v>32</v>
      </c>
      <c r="E456" s="1">
        <v>45086</v>
      </c>
      <c r="F456" s="1">
        <v>45092</v>
      </c>
      <c r="G456">
        <v>8.1</v>
      </c>
      <c r="H456">
        <v>119.16</v>
      </c>
      <c r="I456" t="s">
        <v>15</v>
      </c>
      <c r="J456">
        <v>906</v>
      </c>
      <c r="K456">
        <v>6</v>
      </c>
      <c r="L456" t="str">
        <f>IF(logistics_data[[#This Row],[Delivery_Date]]="","In Transit",
 IF(logistics_data[[#This Row],[Status]]="Lost","Lost",
 IF(logistics_data[[#This Row],[Status]]="Returned","Returned",
 IF(logistics_data[[#This Row],[Status]]="Delayed","Delayed",
 "Delivered"))))</f>
        <v>Delivered</v>
      </c>
      <c r="M456" s="2">
        <f>logistics_data[[#This Row],[Cost]]/logistics_data[[#This Row],[Distance_miles]]</f>
        <v>0.13152317880794701</v>
      </c>
      <c r="N456" t="str">
        <f>IF(logistics_data[[#This Row],[Orginal staus of shipment]]&lt;&gt;"Delivered","not applicabel", IF(logistics_data[[#This Row],[Transit_Days]]&gt;=5,"slow","fast"))</f>
        <v>slow</v>
      </c>
    </row>
    <row r="457" spans="1:14" x14ac:dyDescent="0.3">
      <c r="A457" t="s">
        <v>503</v>
      </c>
      <c r="B457" t="s">
        <v>49</v>
      </c>
      <c r="C457" t="s">
        <v>21</v>
      </c>
      <c r="D457" t="s">
        <v>59</v>
      </c>
      <c r="E457" s="1">
        <v>44944</v>
      </c>
      <c r="F457" s="1">
        <v>44949</v>
      </c>
      <c r="G457">
        <v>16.3</v>
      </c>
      <c r="H457">
        <v>87.95</v>
      </c>
      <c r="I457" t="s">
        <v>15</v>
      </c>
      <c r="J457">
        <v>642</v>
      </c>
      <c r="K457">
        <v>5</v>
      </c>
      <c r="L457" t="str">
        <f>IF(logistics_data[[#This Row],[Delivery_Date]]="","In Transit",
 IF(logistics_data[[#This Row],[Status]]="Lost","Lost",
 IF(logistics_data[[#This Row],[Status]]="Returned","Returned",
 IF(logistics_data[[#This Row],[Status]]="Delayed","Delayed",
 "Delivered"))))</f>
        <v>Delivered</v>
      </c>
      <c r="M457" s="2">
        <f>logistics_data[[#This Row],[Cost]]/logistics_data[[#This Row],[Distance_miles]]</f>
        <v>0.13699376947040498</v>
      </c>
      <c r="N457" t="str">
        <f>IF(logistics_data[[#This Row],[Orginal staus of shipment]]&lt;&gt;"Delivered","not applicabel", IF(logistics_data[[#This Row],[Transit_Days]]&gt;=5,"slow","fast"))</f>
        <v>slow</v>
      </c>
    </row>
    <row r="458" spans="1:14" x14ac:dyDescent="0.3">
      <c r="A458" t="s">
        <v>504</v>
      </c>
      <c r="B458" t="s">
        <v>35</v>
      </c>
      <c r="C458" t="s">
        <v>21</v>
      </c>
      <c r="D458" t="s">
        <v>59</v>
      </c>
      <c r="E458" s="1">
        <v>45233</v>
      </c>
      <c r="F458" s="1">
        <v>45238</v>
      </c>
      <c r="G458">
        <v>10.9</v>
      </c>
      <c r="H458">
        <v>281.08</v>
      </c>
      <c r="I458" t="s">
        <v>15</v>
      </c>
      <c r="J458">
        <v>1954</v>
      </c>
      <c r="K458">
        <v>5</v>
      </c>
      <c r="L458" t="str">
        <f>IF(logistics_data[[#This Row],[Delivery_Date]]="","In Transit",
 IF(logistics_data[[#This Row],[Status]]="Lost","Lost",
 IF(logistics_data[[#This Row],[Status]]="Returned","Returned",
 IF(logistics_data[[#This Row],[Status]]="Delayed","Delayed",
 "Delivered"))))</f>
        <v>Delivered</v>
      </c>
      <c r="M458" s="2">
        <f>logistics_data[[#This Row],[Cost]]/logistics_data[[#This Row],[Distance_miles]]</f>
        <v>0.14384851586489253</v>
      </c>
      <c r="N458" t="str">
        <f>IF(logistics_data[[#This Row],[Orginal staus of shipment]]&lt;&gt;"Delivered","not applicabel", IF(logistics_data[[#This Row],[Transit_Days]]&gt;=5,"slow","fast"))</f>
        <v>slow</v>
      </c>
    </row>
    <row r="459" spans="1:14" x14ac:dyDescent="0.3">
      <c r="A459" t="s">
        <v>505</v>
      </c>
      <c r="B459" t="s">
        <v>12</v>
      </c>
      <c r="C459" t="s">
        <v>46</v>
      </c>
      <c r="D459" t="s">
        <v>32</v>
      </c>
      <c r="E459" s="1">
        <v>45000</v>
      </c>
      <c r="F459" s="1">
        <v>45006</v>
      </c>
      <c r="G459">
        <v>6</v>
      </c>
      <c r="H459">
        <v>311.67</v>
      </c>
      <c r="I459" t="s">
        <v>15</v>
      </c>
      <c r="J459">
        <v>2192</v>
      </c>
      <c r="K459">
        <v>6</v>
      </c>
      <c r="L459" t="str">
        <f>IF(logistics_data[[#This Row],[Delivery_Date]]="","In Transit",
 IF(logistics_data[[#This Row],[Status]]="Lost","Lost",
 IF(logistics_data[[#This Row],[Status]]="Returned","Returned",
 IF(logistics_data[[#This Row],[Status]]="Delayed","Delayed",
 "Delivered"))))</f>
        <v>Delivered</v>
      </c>
      <c r="M459" s="2">
        <f>logistics_data[[#This Row],[Cost]]/logistics_data[[#This Row],[Distance_miles]]</f>
        <v>0.14218521897810218</v>
      </c>
      <c r="N459" t="str">
        <f>IF(logistics_data[[#This Row],[Orginal staus of shipment]]&lt;&gt;"Delivered","not applicabel", IF(logistics_data[[#This Row],[Transit_Days]]&gt;=5,"slow","fast"))</f>
        <v>slow</v>
      </c>
    </row>
    <row r="460" spans="1:14" x14ac:dyDescent="0.3">
      <c r="A460" t="s">
        <v>506</v>
      </c>
      <c r="B460" t="s">
        <v>27</v>
      </c>
      <c r="C460" t="s">
        <v>81</v>
      </c>
      <c r="D460" t="s">
        <v>14</v>
      </c>
      <c r="E460" s="1">
        <v>45184</v>
      </c>
      <c r="F460" s="1">
        <v>45187</v>
      </c>
      <c r="G460">
        <v>33.6</v>
      </c>
      <c r="H460">
        <v>195.61</v>
      </c>
      <c r="I460" t="s">
        <v>15</v>
      </c>
      <c r="J460">
        <v>1113</v>
      </c>
      <c r="K460">
        <v>3</v>
      </c>
      <c r="L460" t="str">
        <f>IF(logistics_data[[#This Row],[Delivery_Date]]="","In Transit",
 IF(logistics_data[[#This Row],[Status]]="Lost","Lost",
 IF(logistics_data[[#This Row],[Status]]="Returned","Returned",
 IF(logistics_data[[#This Row],[Status]]="Delayed","Delayed",
 "Delivered"))))</f>
        <v>Delivered</v>
      </c>
      <c r="M460" s="2">
        <f>logistics_data[[#This Row],[Cost]]/logistics_data[[#This Row],[Distance_miles]]</f>
        <v>0.17575022461814915</v>
      </c>
      <c r="N460" t="str">
        <f>IF(logistics_data[[#This Row],[Orginal staus of shipment]]&lt;&gt;"Delivered","not applicabel", IF(logistics_data[[#This Row],[Transit_Days]]&gt;=5,"slow","fast"))</f>
        <v>fast</v>
      </c>
    </row>
    <row r="461" spans="1:14" x14ac:dyDescent="0.3">
      <c r="A461" t="s">
        <v>507</v>
      </c>
      <c r="B461" t="s">
        <v>27</v>
      </c>
      <c r="C461" t="s">
        <v>40</v>
      </c>
      <c r="D461" t="s">
        <v>18</v>
      </c>
      <c r="E461" s="1">
        <v>44974</v>
      </c>
      <c r="F461" s="1">
        <v>44982</v>
      </c>
      <c r="G461">
        <v>11.8</v>
      </c>
      <c r="H461">
        <v>283.33999999999997</v>
      </c>
      <c r="I461" t="s">
        <v>15</v>
      </c>
      <c r="J461">
        <v>1837</v>
      </c>
      <c r="K461">
        <v>8</v>
      </c>
      <c r="L461" t="str">
        <f>IF(logistics_data[[#This Row],[Delivery_Date]]="","In Transit",
 IF(logistics_data[[#This Row],[Status]]="Lost","Lost",
 IF(logistics_data[[#This Row],[Status]]="Returned","Returned",
 IF(logistics_data[[#This Row],[Status]]="Delayed","Delayed",
 "Delivered"))))</f>
        <v>Delivered</v>
      </c>
      <c r="M461" s="2">
        <f>logistics_data[[#This Row],[Cost]]/logistics_data[[#This Row],[Distance_miles]]</f>
        <v>0.15424060968971148</v>
      </c>
      <c r="N461" t="str">
        <f>IF(logistics_data[[#This Row],[Orginal staus of shipment]]&lt;&gt;"Delivered","not applicabel", IF(logistics_data[[#This Row],[Transit_Days]]&gt;=5,"slow","fast"))</f>
        <v>slow</v>
      </c>
    </row>
    <row r="462" spans="1:14" x14ac:dyDescent="0.3">
      <c r="A462" t="s">
        <v>508</v>
      </c>
      <c r="B462" t="s">
        <v>27</v>
      </c>
      <c r="C462" t="s">
        <v>31</v>
      </c>
      <c r="D462" t="s">
        <v>59</v>
      </c>
      <c r="E462" s="1">
        <v>45187</v>
      </c>
      <c r="F462" s="1">
        <v>45188</v>
      </c>
      <c r="G462">
        <v>68.900000000000006</v>
      </c>
      <c r="I462" t="s">
        <v>15</v>
      </c>
      <c r="J462">
        <v>447</v>
      </c>
      <c r="K462">
        <v>1</v>
      </c>
      <c r="L462" t="str">
        <f>IF(logistics_data[[#This Row],[Delivery_Date]]="","In Transit",
 IF(logistics_data[[#This Row],[Status]]="Lost","Lost",
 IF(logistics_data[[#This Row],[Status]]="Returned","Returned",
 IF(logistics_data[[#This Row],[Status]]="Delayed","Delayed",
 "Delivered"))))</f>
        <v>Delivered</v>
      </c>
      <c r="M462" s="2">
        <f>logistics_data[[#This Row],[Cost]]/logistics_data[[#This Row],[Distance_miles]]</f>
        <v>0</v>
      </c>
      <c r="N462" t="str">
        <f>IF(logistics_data[[#This Row],[Orginal staus of shipment]]&lt;&gt;"Delivered","not applicabel", IF(logistics_data[[#This Row],[Transit_Days]]&gt;=5,"slow","fast"))</f>
        <v>fast</v>
      </c>
    </row>
    <row r="463" spans="1:14" x14ac:dyDescent="0.3">
      <c r="A463" t="s">
        <v>509</v>
      </c>
      <c r="B463" t="s">
        <v>20</v>
      </c>
      <c r="C463" t="s">
        <v>57</v>
      </c>
      <c r="D463" t="s">
        <v>32</v>
      </c>
      <c r="E463" s="1">
        <v>45154</v>
      </c>
      <c r="F463" s="1">
        <v>45155</v>
      </c>
      <c r="G463">
        <v>21.4</v>
      </c>
      <c r="H463">
        <v>49.49</v>
      </c>
      <c r="I463" t="s">
        <v>15</v>
      </c>
      <c r="J463">
        <v>162</v>
      </c>
      <c r="K463">
        <v>1</v>
      </c>
      <c r="L463" t="str">
        <f>IF(logistics_data[[#This Row],[Delivery_Date]]="","In Transit",
 IF(logistics_data[[#This Row],[Status]]="Lost","Lost",
 IF(logistics_data[[#This Row],[Status]]="Returned","Returned",
 IF(logistics_data[[#This Row],[Status]]="Delayed","Delayed",
 "Delivered"))))</f>
        <v>Delivered</v>
      </c>
      <c r="M463" s="2">
        <f>logistics_data[[#This Row],[Cost]]/logistics_data[[#This Row],[Distance_miles]]</f>
        <v>0.30549382716049384</v>
      </c>
      <c r="N463" t="str">
        <f>IF(logistics_data[[#This Row],[Orginal staus of shipment]]&lt;&gt;"Delivered","not applicabel", IF(logistics_data[[#This Row],[Transit_Days]]&gt;=5,"slow","fast"))</f>
        <v>fast</v>
      </c>
    </row>
    <row r="464" spans="1:14" x14ac:dyDescent="0.3">
      <c r="A464" t="s">
        <v>510</v>
      </c>
      <c r="B464" t="s">
        <v>49</v>
      </c>
      <c r="C464" t="s">
        <v>57</v>
      </c>
      <c r="D464" t="s">
        <v>59</v>
      </c>
      <c r="E464" s="1">
        <v>44984</v>
      </c>
      <c r="F464" s="1">
        <v>44990</v>
      </c>
      <c r="G464">
        <v>31.3</v>
      </c>
      <c r="H464">
        <v>308.27999999999997</v>
      </c>
      <c r="I464" t="s">
        <v>15</v>
      </c>
      <c r="J464">
        <v>2454</v>
      </c>
      <c r="K464">
        <v>6</v>
      </c>
      <c r="L464" t="str">
        <f>IF(logistics_data[[#This Row],[Delivery_Date]]="","In Transit",
 IF(logistics_data[[#This Row],[Status]]="Lost","Lost",
 IF(logistics_data[[#This Row],[Status]]="Returned","Returned",
 IF(logistics_data[[#This Row],[Status]]="Delayed","Delayed",
 "Delivered"))))</f>
        <v>Delivered</v>
      </c>
      <c r="M464" s="2">
        <f>logistics_data[[#This Row],[Cost]]/logistics_data[[#This Row],[Distance_miles]]</f>
        <v>0.12562347188264059</v>
      </c>
      <c r="N464" t="str">
        <f>IF(logistics_data[[#This Row],[Orginal staus of shipment]]&lt;&gt;"Delivered","not applicabel", IF(logistics_data[[#This Row],[Transit_Days]]&gt;=5,"slow","fast"))</f>
        <v>slow</v>
      </c>
    </row>
    <row r="465" spans="1:14" x14ac:dyDescent="0.3">
      <c r="A465" t="s">
        <v>511</v>
      </c>
      <c r="B465" t="s">
        <v>39</v>
      </c>
      <c r="C465" t="s">
        <v>28</v>
      </c>
      <c r="D465" t="s">
        <v>42</v>
      </c>
      <c r="E465" s="1">
        <v>45224</v>
      </c>
      <c r="F465" s="1">
        <v>45226</v>
      </c>
      <c r="G465">
        <v>38.9</v>
      </c>
      <c r="H465">
        <v>114.76</v>
      </c>
      <c r="I465" t="s">
        <v>15</v>
      </c>
      <c r="J465">
        <v>603</v>
      </c>
      <c r="K465">
        <v>2</v>
      </c>
      <c r="L465" t="str">
        <f>IF(logistics_data[[#This Row],[Delivery_Date]]="","In Transit",
 IF(logistics_data[[#This Row],[Status]]="Lost","Lost",
 IF(logistics_data[[#This Row],[Status]]="Returned","Returned",
 IF(logistics_data[[#This Row],[Status]]="Delayed","Delayed",
 "Delivered"))))</f>
        <v>Delivered</v>
      </c>
      <c r="M465" s="2">
        <f>logistics_data[[#This Row],[Cost]]/logistics_data[[#This Row],[Distance_miles]]</f>
        <v>0.1903150912106136</v>
      </c>
      <c r="N465" t="str">
        <f>IF(logistics_data[[#This Row],[Orginal staus of shipment]]&lt;&gt;"Delivered","not applicabel", IF(logistics_data[[#This Row],[Transit_Days]]&gt;=5,"slow","fast"))</f>
        <v>fast</v>
      </c>
    </row>
    <row r="466" spans="1:14" x14ac:dyDescent="0.3">
      <c r="A466" t="s">
        <v>512</v>
      </c>
      <c r="B466" t="s">
        <v>23</v>
      </c>
      <c r="C466" t="s">
        <v>44</v>
      </c>
      <c r="D466" t="s">
        <v>42</v>
      </c>
      <c r="E466" s="1">
        <v>45269</v>
      </c>
      <c r="F466" s="1">
        <v>45273</v>
      </c>
      <c r="G466">
        <v>29</v>
      </c>
      <c r="H466">
        <v>228.35</v>
      </c>
      <c r="I466" t="s">
        <v>15</v>
      </c>
      <c r="J466">
        <v>1340</v>
      </c>
      <c r="K466">
        <v>4</v>
      </c>
      <c r="L466" t="str">
        <f>IF(logistics_data[[#This Row],[Delivery_Date]]="","In Transit",
 IF(logistics_data[[#This Row],[Status]]="Lost","Lost",
 IF(logistics_data[[#This Row],[Status]]="Returned","Returned",
 IF(logistics_data[[#This Row],[Status]]="Delayed","Delayed",
 "Delivered"))))</f>
        <v>Delivered</v>
      </c>
      <c r="M466" s="2">
        <f>logistics_data[[#This Row],[Cost]]/logistics_data[[#This Row],[Distance_miles]]</f>
        <v>0.17041044776119402</v>
      </c>
      <c r="N466" t="str">
        <f>IF(logistics_data[[#This Row],[Orginal staus of shipment]]&lt;&gt;"Delivered","not applicabel", IF(logistics_data[[#This Row],[Transit_Days]]&gt;=5,"slow","fast"))</f>
        <v>fast</v>
      </c>
    </row>
    <row r="467" spans="1:14" x14ac:dyDescent="0.3">
      <c r="A467" t="s">
        <v>513</v>
      </c>
      <c r="B467" t="s">
        <v>27</v>
      </c>
      <c r="C467" t="s">
        <v>52</v>
      </c>
      <c r="D467" t="s">
        <v>59</v>
      </c>
      <c r="E467" s="1">
        <v>45123</v>
      </c>
      <c r="F467" s="1">
        <v>45127</v>
      </c>
      <c r="G467">
        <v>39.6</v>
      </c>
      <c r="H467">
        <v>270.85000000000002</v>
      </c>
      <c r="I467" t="s">
        <v>15</v>
      </c>
      <c r="J467">
        <v>1963</v>
      </c>
      <c r="K467">
        <v>4</v>
      </c>
      <c r="L467" t="str">
        <f>IF(logistics_data[[#This Row],[Delivery_Date]]="","In Transit",
 IF(logistics_data[[#This Row],[Status]]="Lost","Lost",
 IF(logistics_data[[#This Row],[Status]]="Returned","Returned",
 IF(logistics_data[[#This Row],[Status]]="Delayed","Delayed",
 "Delivered"))))</f>
        <v>Delivered</v>
      </c>
      <c r="M467" s="2">
        <f>logistics_data[[#This Row],[Cost]]/logistics_data[[#This Row],[Distance_miles]]</f>
        <v>0.13797758532857871</v>
      </c>
      <c r="N467" t="str">
        <f>IF(logistics_data[[#This Row],[Orginal staus of shipment]]&lt;&gt;"Delivered","not applicabel", IF(logistics_data[[#This Row],[Transit_Days]]&gt;=5,"slow","fast"))</f>
        <v>fast</v>
      </c>
    </row>
    <row r="468" spans="1:14" x14ac:dyDescent="0.3">
      <c r="A468" t="s">
        <v>514</v>
      </c>
      <c r="B468" t="s">
        <v>20</v>
      </c>
      <c r="C468" t="s">
        <v>31</v>
      </c>
      <c r="D468" t="s">
        <v>42</v>
      </c>
      <c r="E468" s="1">
        <v>45049</v>
      </c>
      <c r="F468" s="1">
        <v>45054</v>
      </c>
      <c r="G468">
        <v>11.8</v>
      </c>
      <c r="H468">
        <v>270.13</v>
      </c>
      <c r="I468" t="s">
        <v>15</v>
      </c>
      <c r="J468">
        <v>2254</v>
      </c>
      <c r="K468">
        <v>5</v>
      </c>
      <c r="L468" t="str">
        <f>IF(logistics_data[[#This Row],[Delivery_Date]]="","In Transit",
 IF(logistics_data[[#This Row],[Status]]="Lost","Lost",
 IF(logistics_data[[#This Row],[Status]]="Returned","Returned",
 IF(logistics_data[[#This Row],[Status]]="Delayed","Delayed",
 "Delivered"))))</f>
        <v>Delivered</v>
      </c>
      <c r="M468" s="2">
        <f>logistics_data[[#This Row],[Cost]]/logistics_data[[#This Row],[Distance_miles]]</f>
        <v>0.1198447204968944</v>
      </c>
      <c r="N468" t="str">
        <f>IF(logistics_data[[#This Row],[Orginal staus of shipment]]&lt;&gt;"Delivered","not applicabel", IF(logistics_data[[#This Row],[Transit_Days]]&gt;=5,"slow","fast"))</f>
        <v>slow</v>
      </c>
    </row>
    <row r="469" spans="1:14" x14ac:dyDescent="0.3">
      <c r="A469" t="s">
        <v>515</v>
      </c>
      <c r="B469" t="s">
        <v>27</v>
      </c>
      <c r="C469" t="s">
        <v>28</v>
      </c>
      <c r="D469" t="s">
        <v>59</v>
      </c>
      <c r="E469" s="1">
        <v>45249</v>
      </c>
      <c r="F469" s="1">
        <v>45252</v>
      </c>
      <c r="G469">
        <v>15.7</v>
      </c>
      <c r="H469">
        <v>121.5</v>
      </c>
      <c r="I469" t="s">
        <v>62</v>
      </c>
      <c r="J469">
        <v>664</v>
      </c>
      <c r="K469">
        <v>3</v>
      </c>
      <c r="L469" t="str">
        <f>IF(logistics_data[[#This Row],[Delivery_Date]]="","In Transit",
 IF(logistics_data[[#This Row],[Status]]="Lost","Lost",
 IF(logistics_data[[#This Row],[Status]]="Returned","Returned",
 IF(logistics_data[[#This Row],[Status]]="Delayed","Delayed",
 "Delivered"))))</f>
        <v>Delivered</v>
      </c>
      <c r="M469" s="2">
        <f>logistics_data[[#This Row],[Cost]]/logistics_data[[#This Row],[Distance_miles]]</f>
        <v>0.18298192771084337</v>
      </c>
      <c r="N469" t="str">
        <f>IF(logistics_data[[#This Row],[Orginal staus of shipment]]&lt;&gt;"Delivered","not applicabel", IF(logistics_data[[#This Row],[Transit_Days]]&gt;=5,"slow","fast"))</f>
        <v>fast</v>
      </c>
    </row>
    <row r="470" spans="1:14" x14ac:dyDescent="0.3">
      <c r="A470" t="s">
        <v>516</v>
      </c>
      <c r="B470" t="s">
        <v>20</v>
      </c>
      <c r="C470" t="s">
        <v>28</v>
      </c>
      <c r="D470" t="s">
        <v>59</v>
      </c>
      <c r="E470" s="1">
        <v>44976</v>
      </c>
      <c r="F470" s="1">
        <v>44980</v>
      </c>
      <c r="G470">
        <v>45.3</v>
      </c>
      <c r="H470">
        <v>195.45</v>
      </c>
      <c r="I470" t="s">
        <v>15</v>
      </c>
      <c r="J470">
        <v>1435</v>
      </c>
      <c r="K470">
        <v>4</v>
      </c>
      <c r="L470" t="str">
        <f>IF(logistics_data[[#This Row],[Delivery_Date]]="","In Transit",
 IF(logistics_data[[#This Row],[Status]]="Lost","Lost",
 IF(logistics_data[[#This Row],[Status]]="Returned","Returned",
 IF(logistics_data[[#This Row],[Status]]="Delayed","Delayed",
 "Delivered"))))</f>
        <v>Delivered</v>
      </c>
      <c r="M470" s="2">
        <f>logistics_data[[#This Row],[Cost]]/logistics_data[[#This Row],[Distance_miles]]</f>
        <v>0.13620209059233448</v>
      </c>
      <c r="N470" t="str">
        <f>IF(logistics_data[[#This Row],[Orginal staus of shipment]]&lt;&gt;"Delivered","not applicabel", IF(logistics_data[[#This Row],[Transit_Days]]&gt;=5,"slow","fast"))</f>
        <v>fast</v>
      </c>
    </row>
    <row r="471" spans="1:14" x14ac:dyDescent="0.3">
      <c r="A471" t="s">
        <v>517</v>
      </c>
      <c r="B471" t="s">
        <v>20</v>
      </c>
      <c r="C471" t="s">
        <v>28</v>
      </c>
      <c r="D471" t="s">
        <v>18</v>
      </c>
      <c r="E471" s="1">
        <v>45166</v>
      </c>
      <c r="F471" s="1">
        <v>45172</v>
      </c>
      <c r="G471">
        <v>19.7</v>
      </c>
      <c r="H471">
        <v>244.45</v>
      </c>
      <c r="I471" t="s">
        <v>15</v>
      </c>
      <c r="J471">
        <v>1435</v>
      </c>
      <c r="K471">
        <v>6</v>
      </c>
      <c r="L471" t="str">
        <f>IF(logistics_data[[#This Row],[Delivery_Date]]="","In Transit",
 IF(logistics_data[[#This Row],[Status]]="Lost","Lost",
 IF(logistics_data[[#This Row],[Status]]="Returned","Returned",
 IF(logistics_data[[#This Row],[Status]]="Delayed","Delayed",
 "Delivered"))))</f>
        <v>Delivered</v>
      </c>
      <c r="M471" s="2">
        <f>logistics_data[[#This Row],[Cost]]/logistics_data[[#This Row],[Distance_miles]]</f>
        <v>0.17034843205574912</v>
      </c>
      <c r="N471" t="str">
        <f>IF(logistics_data[[#This Row],[Orginal staus of shipment]]&lt;&gt;"Delivered","not applicabel", IF(logistics_data[[#This Row],[Transit_Days]]&gt;=5,"slow","fast"))</f>
        <v>slow</v>
      </c>
    </row>
    <row r="472" spans="1:14" x14ac:dyDescent="0.3">
      <c r="A472" t="s">
        <v>518</v>
      </c>
      <c r="B472" t="s">
        <v>35</v>
      </c>
      <c r="C472" t="s">
        <v>21</v>
      </c>
      <c r="D472" t="s">
        <v>14</v>
      </c>
      <c r="E472" s="1">
        <v>45037</v>
      </c>
      <c r="G472">
        <v>8.6999999999999993</v>
      </c>
      <c r="H472">
        <v>35.590000000000003</v>
      </c>
      <c r="I472" t="s">
        <v>47</v>
      </c>
      <c r="J472">
        <v>195</v>
      </c>
      <c r="K472">
        <v>1</v>
      </c>
      <c r="L472" t="str">
        <f>IF(logistics_data[[#This Row],[Delivery_Date]]="","In Transit",
 IF(logistics_data[[#This Row],[Status]]="Lost","Lost",
 IF(logistics_data[[#This Row],[Status]]="Returned","Returned",
 IF(logistics_data[[#This Row],[Status]]="Delayed","Delayed",
 "Delivered"))))</f>
        <v>In Transit</v>
      </c>
      <c r="M472" s="2">
        <f>logistics_data[[#This Row],[Cost]]/logistics_data[[#This Row],[Distance_miles]]</f>
        <v>0.18251282051282053</v>
      </c>
      <c r="N472" t="str">
        <f>IF(logistics_data[[#This Row],[Orginal staus of shipment]]&lt;&gt;"Delivered","not applicabel", IF(logistics_data[[#This Row],[Transit_Days]]&gt;=5,"slow","fast"))</f>
        <v>not applicabel</v>
      </c>
    </row>
    <row r="473" spans="1:14" x14ac:dyDescent="0.3">
      <c r="A473" t="s">
        <v>519</v>
      </c>
      <c r="B473" t="s">
        <v>12</v>
      </c>
      <c r="C473" t="s">
        <v>70</v>
      </c>
      <c r="D473" t="s">
        <v>42</v>
      </c>
      <c r="E473" s="1">
        <v>45215</v>
      </c>
      <c r="F473" s="1">
        <v>45221</v>
      </c>
      <c r="G473">
        <v>10.5</v>
      </c>
      <c r="H473">
        <v>133.36000000000001</v>
      </c>
      <c r="I473" t="s">
        <v>15</v>
      </c>
      <c r="J473">
        <v>1072</v>
      </c>
      <c r="K473">
        <v>6</v>
      </c>
      <c r="L473" t="str">
        <f>IF(logistics_data[[#This Row],[Delivery_Date]]="","In Transit",
 IF(logistics_data[[#This Row],[Status]]="Lost","Lost",
 IF(logistics_data[[#This Row],[Status]]="Returned","Returned",
 IF(logistics_data[[#This Row],[Status]]="Delayed","Delayed",
 "Delivered"))))</f>
        <v>Delivered</v>
      </c>
      <c r="M473" s="2">
        <f>logistics_data[[#This Row],[Cost]]/logistics_data[[#This Row],[Distance_miles]]</f>
        <v>0.12440298507462688</v>
      </c>
      <c r="N473" t="str">
        <f>IF(logistics_data[[#This Row],[Orginal staus of shipment]]&lt;&gt;"Delivered","not applicabel", IF(logistics_data[[#This Row],[Transit_Days]]&gt;=5,"slow","fast"))</f>
        <v>slow</v>
      </c>
    </row>
    <row r="474" spans="1:14" x14ac:dyDescent="0.3">
      <c r="A474" t="s">
        <v>520</v>
      </c>
      <c r="B474" t="s">
        <v>39</v>
      </c>
      <c r="C474" t="s">
        <v>81</v>
      </c>
      <c r="D474" t="s">
        <v>18</v>
      </c>
      <c r="E474" s="1">
        <v>45277</v>
      </c>
      <c r="F474" s="1">
        <v>45280</v>
      </c>
      <c r="G474">
        <v>52.6</v>
      </c>
      <c r="H474">
        <v>258.14</v>
      </c>
      <c r="I474" t="s">
        <v>15</v>
      </c>
      <c r="J474">
        <v>1030</v>
      </c>
      <c r="K474">
        <v>3</v>
      </c>
      <c r="L474" t="str">
        <f>IF(logistics_data[[#This Row],[Delivery_Date]]="","In Transit",
 IF(logistics_data[[#This Row],[Status]]="Lost","Lost",
 IF(logistics_data[[#This Row],[Status]]="Returned","Returned",
 IF(logistics_data[[#This Row],[Status]]="Delayed","Delayed",
 "Delivered"))))</f>
        <v>Delivered</v>
      </c>
      <c r="M474" s="2">
        <f>logistics_data[[#This Row],[Cost]]/logistics_data[[#This Row],[Distance_miles]]</f>
        <v>0.25062135922330098</v>
      </c>
      <c r="N474" t="str">
        <f>IF(logistics_data[[#This Row],[Orginal staus of shipment]]&lt;&gt;"Delivered","not applicabel", IF(logistics_data[[#This Row],[Transit_Days]]&gt;=5,"slow","fast"))</f>
        <v>fast</v>
      </c>
    </row>
    <row r="475" spans="1:14" x14ac:dyDescent="0.3">
      <c r="A475" t="s">
        <v>521</v>
      </c>
      <c r="B475" t="s">
        <v>12</v>
      </c>
      <c r="C475" t="s">
        <v>17</v>
      </c>
      <c r="D475" t="s">
        <v>32</v>
      </c>
      <c r="E475" s="1">
        <v>45081</v>
      </c>
      <c r="F475" s="1">
        <v>45086</v>
      </c>
      <c r="G475">
        <v>27.7</v>
      </c>
      <c r="H475">
        <v>237.6</v>
      </c>
      <c r="I475" t="s">
        <v>15</v>
      </c>
      <c r="J475">
        <v>1363</v>
      </c>
      <c r="K475">
        <v>5</v>
      </c>
      <c r="L475" t="str">
        <f>IF(logistics_data[[#This Row],[Delivery_Date]]="","In Transit",
 IF(logistics_data[[#This Row],[Status]]="Lost","Lost",
 IF(logistics_data[[#This Row],[Status]]="Returned","Returned",
 IF(logistics_data[[#This Row],[Status]]="Delayed","Delayed",
 "Delivered"))))</f>
        <v>Delivered</v>
      </c>
      <c r="M475" s="2">
        <f>logistics_data[[#This Row],[Cost]]/logistics_data[[#This Row],[Distance_miles]]</f>
        <v>0.17432134996331622</v>
      </c>
      <c r="N475" t="str">
        <f>IF(logistics_data[[#This Row],[Orginal staus of shipment]]&lt;&gt;"Delivered","not applicabel", IF(logistics_data[[#This Row],[Transit_Days]]&gt;=5,"slow","fast"))</f>
        <v>slow</v>
      </c>
    </row>
    <row r="476" spans="1:14" x14ac:dyDescent="0.3">
      <c r="A476" t="s">
        <v>522</v>
      </c>
      <c r="B476" t="s">
        <v>51</v>
      </c>
      <c r="C476" t="s">
        <v>57</v>
      </c>
      <c r="D476" t="s">
        <v>59</v>
      </c>
      <c r="E476" s="1">
        <v>45041</v>
      </c>
      <c r="F476" s="1">
        <v>45043</v>
      </c>
      <c r="G476">
        <v>29.6</v>
      </c>
      <c r="H476">
        <v>84.55</v>
      </c>
      <c r="I476" t="s">
        <v>60</v>
      </c>
      <c r="J476">
        <v>515</v>
      </c>
      <c r="K476">
        <v>2</v>
      </c>
      <c r="L476" t="str">
        <f>IF(logistics_data[[#This Row],[Delivery_Date]]="","In Transit",
 IF(logistics_data[[#This Row],[Status]]="Lost","Lost",
 IF(logistics_data[[#This Row],[Status]]="Returned","Returned",
 IF(logistics_data[[#This Row],[Status]]="Delayed","Delayed",
 "Delivered"))))</f>
        <v>Lost</v>
      </c>
      <c r="M476" s="2">
        <f>logistics_data[[#This Row],[Cost]]/logistics_data[[#This Row],[Distance_miles]]</f>
        <v>0.1641747572815534</v>
      </c>
      <c r="N476" t="str">
        <f>IF(logistics_data[[#This Row],[Orginal staus of shipment]]&lt;&gt;"Delivered","not applicabel", IF(logistics_data[[#This Row],[Transit_Days]]&gt;=5,"slow","fast"))</f>
        <v>not applicabel</v>
      </c>
    </row>
    <row r="477" spans="1:14" x14ac:dyDescent="0.3">
      <c r="A477" t="s">
        <v>523</v>
      </c>
      <c r="B477" t="s">
        <v>49</v>
      </c>
      <c r="C477" t="s">
        <v>40</v>
      </c>
      <c r="D477" t="s">
        <v>25</v>
      </c>
      <c r="E477" s="1">
        <v>45172</v>
      </c>
      <c r="F477" s="1">
        <v>45175</v>
      </c>
      <c r="G477">
        <v>10.8</v>
      </c>
      <c r="H477">
        <v>48.75</v>
      </c>
      <c r="I477" t="s">
        <v>15</v>
      </c>
      <c r="J477">
        <v>262</v>
      </c>
      <c r="K477">
        <v>3</v>
      </c>
      <c r="L477" t="str">
        <f>IF(logistics_data[[#This Row],[Delivery_Date]]="","In Transit",
 IF(logistics_data[[#This Row],[Status]]="Lost","Lost",
 IF(logistics_data[[#This Row],[Status]]="Returned","Returned",
 IF(logistics_data[[#This Row],[Status]]="Delayed","Delayed",
 "Delivered"))))</f>
        <v>Delivered</v>
      </c>
      <c r="M477" s="2">
        <f>logistics_data[[#This Row],[Cost]]/logistics_data[[#This Row],[Distance_miles]]</f>
        <v>0.18606870229007633</v>
      </c>
      <c r="N477" t="str">
        <f>IF(logistics_data[[#This Row],[Orginal staus of shipment]]&lt;&gt;"Delivered","not applicabel", IF(logistics_data[[#This Row],[Transit_Days]]&gt;=5,"slow","fast"))</f>
        <v>fast</v>
      </c>
    </row>
    <row r="478" spans="1:14" x14ac:dyDescent="0.3">
      <c r="A478" t="s">
        <v>524</v>
      </c>
      <c r="B478" t="s">
        <v>49</v>
      </c>
      <c r="C478" t="s">
        <v>31</v>
      </c>
      <c r="D478" t="s">
        <v>37</v>
      </c>
      <c r="E478" s="1">
        <v>44976</v>
      </c>
      <c r="F478" s="1">
        <v>44980</v>
      </c>
      <c r="G478">
        <v>10.6</v>
      </c>
      <c r="H478">
        <v>217.45</v>
      </c>
      <c r="I478" t="s">
        <v>15</v>
      </c>
      <c r="J478">
        <v>1866</v>
      </c>
      <c r="K478">
        <v>4</v>
      </c>
      <c r="L478" t="str">
        <f>IF(logistics_data[[#This Row],[Delivery_Date]]="","In Transit",
 IF(logistics_data[[#This Row],[Status]]="Lost","Lost",
 IF(logistics_data[[#This Row],[Status]]="Returned","Returned",
 IF(logistics_data[[#This Row],[Status]]="Delayed","Delayed",
 "Delivered"))))</f>
        <v>Delivered</v>
      </c>
      <c r="M478" s="2">
        <f>logistics_data[[#This Row],[Cost]]/logistics_data[[#This Row],[Distance_miles]]</f>
        <v>0.11653269024651661</v>
      </c>
      <c r="N478" t="str">
        <f>IF(logistics_data[[#This Row],[Orginal staus of shipment]]&lt;&gt;"Delivered","not applicabel", IF(logistics_data[[#This Row],[Transit_Days]]&gt;=5,"slow","fast"))</f>
        <v>fast</v>
      </c>
    </row>
    <row r="479" spans="1:14" x14ac:dyDescent="0.3">
      <c r="A479" t="s">
        <v>525</v>
      </c>
      <c r="B479" t="s">
        <v>35</v>
      </c>
      <c r="C479" t="s">
        <v>52</v>
      </c>
      <c r="D479" t="s">
        <v>18</v>
      </c>
      <c r="E479" s="1">
        <v>45280</v>
      </c>
      <c r="F479" s="1">
        <v>45297</v>
      </c>
      <c r="G479">
        <v>17.899999999999999</v>
      </c>
      <c r="H479">
        <v>373.8</v>
      </c>
      <c r="I479" t="s">
        <v>47</v>
      </c>
      <c r="J479">
        <v>1998</v>
      </c>
      <c r="K479">
        <v>5</v>
      </c>
      <c r="L479" t="str">
        <f>IF(logistics_data[[#This Row],[Delivery_Date]]="","In Transit",
 IF(logistics_data[[#This Row],[Status]]="Lost","Lost",
 IF(logistics_data[[#This Row],[Status]]="Returned","Returned",
 IF(logistics_data[[#This Row],[Status]]="Delayed","Delayed",
 "Delivered"))))</f>
        <v>Delayed</v>
      </c>
      <c r="M479" s="2">
        <f>logistics_data[[#This Row],[Cost]]/logistics_data[[#This Row],[Distance_miles]]</f>
        <v>0.1870870870870871</v>
      </c>
      <c r="N479" t="str">
        <f>IF(logistics_data[[#This Row],[Orginal staus of shipment]]&lt;&gt;"Delivered","not applicabel", IF(logistics_data[[#This Row],[Transit_Days]]&gt;=5,"slow","fast"))</f>
        <v>not applicabel</v>
      </c>
    </row>
    <row r="480" spans="1:14" x14ac:dyDescent="0.3">
      <c r="A480" t="s">
        <v>526</v>
      </c>
      <c r="B480" t="s">
        <v>56</v>
      </c>
      <c r="C480" t="s">
        <v>44</v>
      </c>
      <c r="D480" t="s">
        <v>14</v>
      </c>
      <c r="E480" s="1">
        <v>45123</v>
      </c>
      <c r="F480" s="1">
        <v>45128</v>
      </c>
      <c r="G480">
        <v>14.8</v>
      </c>
      <c r="H480">
        <v>182.07</v>
      </c>
      <c r="I480" t="s">
        <v>15</v>
      </c>
      <c r="J480">
        <v>1304</v>
      </c>
      <c r="K480">
        <v>5</v>
      </c>
      <c r="L480" t="str">
        <f>IF(logistics_data[[#This Row],[Delivery_Date]]="","In Transit",
 IF(logistics_data[[#This Row],[Status]]="Lost","Lost",
 IF(logistics_data[[#This Row],[Status]]="Returned","Returned",
 IF(logistics_data[[#This Row],[Status]]="Delayed","Delayed",
 "Delivered"))))</f>
        <v>Delivered</v>
      </c>
      <c r="M480" s="2">
        <f>logistics_data[[#This Row],[Cost]]/logistics_data[[#This Row],[Distance_miles]]</f>
        <v>0.13962423312883435</v>
      </c>
      <c r="N480" t="str">
        <f>IF(logistics_data[[#This Row],[Orginal staus of shipment]]&lt;&gt;"Delivered","not applicabel", IF(logistics_data[[#This Row],[Transit_Days]]&gt;=5,"slow","fast"))</f>
        <v>slow</v>
      </c>
    </row>
    <row r="481" spans="1:14" x14ac:dyDescent="0.3">
      <c r="A481" t="s">
        <v>527</v>
      </c>
      <c r="B481" t="s">
        <v>49</v>
      </c>
      <c r="C481" t="s">
        <v>28</v>
      </c>
      <c r="D481" t="s">
        <v>14</v>
      </c>
      <c r="E481" s="1">
        <v>45035</v>
      </c>
      <c r="F481" s="1">
        <v>45037</v>
      </c>
      <c r="G481">
        <v>11.9</v>
      </c>
      <c r="H481">
        <v>41.55</v>
      </c>
      <c r="I481" t="s">
        <v>15</v>
      </c>
      <c r="J481">
        <v>187</v>
      </c>
      <c r="K481">
        <v>2</v>
      </c>
      <c r="L481" t="str">
        <f>IF(logistics_data[[#This Row],[Delivery_Date]]="","In Transit",
 IF(logistics_data[[#This Row],[Status]]="Lost","Lost",
 IF(logistics_data[[#This Row],[Status]]="Returned","Returned",
 IF(logistics_data[[#This Row],[Status]]="Delayed","Delayed",
 "Delivered"))))</f>
        <v>Delivered</v>
      </c>
      <c r="M481" s="2">
        <f>logistics_data[[#This Row],[Cost]]/logistics_data[[#This Row],[Distance_miles]]</f>
        <v>0.22219251336898393</v>
      </c>
      <c r="N481" t="str">
        <f>IF(logistics_data[[#This Row],[Orginal staus of shipment]]&lt;&gt;"Delivered","not applicabel", IF(logistics_data[[#This Row],[Transit_Days]]&gt;=5,"slow","fast"))</f>
        <v>fast</v>
      </c>
    </row>
    <row r="482" spans="1:14" x14ac:dyDescent="0.3">
      <c r="A482" t="s">
        <v>528</v>
      </c>
      <c r="B482" t="s">
        <v>20</v>
      </c>
      <c r="C482" t="s">
        <v>44</v>
      </c>
      <c r="D482" t="s">
        <v>59</v>
      </c>
      <c r="E482" s="1">
        <v>45016</v>
      </c>
      <c r="F482" s="1">
        <v>45021</v>
      </c>
      <c r="G482">
        <v>26.7</v>
      </c>
      <c r="H482">
        <v>209.87</v>
      </c>
      <c r="I482" t="s">
        <v>15</v>
      </c>
      <c r="J482">
        <v>1486</v>
      </c>
      <c r="K482">
        <v>5</v>
      </c>
      <c r="L482" t="str">
        <f>IF(logistics_data[[#This Row],[Delivery_Date]]="","In Transit",
 IF(logistics_data[[#This Row],[Status]]="Lost","Lost",
 IF(logistics_data[[#This Row],[Status]]="Returned","Returned",
 IF(logistics_data[[#This Row],[Status]]="Delayed","Delayed",
 "Delivered"))))</f>
        <v>Delivered</v>
      </c>
      <c r="M482" s="2">
        <f>logistics_data[[#This Row],[Cost]]/logistics_data[[#This Row],[Distance_miles]]</f>
        <v>0.14123149394347242</v>
      </c>
      <c r="N482" t="str">
        <f>IF(logistics_data[[#This Row],[Orginal staus of shipment]]&lt;&gt;"Delivered","not applicabel", IF(logistics_data[[#This Row],[Transit_Days]]&gt;=5,"slow","fast"))</f>
        <v>slow</v>
      </c>
    </row>
    <row r="483" spans="1:14" x14ac:dyDescent="0.3">
      <c r="A483" t="s">
        <v>529</v>
      </c>
      <c r="B483" t="s">
        <v>27</v>
      </c>
      <c r="C483" t="s">
        <v>31</v>
      </c>
      <c r="D483" t="s">
        <v>37</v>
      </c>
      <c r="E483" s="1">
        <v>44934</v>
      </c>
      <c r="F483" s="1">
        <v>44938</v>
      </c>
      <c r="G483">
        <v>7.7</v>
      </c>
      <c r="H483">
        <v>170.97</v>
      </c>
      <c r="I483" t="s">
        <v>15</v>
      </c>
      <c r="J483">
        <v>1468</v>
      </c>
      <c r="K483">
        <v>4</v>
      </c>
      <c r="L483" t="str">
        <f>IF(logistics_data[[#This Row],[Delivery_Date]]="","In Transit",
 IF(logistics_data[[#This Row],[Status]]="Lost","Lost",
 IF(logistics_data[[#This Row],[Status]]="Returned","Returned",
 IF(logistics_data[[#This Row],[Status]]="Delayed","Delayed",
 "Delivered"))))</f>
        <v>Delivered</v>
      </c>
      <c r="M483" s="2">
        <f>logistics_data[[#This Row],[Cost]]/logistics_data[[#This Row],[Distance_miles]]</f>
        <v>0.11646457765667576</v>
      </c>
      <c r="N483" t="str">
        <f>IF(logistics_data[[#This Row],[Orginal staus of shipment]]&lt;&gt;"Delivered","not applicabel", IF(logistics_data[[#This Row],[Transit_Days]]&gt;=5,"slow","fast"))</f>
        <v>fast</v>
      </c>
    </row>
    <row r="484" spans="1:14" x14ac:dyDescent="0.3">
      <c r="A484" t="s">
        <v>530</v>
      </c>
      <c r="B484" t="s">
        <v>35</v>
      </c>
      <c r="C484" t="s">
        <v>24</v>
      </c>
      <c r="D484" t="s">
        <v>37</v>
      </c>
      <c r="E484" s="1">
        <v>45012</v>
      </c>
      <c r="F484" s="1">
        <v>45017</v>
      </c>
      <c r="G484">
        <v>17.8</v>
      </c>
      <c r="H484">
        <v>323.01</v>
      </c>
      <c r="I484" t="s">
        <v>15</v>
      </c>
      <c r="J484">
        <v>2283</v>
      </c>
      <c r="K484">
        <v>5</v>
      </c>
      <c r="L484" t="str">
        <f>IF(logistics_data[[#This Row],[Delivery_Date]]="","In Transit",
 IF(logistics_data[[#This Row],[Status]]="Lost","Lost",
 IF(logistics_data[[#This Row],[Status]]="Returned","Returned",
 IF(logistics_data[[#This Row],[Status]]="Delayed","Delayed",
 "Delivered"))))</f>
        <v>Delivered</v>
      </c>
      <c r="M484" s="2">
        <f>logistics_data[[#This Row],[Cost]]/logistics_data[[#This Row],[Distance_miles]]</f>
        <v>0.14148488830486203</v>
      </c>
      <c r="N484" t="str">
        <f>IF(logistics_data[[#This Row],[Orginal staus of shipment]]&lt;&gt;"Delivered","not applicabel", IF(logistics_data[[#This Row],[Transit_Days]]&gt;=5,"slow","fast"))</f>
        <v>slow</v>
      </c>
    </row>
    <row r="485" spans="1:14" x14ac:dyDescent="0.3">
      <c r="A485" t="s">
        <v>531</v>
      </c>
      <c r="B485" t="s">
        <v>27</v>
      </c>
      <c r="C485" t="s">
        <v>21</v>
      </c>
      <c r="D485" t="s">
        <v>14</v>
      </c>
      <c r="E485" s="1">
        <v>44945</v>
      </c>
      <c r="F485" s="1">
        <v>44949</v>
      </c>
      <c r="G485">
        <v>57.6</v>
      </c>
      <c r="H485">
        <v>346.17</v>
      </c>
      <c r="I485" t="s">
        <v>15</v>
      </c>
      <c r="J485">
        <v>1950</v>
      </c>
      <c r="K485">
        <v>4</v>
      </c>
      <c r="L485" t="str">
        <f>IF(logistics_data[[#This Row],[Delivery_Date]]="","In Transit",
 IF(logistics_data[[#This Row],[Status]]="Lost","Lost",
 IF(logistics_data[[#This Row],[Status]]="Returned","Returned",
 IF(logistics_data[[#This Row],[Status]]="Delayed","Delayed",
 "Delivered"))))</f>
        <v>Delivered</v>
      </c>
      <c r="M485" s="2">
        <f>logistics_data[[#This Row],[Cost]]/logistics_data[[#This Row],[Distance_miles]]</f>
        <v>0.17752307692307692</v>
      </c>
      <c r="N485" t="str">
        <f>IF(logistics_data[[#This Row],[Orginal staus of shipment]]&lt;&gt;"Delivered","not applicabel", IF(logistics_data[[#This Row],[Transit_Days]]&gt;=5,"slow","fast"))</f>
        <v>fast</v>
      </c>
    </row>
    <row r="486" spans="1:14" x14ac:dyDescent="0.3">
      <c r="A486" t="s">
        <v>532</v>
      </c>
      <c r="B486" t="s">
        <v>12</v>
      </c>
      <c r="C486" t="s">
        <v>40</v>
      </c>
      <c r="D486" t="s">
        <v>42</v>
      </c>
      <c r="E486" s="1">
        <v>45162</v>
      </c>
      <c r="F486" s="1">
        <v>45171</v>
      </c>
      <c r="G486">
        <v>13.4</v>
      </c>
      <c r="H486">
        <v>31.36</v>
      </c>
      <c r="I486" t="s">
        <v>47</v>
      </c>
      <c r="J486">
        <v>119</v>
      </c>
      <c r="K486">
        <v>2</v>
      </c>
      <c r="L486" t="str">
        <f>IF(logistics_data[[#This Row],[Delivery_Date]]="","In Transit",
 IF(logistics_data[[#This Row],[Status]]="Lost","Lost",
 IF(logistics_data[[#This Row],[Status]]="Returned","Returned",
 IF(logistics_data[[#This Row],[Status]]="Delayed","Delayed",
 "Delivered"))))</f>
        <v>Delayed</v>
      </c>
      <c r="M486" s="2">
        <f>logistics_data[[#This Row],[Cost]]/logistics_data[[#This Row],[Distance_miles]]</f>
        <v>0.2635294117647059</v>
      </c>
      <c r="N486" t="str">
        <f>IF(logistics_data[[#This Row],[Orginal staus of shipment]]&lt;&gt;"Delivered","not applicabel", IF(logistics_data[[#This Row],[Transit_Days]]&gt;=5,"slow","fast"))</f>
        <v>not applicabel</v>
      </c>
    </row>
    <row r="487" spans="1:14" x14ac:dyDescent="0.3">
      <c r="A487" t="s">
        <v>533</v>
      </c>
      <c r="B487" t="s">
        <v>12</v>
      </c>
      <c r="C487" t="s">
        <v>44</v>
      </c>
      <c r="D487" t="s">
        <v>42</v>
      </c>
      <c r="E487" s="1">
        <v>44992</v>
      </c>
      <c r="F487" s="1">
        <v>44995</v>
      </c>
      <c r="G487">
        <v>11.5</v>
      </c>
      <c r="H487">
        <v>143.87</v>
      </c>
      <c r="I487" t="s">
        <v>15</v>
      </c>
      <c r="J487">
        <v>983</v>
      </c>
      <c r="K487">
        <v>3</v>
      </c>
      <c r="L487" t="str">
        <f>IF(logistics_data[[#This Row],[Delivery_Date]]="","In Transit",
 IF(logistics_data[[#This Row],[Status]]="Lost","Lost",
 IF(logistics_data[[#This Row],[Status]]="Returned","Returned",
 IF(logistics_data[[#This Row],[Status]]="Delayed","Delayed",
 "Delivered"))))</f>
        <v>Delivered</v>
      </c>
      <c r="M487" s="2">
        <f>logistics_data[[#This Row],[Cost]]/logistics_data[[#This Row],[Distance_miles]]</f>
        <v>0.14635808748728382</v>
      </c>
      <c r="N487" t="str">
        <f>IF(logistics_data[[#This Row],[Orginal staus of shipment]]&lt;&gt;"Delivered","not applicabel", IF(logistics_data[[#This Row],[Transit_Days]]&gt;=5,"slow","fast"))</f>
        <v>fast</v>
      </c>
    </row>
    <row r="488" spans="1:14" x14ac:dyDescent="0.3">
      <c r="A488" t="s">
        <v>534</v>
      </c>
      <c r="B488" t="s">
        <v>56</v>
      </c>
      <c r="C488" t="s">
        <v>70</v>
      </c>
      <c r="D488" t="s">
        <v>59</v>
      </c>
      <c r="E488" s="1">
        <v>44975</v>
      </c>
      <c r="F488" s="1">
        <v>44977</v>
      </c>
      <c r="G488">
        <v>18.600000000000001</v>
      </c>
      <c r="H488">
        <v>64.53</v>
      </c>
      <c r="I488" t="s">
        <v>60</v>
      </c>
      <c r="J488">
        <v>344</v>
      </c>
      <c r="K488">
        <v>2</v>
      </c>
      <c r="L488" t="str">
        <f>IF(logistics_data[[#This Row],[Delivery_Date]]="","In Transit",
 IF(logistics_data[[#This Row],[Status]]="Lost","Lost",
 IF(logistics_data[[#This Row],[Status]]="Returned","Returned",
 IF(logistics_data[[#This Row],[Status]]="Delayed","Delayed",
 "Delivered"))))</f>
        <v>Lost</v>
      </c>
      <c r="M488" s="2">
        <f>logistics_data[[#This Row],[Cost]]/logistics_data[[#This Row],[Distance_miles]]</f>
        <v>0.18758720930232559</v>
      </c>
      <c r="N488" t="str">
        <f>IF(logistics_data[[#This Row],[Orginal staus of shipment]]&lt;&gt;"Delivered","not applicabel", IF(logistics_data[[#This Row],[Transit_Days]]&gt;=5,"slow","fast"))</f>
        <v>not applicabel</v>
      </c>
    </row>
    <row r="489" spans="1:14" x14ac:dyDescent="0.3">
      <c r="A489" t="s">
        <v>535</v>
      </c>
      <c r="B489" t="s">
        <v>23</v>
      </c>
      <c r="C489" t="s">
        <v>40</v>
      </c>
      <c r="D489" t="s">
        <v>37</v>
      </c>
      <c r="E489" s="1">
        <v>45161</v>
      </c>
      <c r="F489" s="1">
        <v>45166</v>
      </c>
      <c r="G489">
        <v>26.8</v>
      </c>
      <c r="H489">
        <v>280.97000000000003</v>
      </c>
      <c r="I489" t="s">
        <v>15</v>
      </c>
      <c r="J489">
        <v>1996</v>
      </c>
      <c r="K489">
        <v>5</v>
      </c>
      <c r="L489" t="str">
        <f>IF(logistics_data[[#This Row],[Delivery_Date]]="","In Transit",
 IF(logistics_data[[#This Row],[Status]]="Lost","Lost",
 IF(logistics_data[[#This Row],[Status]]="Returned","Returned",
 IF(logistics_data[[#This Row],[Status]]="Delayed","Delayed",
 "Delivered"))))</f>
        <v>Delivered</v>
      </c>
      <c r="M489" s="2">
        <f>logistics_data[[#This Row],[Cost]]/logistics_data[[#This Row],[Distance_miles]]</f>
        <v>0.14076653306613227</v>
      </c>
      <c r="N489" t="str">
        <f>IF(logistics_data[[#This Row],[Orginal staus of shipment]]&lt;&gt;"Delivered","not applicabel", IF(logistics_data[[#This Row],[Transit_Days]]&gt;=5,"slow","fast"))</f>
        <v>slow</v>
      </c>
    </row>
    <row r="490" spans="1:14" x14ac:dyDescent="0.3">
      <c r="A490" t="s">
        <v>536</v>
      </c>
      <c r="B490" t="s">
        <v>56</v>
      </c>
      <c r="C490" t="s">
        <v>70</v>
      </c>
      <c r="D490" t="s">
        <v>25</v>
      </c>
      <c r="E490" s="1">
        <v>45102</v>
      </c>
      <c r="F490" s="1">
        <v>45108</v>
      </c>
      <c r="G490">
        <v>8.6</v>
      </c>
      <c r="H490">
        <v>219.42</v>
      </c>
      <c r="I490" t="s">
        <v>47</v>
      </c>
      <c r="J490">
        <v>1671</v>
      </c>
      <c r="K490">
        <v>5</v>
      </c>
      <c r="L490" t="str">
        <f>IF(logistics_data[[#This Row],[Delivery_Date]]="","In Transit",
 IF(logistics_data[[#This Row],[Status]]="Lost","Lost",
 IF(logistics_data[[#This Row],[Status]]="Returned","Returned",
 IF(logistics_data[[#This Row],[Status]]="Delayed","Delayed",
 "Delivered"))))</f>
        <v>Delayed</v>
      </c>
      <c r="M490" s="2">
        <f>logistics_data[[#This Row],[Cost]]/logistics_data[[#This Row],[Distance_miles]]</f>
        <v>0.13131059245960502</v>
      </c>
      <c r="N490" t="str">
        <f>IF(logistics_data[[#This Row],[Orginal staus of shipment]]&lt;&gt;"Delivered","not applicabel", IF(logistics_data[[#This Row],[Transit_Days]]&gt;=5,"slow","fast"))</f>
        <v>not applicabel</v>
      </c>
    </row>
    <row r="491" spans="1:14" x14ac:dyDescent="0.3">
      <c r="A491" t="s">
        <v>537</v>
      </c>
      <c r="B491" t="s">
        <v>51</v>
      </c>
      <c r="C491" t="s">
        <v>54</v>
      </c>
      <c r="D491" t="s">
        <v>32</v>
      </c>
      <c r="E491" s="1">
        <v>45282</v>
      </c>
      <c r="F491" s="1">
        <v>45286</v>
      </c>
      <c r="G491">
        <v>53.2</v>
      </c>
      <c r="H491">
        <v>204.86</v>
      </c>
      <c r="I491" t="s">
        <v>15</v>
      </c>
      <c r="J491">
        <v>829</v>
      </c>
      <c r="K491">
        <v>4</v>
      </c>
      <c r="L491" t="str">
        <f>IF(logistics_data[[#This Row],[Delivery_Date]]="","In Transit",
 IF(logistics_data[[#This Row],[Status]]="Lost","Lost",
 IF(logistics_data[[#This Row],[Status]]="Returned","Returned",
 IF(logistics_data[[#This Row],[Status]]="Delayed","Delayed",
 "Delivered"))))</f>
        <v>Delivered</v>
      </c>
      <c r="M491" s="2">
        <f>logistics_data[[#This Row],[Cost]]/logistics_data[[#This Row],[Distance_miles]]</f>
        <v>0.24711700844390833</v>
      </c>
      <c r="N491" t="str">
        <f>IF(logistics_data[[#This Row],[Orginal staus of shipment]]&lt;&gt;"Delivered","not applicabel", IF(logistics_data[[#This Row],[Transit_Days]]&gt;=5,"slow","fast"))</f>
        <v>fast</v>
      </c>
    </row>
    <row r="492" spans="1:14" x14ac:dyDescent="0.3">
      <c r="A492" t="s">
        <v>538</v>
      </c>
      <c r="B492" t="s">
        <v>27</v>
      </c>
      <c r="C492" t="s">
        <v>70</v>
      </c>
      <c r="D492" t="s">
        <v>37</v>
      </c>
      <c r="E492" s="1">
        <v>45169</v>
      </c>
      <c r="F492" s="1">
        <v>45175</v>
      </c>
      <c r="G492">
        <v>14.9</v>
      </c>
      <c r="H492">
        <v>186.3</v>
      </c>
      <c r="I492" t="s">
        <v>15</v>
      </c>
      <c r="J492">
        <v>1508</v>
      </c>
      <c r="K492">
        <v>6</v>
      </c>
      <c r="L492" t="str">
        <f>IF(logistics_data[[#This Row],[Delivery_Date]]="","In Transit",
 IF(logistics_data[[#This Row],[Status]]="Lost","Lost",
 IF(logistics_data[[#This Row],[Status]]="Returned","Returned",
 IF(logistics_data[[#This Row],[Status]]="Delayed","Delayed",
 "Delivered"))))</f>
        <v>Delivered</v>
      </c>
      <c r="M492" s="2">
        <f>logistics_data[[#This Row],[Cost]]/logistics_data[[#This Row],[Distance_miles]]</f>
        <v>0.12354111405835544</v>
      </c>
      <c r="N492" t="str">
        <f>IF(logistics_data[[#This Row],[Orginal staus of shipment]]&lt;&gt;"Delivered","not applicabel", IF(logistics_data[[#This Row],[Transit_Days]]&gt;=5,"slow","fast"))</f>
        <v>slow</v>
      </c>
    </row>
    <row r="493" spans="1:14" x14ac:dyDescent="0.3">
      <c r="A493" t="s">
        <v>539</v>
      </c>
      <c r="B493" t="s">
        <v>20</v>
      </c>
      <c r="C493" t="s">
        <v>46</v>
      </c>
      <c r="D493" t="s">
        <v>18</v>
      </c>
      <c r="E493" s="1">
        <v>45094</v>
      </c>
      <c r="F493" s="1">
        <v>45097</v>
      </c>
      <c r="G493">
        <v>59.4</v>
      </c>
      <c r="H493">
        <v>316.73</v>
      </c>
      <c r="I493" t="s">
        <v>15</v>
      </c>
      <c r="J493">
        <v>1504</v>
      </c>
      <c r="K493">
        <v>3</v>
      </c>
      <c r="L493" t="str">
        <f>IF(logistics_data[[#This Row],[Delivery_Date]]="","In Transit",
 IF(logistics_data[[#This Row],[Status]]="Lost","Lost",
 IF(logistics_data[[#This Row],[Status]]="Returned","Returned",
 IF(logistics_data[[#This Row],[Status]]="Delayed","Delayed",
 "Delivered"))))</f>
        <v>Delivered</v>
      </c>
      <c r="M493" s="2">
        <f>logistics_data[[#This Row],[Cost]]/logistics_data[[#This Row],[Distance_miles]]</f>
        <v>0.21059175531914895</v>
      </c>
      <c r="N493" t="str">
        <f>IF(logistics_data[[#This Row],[Orginal staus of shipment]]&lt;&gt;"Delivered","not applicabel", IF(logistics_data[[#This Row],[Transit_Days]]&gt;=5,"slow","fast"))</f>
        <v>fast</v>
      </c>
    </row>
    <row r="494" spans="1:14" x14ac:dyDescent="0.3">
      <c r="A494" t="s">
        <v>540</v>
      </c>
      <c r="B494" t="s">
        <v>35</v>
      </c>
      <c r="C494" t="s">
        <v>24</v>
      </c>
      <c r="D494" t="s">
        <v>59</v>
      </c>
      <c r="E494" s="1">
        <v>45086</v>
      </c>
      <c r="F494" s="1">
        <v>45090</v>
      </c>
      <c r="G494">
        <v>16.899999999999999</v>
      </c>
      <c r="H494">
        <v>213.15</v>
      </c>
      <c r="I494" t="s">
        <v>15</v>
      </c>
      <c r="J494">
        <v>1844</v>
      </c>
      <c r="K494">
        <v>4</v>
      </c>
      <c r="L494" t="str">
        <f>IF(logistics_data[[#This Row],[Delivery_Date]]="","In Transit",
 IF(logistics_data[[#This Row],[Status]]="Lost","Lost",
 IF(logistics_data[[#This Row],[Status]]="Returned","Returned",
 IF(logistics_data[[#This Row],[Status]]="Delayed","Delayed",
 "Delivered"))))</f>
        <v>Delivered</v>
      </c>
      <c r="M494" s="2">
        <f>logistics_data[[#This Row],[Cost]]/logistics_data[[#This Row],[Distance_miles]]</f>
        <v>0.11559110629067246</v>
      </c>
      <c r="N494" t="str">
        <f>IF(logistics_data[[#This Row],[Orginal staus of shipment]]&lt;&gt;"Delivered","not applicabel", IF(logistics_data[[#This Row],[Transit_Days]]&gt;=5,"slow","fast"))</f>
        <v>fast</v>
      </c>
    </row>
    <row r="495" spans="1:14" x14ac:dyDescent="0.3">
      <c r="A495" t="s">
        <v>541</v>
      </c>
      <c r="B495" t="s">
        <v>39</v>
      </c>
      <c r="C495" t="s">
        <v>81</v>
      </c>
      <c r="D495" t="s">
        <v>32</v>
      </c>
      <c r="E495" s="1">
        <v>44963</v>
      </c>
      <c r="F495" s="1">
        <v>44967</v>
      </c>
      <c r="G495">
        <v>13.4</v>
      </c>
      <c r="H495">
        <v>139.6</v>
      </c>
      <c r="I495" t="s">
        <v>15</v>
      </c>
      <c r="J495">
        <v>1030</v>
      </c>
      <c r="K495">
        <v>4</v>
      </c>
      <c r="L495" t="str">
        <f>IF(logistics_data[[#This Row],[Delivery_Date]]="","In Transit",
 IF(logistics_data[[#This Row],[Status]]="Lost","Lost",
 IF(logistics_data[[#This Row],[Status]]="Returned","Returned",
 IF(logistics_data[[#This Row],[Status]]="Delayed","Delayed",
 "Delivered"))))</f>
        <v>Delivered</v>
      </c>
      <c r="M495" s="2">
        <f>logistics_data[[#This Row],[Cost]]/logistics_data[[#This Row],[Distance_miles]]</f>
        <v>0.13553398058252428</v>
      </c>
      <c r="N495" t="str">
        <f>IF(logistics_data[[#This Row],[Orginal staus of shipment]]&lt;&gt;"Delivered","not applicabel", IF(logistics_data[[#This Row],[Transit_Days]]&gt;=5,"slow","fast"))</f>
        <v>fast</v>
      </c>
    </row>
    <row r="496" spans="1:14" x14ac:dyDescent="0.3">
      <c r="A496" t="s">
        <v>542</v>
      </c>
      <c r="B496" t="s">
        <v>49</v>
      </c>
      <c r="C496" t="s">
        <v>31</v>
      </c>
      <c r="D496" t="s">
        <v>18</v>
      </c>
      <c r="E496" s="1">
        <v>45168</v>
      </c>
      <c r="F496" s="1">
        <v>45170</v>
      </c>
      <c r="G496">
        <v>11.4</v>
      </c>
      <c r="H496">
        <v>65.290000000000006</v>
      </c>
      <c r="I496" t="s">
        <v>15</v>
      </c>
      <c r="J496">
        <v>319</v>
      </c>
      <c r="K496">
        <v>2</v>
      </c>
      <c r="L496" t="str">
        <f>IF(logistics_data[[#This Row],[Delivery_Date]]="","In Transit",
 IF(logistics_data[[#This Row],[Status]]="Lost","Lost",
 IF(logistics_data[[#This Row],[Status]]="Returned","Returned",
 IF(logistics_data[[#This Row],[Status]]="Delayed","Delayed",
 "Delivered"))))</f>
        <v>Delivered</v>
      </c>
      <c r="M496" s="2">
        <f>logistics_data[[#This Row],[Cost]]/logistics_data[[#This Row],[Distance_miles]]</f>
        <v>0.20467084639498434</v>
      </c>
      <c r="N496" t="str">
        <f>IF(logistics_data[[#This Row],[Orginal staus of shipment]]&lt;&gt;"Delivered","not applicabel", IF(logistics_data[[#This Row],[Transit_Days]]&gt;=5,"slow","fast"))</f>
        <v>fast</v>
      </c>
    </row>
    <row r="497" spans="1:14" x14ac:dyDescent="0.3">
      <c r="A497" t="s">
        <v>543</v>
      </c>
      <c r="B497" t="s">
        <v>49</v>
      </c>
      <c r="C497" t="s">
        <v>44</v>
      </c>
      <c r="D497" t="s">
        <v>18</v>
      </c>
      <c r="E497" s="1">
        <v>45034</v>
      </c>
      <c r="F497" s="1">
        <v>45040</v>
      </c>
      <c r="G497">
        <v>10.8</v>
      </c>
      <c r="H497">
        <v>256.45</v>
      </c>
      <c r="I497" t="s">
        <v>15</v>
      </c>
      <c r="J497">
        <v>1635</v>
      </c>
      <c r="K497">
        <v>6</v>
      </c>
      <c r="L497" t="str">
        <f>IF(logistics_data[[#This Row],[Delivery_Date]]="","In Transit",
 IF(logistics_data[[#This Row],[Status]]="Lost","Lost",
 IF(logistics_data[[#This Row],[Status]]="Returned","Returned",
 IF(logistics_data[[#This Row],[Status]]="Delayed","Delayed",
 "Delivered"))))</f>
        <v>Delivered</v>
      </c>
      <c r="M497" s="2">
        <f>logistics_data[[#This Row],[Cost]]/logistics_data[[#This Row],[Distance_miles]]</f>
        <v>0.15685015290519877</v>
      </c>
      <c r="N497" t="str">
        <f>IF(logistics_data[[#This Row],[Orginal staus of shipment]]&lt;&gt;"Delivered","not applicabel", IF(logistics_data[[#This Row],[Transit_Days]]&gt;=5,"slow","fast"))</f>
        <v>slow</v>
      </c>
    </row>
    <row r="498" spans="1:14" x14ac:dyDescent="0.3">
      <c r="A498" t="s">
        <v>544</v>
      </c>
      <c r="B498" t="s">
        <v>12</v>
      </c>
      <c r="C498" t="s">
        <v>81</v>
      </c>
      <c r="D498" t="s">
        <v>32</v>
      </c>
      <c r="E498" s="1">
        <v>45172</v>
      </c>
      <c r="F498" s="1">
        <v>45175</v>
      </c>
      <c r="G498">
        <v>68.5</v>
      </c>
      <c r="H498">
        <v>235.28</v>
      </c>
      <c r="I498" t="s">
        <v>15</v>
      </c>
      <c r="J498">
        <v>1058</v>
      </c>
      <c r="K498">
        <v>3</v>
      </c>
      <c r="L498" t="str">
        <f>IF(logistics_data[[#This Row],[Delivery_Date]]="","In Transit",
 IF(logistics_data[[#This Row],[Status]]="Lost","Lost",
 IF(logistics_data[[#This Row],[Status]]="Returned","Returned",
 IF(logistics_data[[#This Row],[Status]]="Delayed","Delayed",
 "Delivered"))))</f>
        <v>Delivered</v>
      </c>
      <c r="M498" s="2">
        <f>logistics_data[[#This Row],[Cost]]/logistics_data[[#This Row],[Distance_miles]]</f>
        <v>0.22238185255198487</v>
      </c>
      <c r="N498" t="str">
        <f>IF(logistics_data[[#This Row],[Orginal staus of shipment]]&lt;&gt;"Delivered","not applicabel", IF(logistics_data[[#This Row],[Transit_Days]]&gt;=5,"slow","fast"))</f>
        <v>fast</v>
      </c>
    </row>
    <row r="499" spans="1:14" x14ac:dyDescent="0.3">
      <c r="A499" t="s">
        <v>545</v>
      </c>
      <c r="B499" t="s">
        <v>12</v>
      </c>
      <c r="C499" t="s">
        <v>81</v>
      </c>
      <c r="D499" t="s">
        <v>32</v>
      </c>
      <c r="E499" s="1">
        <v>44928</v>
      </c>
      <c r="F499" s="1">
        <v>44929</v>
      </c>
      <c r="G499">
        <v>22.1</v>
      </c>
      <c r="H499">
        <v>69.52</v>
      </c>
      <c r="I499" t="s">
        <v>15</v>
      </c>
      <c r="J499">
        <v>309</v>
      </c>
      <c r="K499">
        <v>1</v>
      </c>
      <c r="L499" t="str">
        <f>IF(logistics_data[[#This Row],[Delivery_Date]]="","In Transit",
 IF(logistics_data[[#This Row],[Status]]="Lost","Lost",
 IF(logistics_data[[#This Row],[Status]]="Returned","Returned",
 IF(logistics_data[[#This Row],[Status]]="Delayed","Delayed",
 "Delivered"))))</f>
        <v>Delivered</v>
      </c>
      <c r="M499" s="2">
        <f>logistics_data[[#This Row],[Cost]]/logistics_data[[#This Row],[Distance_miles]]</f>
        <v>0.22498381877022652</v>
      </c>
      <c r="N499" t="str">
        <f>IF(logistics_data[[#This Row],[Orginal staus of shipment]]&lt;&gt;"Delivered","not applicabel", IF(logistics_data[[#This Row],[Transit_Days]]&gt;=5,"slow","fast"))</f>
        <v>fast</v>
      </c>
    </row>
    <row r="500" spans="1:14" x14ac:dyDescent="0.3">
      <c r="A500" t="s">
        <v>546</v>
      </c>
      <c r="B500" t="s">
        <v>56</v>
      </c>
      <c r="C500" t="s">
        <v>21</v>
      </c>
      <c r="D500" t="s">
        <v>37</v>
      </c>
      <c r="E500" s="1">
        <v>45288</v>
      </c>
      <c r="F500" s="1">
        <v>45290</v>
      </c>
      <c r="G500">
        <v>9</v>
      </c>
      <c r="H500">
        <v>149.84</v>
      </c>
      <c r="I500" t="s">
        <v>15</v>
      </c>
      <c r="J500">
        <v>1002</v>
      </c>
      <c r="K500">
        <v>2</v>
      </c>
      <c r="L500" t="str">
        <f>IF(logistics_data[[#This Row],[Delivery_Date]]="","In Transit",
 IF(logistics_data[[#This Row],[Status]]="Lost","Lost",
 IF(logistics_data[[#This Row],[Status]]="Returned","Returned",
 IF(logistics_data[[#This Row],[Status]]="Delayed","Delayed",
 "Delivered"))))</f>
        <v>Delivered</v>
      </c>
      <c r="M500" s="2">
        <f>logistics_data[[#This Row],[Cost]]/logistics_data[[#This Row],[Distance_miles]]</f>
        <v>0.14954091816367265</v>
      </c>
      <c r="N500" t="str">
        <f>IF(logistics_data[[#This Row],[Orginal staus of shipment]]&lt;&gt;"Delivered","not applicabel", IF(logistics_data[[#This Row],[Transit_Days]]&gt;=5,"slow","fast"))</f>
        <v>fast</v>
      </c>
    </row>
    <row r="501" spans="1:14" x14ac:dyDescent="0.3">
      <c r="A501" t="s">
        <v>547</v>
      </c>
      <c r="B501" t="s">
        <v>27</v>
      </c>
      <c r="C501" t="s">
        <v>81</v>
      </c>
      <c r="D501" t="s">
        <v>18</v>
      </c>
      <c r="E501" s="1">
        <v>45197</v>
      </c>
      <c r="F501" s="1">
        <v>45199</v>
      </c>
      <c r="G501">
        <v>10.7</v>
      </c>
      <c r="H501">
        <v>51.05</v>
      </c>
      <c r="I501" t="s">
        <v>15</v>
      </c>
      <c r="J501">
        <v>295</v>
      </c>
      <c r="K501">
        <v>2</v>
      </c>
      <c r="L501" t="str">
        <f>IF(logistics_data[[#This Row],[Delivery_Date]]="","In Transit",
 IF(logistics_data[[#This Row],[Status]]="Lost","Lost",
 IF(logistics_data[[#This Row],[Status]]="Returned","Returned",
 IF(logistics_data[[#This Row],[Status]]="Delayed","Delayed",
 "Delivered"))))</f>
        <v>Delivered</v>
      </c>
      <c r="M501" s="2">
        <f>logistics_data[[#This Row],[Cost]]/logistics_data[[#This Row],[Distance_miles]]</f>
        <v>0.17305084745762711</v>
      </c>
      <c r="N501" t="str">
        <f>IF(logistics_data[[#This Row],[Orginal staus of shipment]]&lt;&gt;"Delivered","not applicabel", IF(logistics_data[[#This Row],[Transit_Days]]&gt;=5,"slow","fast"))</f>
        <v>fast</v>
      </c>
    </row>
    <row r="502" spans="1:14" x14ac:dyDescent="0.3">
      <c r="A502" t="s">
        <v>548</v>
      </c>
      <c r="B502" t="s">
        <v>30</v>
      </c>
      <c r="C502" t="s">
        <v>24</v>
      </c>
      <c r="D502" t="s">
        <v>14</v>
      </c>
      <c r="E502" s="1">
        <v>45148</v>
      </c>
      <c r="F502" s="1">
        <v>45153</v>
      </c>
      <c r="G502">
        <v>4.4000000000000004</v>
      </c>
      <c r="H502">
        <v>316.41000000000003</v>
      </c>
      <c r="I502" t="s">
        <v>15</v>
      </c>
      <c r="J502">
        <v>2252</v>
      </c>
      <c r="K502">
        <v>5</v>
      </c>
      <c r="L502" t="str">
        <f>IF(logistics_data[[#This Row],[Delivery_Date]]="","In Transit",
 IF(logistics_data[[#This Row],[Status]]="Lost","Lost",
 IF(logistics_data[[#This Row],[Status]]="Returned","Returned",
 IF(logistics_data[[#This Row],[Status]]="Delayed","Delayed",
 "Delivered"))))</f>
        <v>Delivered</v>
      </c>
      <c r="M502" s="2">
        <f>logistics_data[[#This Row],[Cost]]/logistics_data[[#This Row],[Distance_miles]]</f>
        <v>0.14050177619893428</v>
      </c>
      <c r="N502" t="str">
        <f>IF(logistics_data[[#This Row],[Orginal staus of shipment]]&lt;&gt;"Delivered","not applicabel", IF(logistics_data[[#This Row],[Transit_Days]]&gt;=5,"slow","fast"))</f>
        <v>slow</v>
      </c>
    </row>
    <row r="503" spans="1:14" x14ac:dyDescent="0.3">
      <c r="A503" t="s">
        <v>549</v>
      </c>
      <c r="B503" t="s">
        <v>20</v>
      </c>
      <c r="C503" t="s">
        <v>24</v>
      </c>
      <c r="D503" t="s">
        <v>14</v>
      </c>
      <c r="E503" s="1">
        <v>45123</v>
      </c>
      <c r="F503" s="1">
        <v>45128</v>
      </c>
      <c r="G503">
        <v>39</v>
      </c>
      <c r="H503">
        <v>195.48</v>
      </c>
      <c r="I503" t="s">
        <v>15</v>
      </c>
      <c r="J503">
        <v>1135</v>
      </c>
      <c r="K503">
        <v>5</v>
      </c>
      <c r="L503" t="str">
        <f>IF(logistics_data[[#This Row],[Delivery_Date]]="","In Transit",
 IF(logistics_data[[#This Row],[Status]]="Lost","Lost",
 IF(logistics_data[[#This Row],[Status]]="Returned","Returned",
 IF(logistics_data[[#This Row],[Status]]="Delayed","Delayed",
 "Delivered"))))</f>
        <v>Delivered</v>
      </c>
      <c r="M503" s="2">
        <f>logistics_data[[#This Row],[Cost]]/logistics_data[[#This Row],[Distance_miles]]</f>
        <v>0.17222907488986783</v>
      </c>
      <c r="N503" t="str">
        <f>IF(logistics_data[[#This Row],[Orginal staus of shipment]]&lt;&gt;"Delivered","not applicabel", IF(logistics_data[[#This Row],[Transit_Days]]&gt;=5,"slow","fast"))</f>
        <v>slow</v>
      </c>
    </row>
    <row r="504" spans="1:14" x14ac:dyDescent="0.3">
      <c r="A504" t="s">
        <v>550</v>
      </c>
      <c r="B504" t="s">
        <v>20</v>
      </c>
      <c r="C504" t="s">
        <v>70</v>
      </c>
      <c r="D504" t="s">
        <v>37</v>
      </c>
      <c r="E504" s="1">
        <v>45104</v>
      </c>
      <c r="F504" s="1">
        <v>45110</v>
      </c>
      <c r="G504">
        <v>15.9</v>
      </c>
      <c r="H504">
        <v>331.92</v>
      </c>
      <c r="I504" t="s">
        <v>15</v>
      </c>
      <c r="J504">
        <v>2378</v>
      </c>
      <c r="K504">
        <v>6</v>
      </c>
      <c r="L504" t="str">
        <f>IF(logistics_data[[#This Row],[Delivery_Date]]="","In Transit",
 IF(logistics_data[[#This Row],[Status]]="Lost","Lost",
 IF(logistics_data[[#This Row],[Status]]="Returned","Returned",
 IF(logistics_data[[#This Row],[Status]]="Delayed","Delayed",
 "Delivered"))))</f>
        <v>Delivered</v>
      </c>
      <c r="M504" s="2">
        <f>logistics_data[[#This Row],[Cost]]/logistics_data[[#This Row],[Distance_miles]]</f>
        <v>0.13957947855340622</v>
      </c>
      <c r="N504" t="str">
        <f>IF(logistics_data[[#This Row],[Orginal staus of shipment]]&lt;&gt;"Delivered","not applicabel", IF(logistics_data[[#This Row],[Transit_Days]]&gt;=5,"slow","fast"))</f>
        <v>slow</v>
      </c>
    </row>
    <row r="505" spans="1:14" x14ac:dyDescent="0.3">
      <c r="A505" t="s">
        <v>551</v>
      </c>
      <c r="B505" t="s">
        <v>49</v>
      </c>
      <c r="C505" t="s">
        <v>57</v>
      </c>
      <c r="D505" t="s">
        <v>59</v>
      </c>
      <c r="E505" s="1">
        <v>45260</v>
      </c>
      <c r="F505" s="1">
        <v>45264</v>
      </c>
      <c r="G505">
        <v>10.3</v>
      </c>
      <c r="H505">
        <v>227.04</v>
      </c>
      <c r="I505" t="s">
        <v>15</v>
      </c>
      <c r="J505">
        <v>1473</v>
      </c>
      <c r="K505">
        <v>4</v>
      </c>
      <c r="L505" t="str">
        <f>IF(logistics_data[[#This Row],[Delivery_Date]]="","In Transit",
 IF(logistics_data[[#This Row],[Status]]="Lost","Lost",
 IF(logistics_data[[#This Row],[Status]]="Returned","Returned",
 IF(logistics_data[[#This Row],[Status]]="Delayed","Delayed",
 "Delivered"))))</f>
        <v>Delivered</v>
      </c>
      <c r="M505" s="2">
        <f>logistics_data[[#This Row],[Cost]]/logistics_data[[#This Row],[Distance_miles]]</f>
        <v>0.15413441955193483</v>
      </c>
      <c r="N505" t="str">
        <f>IF(logistics_data[[#This Row],[Orginal staus of shipment]]&lt;&gt;"Delivered","not applicabel", IF(logistics_data[[#This Row],[Transit_Days]]&gt;=5,"slow","fast"))</f>
        <v>fast</v>
      </c>
    </row>
    <row r="506" spans="1:14" x14ac:dyDescent="0.3">
      <c r="A506" t="s">
        <v>552</v>
      </c>
      <c r="B506" t="s">
        <v>12</v>
      </c>
      <c r="C506" t="s">
        <v>40</v>
      </c>
      <c r="D506" t="s">
        <v>42</v>
      </c>
      <c r="E506" s="1">
        <v>45288</v>
      </c>
      <c r="F506" s="1">
        <v>45292</v>
      </c>
      <c r="G506">
        <v>26.9</v>
      </c>
      <c r="H506">
        <v>260.39999999999998</v>
      </c>
      <c r="I506" t="s">
        <v>15</v>
      </c>
      <c r="J506">
        <v>1433</v>
      </c>
      <c r="K506">
        <v>4</v>
      </c>
      <c r="L506" t="str">
        <f>IF(logistics_data[[#This Row],[Delivery_Date]]="","In Transit",
 IF(logistics_data[[#This Row],[Status]]="Lost","Lost",
 IF(logistics_data[[#This Row],[Status]]="Returned","Returned",
 IF(logistics_data[[#This Row],[Status]]="Delayed","Delayed",
 "Delivered"))))</f>
        <v>Delivered</v>
      </c>
      <c r="M506" s="2">
        <f>logistics_data[[#This Row],[Cost]]/logistics_data[[#This Row],[Distance_miles]]</f>
        <v>0.18171667829727842</v>
      </c>
      <c r="N506" t="str">
        <f>IF(logistics_data[[#This Row],[Orginal staus of shipment]]&lt;&gt;"Delivered","not applicabel", IF(logistics_data[[#This Row],[Transit_Days]]&gt;=5,"slow","fast"))</f>
        <v>fast</v>
      </c>
    </row>
    <row r="507" spans="1:14" x14ac:dyDescent="0.3">
      <c r="A507" t="s">
        <v>553</v>
      </c>
      <c r="B507" t="s">
        <v>12</v>
      </c>
      <c r="C507" t="s">
        <v>21</v>
      </c>
      <c r="D507" t="s">
        <v>32</v>
      </c>
      <c r="E507" s="1">
        <v>45219</v>
      </c>
      <c r="F507" s="1">
        <v>45221</v>
      </c>
      <c r="G507">
        <v>51.6</v>
      </c>
      <c r="H507">
        <v>103.41</v>
      </c>
      <c r="I507" t="s">
        <v>15</v>
      </c>
      <c r="J507">
        <v>239</v>
      </c>
      <c r="K507">
        <v>2</v>
      </c>
      <c r="L507" t="str">
        <f>IF(logistics_data[[#This Row],[Delivery_Date]]="","In Transit",
 IF(logistics_data[[#This Row],[Status]]="Lost","Lost",
 IF(logistics_data[[#This Row],[Status]]="Returned","Returned",
 IF(logistics_data[[#This Row],[Status]]="Delayed","Delayed",
 "Delivered"))))</f>
        <v>Delivered</v>
      </c>
      <c r="M507" s="2">
        <f>logistics_data[[#This Row],[Cost]]/logistics_data[[#This Row],[Distance_miles]]</f>
        <v>0.4326778242677824</v>
      </c>
      <c r="N507" t="str">
        <f>IF(logistics_data[[#This Row],[Orginal staus of shipment]]&lt;&gt;"Delivered","not applicabel", IF(logistics_data[[#This Row],[Transit_Days]]&gt;=5,"slow","fast"))</f>
        <v>fast</v>
      </c>
    </row>
    <row r="508" spans="1:14" x14ac:dyDescent="0.3">
      <c r="A508" t="s">
        <v>554</v>
      </c>
      <c r="B508" t="s">
        <v>30</v>
      </c>
      <c r="C508" t="s">
        <v>17</v>
      </c>
      <c r="D508" t="s">
        <v>14</v>
      </c>
      <c r="E508" s="1">
        <v>45182</v>
      </c>
      <c r="F508" s="1">
        <v>45187</v>
      </c>
      <c r="G508">
        <v>8.9</v>
      </c>
      <c r="H508">
        <v>298.41000000000003</v>
      </c>
      <c r="I508" t="s">
        <v>15</v>
      </c>
      <c r="J508">
        <v>2461</v>
      </c>
      <c r="K508">
        <v>5</v>
      </c>
      <c r="L508" t="str">
        <f>IF(logistics_data[[#This Row],[Delivery_Date]]="","In Transit",
 IF(logistics_data[[#This Row],[Status]]="Lost","Lost",
 IF(logistics_data[[#This Row],[Status]]="Returned","Returned",
 IF(logistics_data[[#This Row],[Status]]="Delayed","Delayed",
 "Delivered"))))</f>
        <v>Delivered</v>
      </c>
      <c r="M508" s="2">
        <f>logistics_data[[#This Row],[Cost]]/logistics_data[[#This Row],[Distance_miles]]</f>
        <v>0.12125558715969119</v>
      </c>
      <c r="N508" t="str">
        <f>IF(logistics_data[[#This Row],[Orginal staus of shipment]]&lt;&gt;"Delivered","not applicabel", IF(logistics_data[[#This Row],[Transit_Days]]&gt;=5,"slow","fast"))</f>
        <v>slow</v>
      </c>
    </row>
    <row r="509" spans="1:14" x14ac:dyDescent="0.3">
      <c r="A509" t="s">
        <v>555</v>
      </c>
      <c r="B509" t="s">
        <v>51</v>
      </c>
      <c r="C509" t="s">
        <v>54</v>
      </c>
      <c r="D509" t="s">
        <v>18</v>
      </c>
      <c r="E509" s="1">
        <v>45260</v>
      </c>
      <c r="F509" s="1">
        <v>45265</v>
      </c>
      <c r="G509">
        <v>12.5</v>
      </c>
      <c r="H509">
        <v>283.77999999999997</v>
      </c>
      <c r="I509" t="s">
        <v>15</v>
      </c>
      <c r="J509">
        <v>1588</v>
      </c>
      <c r="K509">
        <v>5</v>
      </c>
      <c r="L509" t="str">
        <f>IF(logistics_data[[#This Row],[Delivery_Date]]="","In Transit",
 IF(logistics_data[[#This Row],[Status]]="Lost","Lost",
 IF(logistics_data[[#This Row],[Status]]="Returned","Returned",
 IF(logistics_data[[#This Row],[Status]]="Delayed","Delayed",
 "Delivered"))))</f>
        <v>Delivered</v>
      </c>
      <c r="M509" s="2">
        <f>logistics_data[[#This Row],[Cost]]/logistics_data[[#This Row],[Distance_miles]]</f>
        <v>0.17870277078085642</v>
      </c>
      <c r="N509" t="str">
        <f>IF(logistics_data[[#This Row],[Orginal staus of shipment]]&lt;&gt;"Delivered","not applicabel", IF(logistics_data[[#This Row],[Transit_Days]]&gt;=5,"slow","fast"))</f>
        <v>slow</v>
      </c>
    </row>
    <row r="510" spans="1:14" x14ac:dyDescent="0.3">
      <c r="A510" t="s">
        <v>556</v>
      </c>
      <c r="B510" t="s">
        <v>23</v>
      </c>
      <c r="C510" t="s">
        <v>81</v>
      </c>
      <c r="D510" t="s">
        <v>59</v>
      </c>
      <c r="E510" s="1">
        <v>45168</v>
      </c>
      <c r="F510" s="1">
        <v>45169</v>
      </c>
      <c r="G510">
        <v>9.9</v>
      </c>
      <c r="H510">
        <v>52.96</v>
      </c>
      <c r="I510" t="s">
        <v>15</v>
      </c>
      <c r="J510">
        <v>328</v>
      </c>
      <c r="K510">
        <v>1</v>
      </c>
      <c r="L510" t="str">
        <f>IF(logistics_data[[#This Row],[Delivery_Date]]="","In Transit",
 IF(logistics_data[[#This Row],[Status]]="Lost","Lost",
 IF(logistics_data[[#This Row],[Status]]="Returned","Returned",
 IF(logistics_data[[#This Row],[Status]]="Delayed","Delayed",
 "Delivered"))))</f>
        <v>Delivered</v>
      </c>
      <c r="M510" s="2">
        <f>logistics_data[[#This Row],[Cost]]/logistics_data[[#This Row],[Distance_miles]]</f>
        <v>0.16146341463414635</v>
      </c>
      <c r="N510" t="str">
        <f>IF(logistics_data[[#This Row],[Orginal staus of shipment]]&lt;&gt;"Delivered","not applicabel", IF(logistics_data[[#This Row],[Transit_Days]]&gt;=5,"slow","fast"))</f>
        <v>fast</v>
      </c>
    </row>
    <row r="511" spans="1:14" x14ac:dyDescent="0.3">
      <c r="A511" t="s">
        <v>557</v>
      </c>
      <c r="B511" t="s">
        <v>23</v>
      </c>
      <c r="C511" t="s">
        <v>70</v>
      </c>
      <c r="D511" t="s">
        <v>14</v>
      </c>
      <c r="E511" s="1">
        <v>45188</v>
      </c>
      <c r="F511" s="1">
        <v>45193</v>
      </c>
      <c r="G511">
        <v>11.2</v>
      </c>
      <c r="H511">
        <v>306.47000000000003</v>
      </c>
      <c r="I511" t="s">
        <v>15</v>
      </c>
      <c r="J511">
        <v>2213</v>
      </c>
      <c r="K511">
        <v>5</v>
      </c>
      <c r="L511" t="str">
        <f>IF(logistics_data[[#This Row],[Delivery_Date]]="","In Transit",
 IF(logistics_data[[#This Row],[Status]]="Lost","Lost",
 IF(logistics_data[[#This Row],[Status]]="Returned","Returned",
 IF(logistics_data[[#This Row],[Status]]="Delayed","Delayed",
 "Delivered"))))</f>
        <v>Delivered</v>
      </c>
      <c r="M511" s="2">
        <f>logistics_data[[#This Row],[Cost]]/logistics_data[[#This Row],[Distance_miles]]</f>
        <v>0.13848621780388615</v>
      </c>
      <c r="N511" t="str">
        <f>IF(logistics_data[[#This Row],[Orginal staus of shipment]]&lt;&gt;"Delivered","not applicabel", IF(logistics_data[[#This Row],[Transit_Days]]&gt;=5,"slow","fast"))</f>
        <v>slow</v>
      </c>
    </row>
    <row r="512" spans="1:14" x14ac:dyDescent="0.3">
      <c r="A512" t="s">
        <v>558</v>
      </c>
      <c r="B512" t="s">
        <v>27</v>
      </c>
      <c r="C512" t="s">
        <v>52</v>
      </c>
      <c r="D512" t="s">
        <v>59</v>
      </c>
      <c r="E512" s="1">
        <v>44934</v>
      </c>
      <c r="F512" s="1">
        <v>44946</v>
      </c>
      <c r="G512">
        <v>19.8</v>
      </c>
      <c r="H512">
        <v>263.66000000000003</v>
      </c>
      <c r="I512" t="s">
        <v>47</v>
      </c>
      <c r="J512">
        <v>2186</v>
      </c>
      <c r="K512">
        <v>6</v>
      </c>
      <c r="L512" t="str">
        <f>IF(logistics_data[[#This Row],[Delivery_Date]]="","In Transit",
 IF(logistics_data[[#This Row],[Status]]="Lost","Lost",
 IF(logistics_data[[#This Row],[Status]]="Returned","Returned",
 IF(logistics_data[[#This Row],[Status]]="Delayed","Delayed",
 "Delivered"))))</f>
        <v>Delayed</v>
      </c>
      <c r="M512" s="2">
        <f>logistics_data[[#This Row],[Cost]]/logistics_data[[#This Row],[Distance_miles]]</f>
        <v>0.12061299176578226</v>
      </c>
      <c r="N512" t="str">
        <f>IF(logistics_data[[#This Row],[Orginal staus of shipment]]&lt;&gt;"Delivered","not applicabel", IF(logistics_data[[#This Row],[Transit_Days]]&gt;=5,"slow","fast"))</f>
        <v>not applicabel</v>
      </c>
    </row>
    <row r="513" spans="1:14" x14ac:dyDescent="0.3">
      <c r="A513" t="s">
        <v>559</v>
      </c>
      <c r="B513" t="s">
        <v>20</v>
      </c>
      <c r="C513" t="s">
        <v>81</v>
      </c>
      <c r="D513" t="s">
        <v>32</v>
      </c>
      <c r="E513" s="1">
        <v>45114</v>
      </c>
      <c r="F513" s="1">
        <v>45125</v>
      </c>
      <c r="G513">
        <v>16.5</v>
      </c>
      <c r="H513">
        <v>196.73</v>
      </c>
      <c r="I513" t="s">
        <v>47</v>
      </c>
      <c r="J513">
        <v>1228</v>
      </c>
      <c r="K513">
        <v>4</v>
      </c>
      <c r="L513" t="str">
        <f>IF(logistics_data[[#This Row],[Delivery_Date]]="","In Transit",
 IF(logistics_data[[#This Row],[Status]]="Lost","Lost",
 IF(logistics_data[[#This Row],[Status]]="Returned","Returned",
 IF(logistics_data[[#This Row],[Status]]="Delayed","Delayed",
 "Delivered"))))</f>
        <v>Delayed</v>
      </c>
      <c r="M513" s="2">
        <f>logistics_data[[#This Row],[Cost]]/logistics_data[[#This Row],[Distance_miles]]</f>
        <v>0.16020358306188925</v>
      </c>
      <c r="N513" t="str">
        <f>IF(logistics_data[[#This Row],[Orginal staus of shipment]]&lt;&gt;"Delivered","not applicabel", IF(logistics_data[[#This Row],[Transit_Days]]&gt;=5,"slow","fast"))</f>
        <v>not applicabel</v>
      </c>
    </row>
    <row r="514" spans="1:14" x14ac:dyDescent="0.3">
      <c r="A514" t="s">
        <v>560</v>
      </c>
      <c r="B514" t="s">
        <v>35</v>
      </c>
      <c r="C514" t="s">
        <v>36</v>
      </c>
      <c r="D514" t="s">
        <v>42</v>
      </c>
      <c r="E514" s="1">
        <v>45172</v>
      </c>
      <c r="F514" s="1">
        <v>45176</v>
      </c>
      <c r="G514">
        <v>12.1</v>
      </c>
      <c r="H514">
        <v>206.41</v>
      </c>
      <c r="I514" t="s">
        <v>15</v>
      </c>
      <c r="J514">
        <v>1553</v>
      </c>
      <c r="K514">
        <v>4</v>
      </c>
      <c r="L514" t="str">
        <f>IF(logistics_data[[#This Row],[Delivery_Date]]="","In Transit",
 IF(logistics_data[[#This Row],[Status]]="Lost","Lost",
 IF(logistics_data[[#This Row],[Status]]="Returned","Returned",
 IF(logistics_data[[#This Row],[Status]]="Delayed","Delayed",
 "Delivered"))))</f>
        <v>Delivered</v>
      </c>
      <c r="M514" s="2">
        <f>logistics_data[[#This Row],[Cost]]/logistics_data[[#This Row],[Distance_miles]]</f>
        <v>0.13291049581455247</v>
      </c>
      <c r="N514" t="str">
        <f>IF(logistics_data[[#This Row],[Orginal staus of shipment]]&lt;&gt;"Delivered","not applicabel", IF(logistics_data[[#This Row],[Transit_Days]]&gt;=5,"slow","fast"))</f>
        <v>fast</v>
      </c>
    </row>
    <row r="515" spans="1:14" x14ac:dyDescent="0.3">
      <c r="A515" t="s">
        <v>561</v>
      </c>
      <c r="B515" t="s">
        <v>30</v>
      </c>
      <c r="C515" t="s">
        <v>70</v>
      </c>
      <c r="D515" t="s">
        <v>25</v>
      </c>
      <c r="E515" s="1">
        <v>45005</v>
      </c>
      <c r="F515" s="1">
        <v>45009</v>
      </c>
      <c r="G515">
        <v>50.9</v>
      </c>
      <c r="H515">
        <v>224.98</v>
      </c>
      <c r="I515" t="s">
        <v>15</v>
      </c>
      <c r="J515">
        <v>1225</v>
      </c>
      <c r="K515">
        <v>4</v>
      </c>
      <c r="L515" t="str">
        <f>IF(logistics_data[[#This Row],[Delivery_Date]]="","In Transit",
 IF(logistics_data[[#This Row],[Status]]="Lost","Lost",
 IF(logistics_data[[#This Row],[Status]]="Returned","Returned",
 IF(logistics_data[[#This Row],[Status]]="Delayed","Delayed",
 "Delivered"))))</f>
        <v>Delivered</v>
      </c>
      <c r="M515" s="2">
        <f>logistics_data[[#This Row],[Cost]]/logistics_data[[#This Row],[Distance_miles]]</f>
        <v>0.18365714285714285</v>
      </c>
      <c r="N515" t="str">
        <f>IF(logistics_data[[#This Row],[Orginal staus of shipment]]&lt;&gt;"Delivered","not applicabel", IF(logistics_data[[#This Row],[Transit_Days]]&gt;=5,"slow","fast"))</f>
        <v>fast</v>
      </c>
    </row>
    <row r="516" spans="1:14" x14ac:dyDescent="0.3">
      <c r="A516" t="s">
        <v>562</v>
      </c>
      <c r="B516" t="s">
        <v>30</v>
      </c>
      <c r="C516" t="s">
        <v>17</v>
      </c>
      <c r="D516" t="s">
        <v>37</v>
      </c>
      <c r="E516" s="1">
        <v>45127</v>
      </c>
      <c r="F516" s="1">
        <v>45130</v>
      </c>
      <c r="G516">
        <v>20.5</v>
      </c>
      <c r="H516">
        <v>202.83</v>
      </c>
      <c r="I516" t="s">
        <v>15</v>
      </c>
      <c r="J516">
        <v>1428</v>
      </c>
      <c r="K516">
        <v>3</v>
      </c>
      <c r="L516" t="str">
        <f>IF(logistics_data[[#This Row],[Delivery_Date]]="","In Transit",
 IF(logistics_data[[#This Row],[Status]]="Lost","Lost",
 IF(logistics_data[[#This Row],[Status]]="Returned","Returned",
 IF(logistics_data[[#This Row],[Status]]="Delayed","Delayed",
 "Delivered"))))</f>
        <v>Delivered</v>
      </c>
      <c r="M516" s="2">
        <f>logistics_data[[#This Row],[Cost]]/logistics_data[[#This Row],[Distance_miles]]</f>
        <v>0.14203781512605043</v>
      </c>
      <c r="N516" t="str">
        <f>IF(logistics_data[[#This Row],[Orginal staus of shipment]]&lt;&gt;"Delivered","not applicabel", IF(logistics_data[[#This Row],[Transit_Days]]&gt;=5,"slow","fast"))</f>
        <v>fast</v>
      </c>
    </row>
    <row r="517" spans="1:14" x14ac:dyDescent="0.3">
      <c r="A517" t="s">
        <v>563</v>
      </c>
      <c r="B517" t="s">
        <v>39</v>
      </c>
      <c r="C517" t="s">
        <v>36</v>
      </c>
      <c r="D517" t="s">
        <v>42</v>
      </c>
      <c r="E517" s="1">
        <v>45286</v>
      </c>
      <c r="F517" s="1">
        <v>45287</v>
      </c>
      <c r="G517">
        <v>24.1</v>
      </c>
      <c r="H517">
        <v>79.56</v>
      </c>
      <c r="I517" t="s">
        <v>15</v>
      </c>
      <c r="J517">
        <v>267</v>
      </c>
      <c r="K517">
        <v>1</v>
      </c>
      <c r="L517" t="str">
        <f>IF(logistics_data[[#This Row],[Delivery_Date]]="","In Transit",
 IF(logistics_data[[#This Row],[Status]]="Lost","Lost",
 IF(logistics_data[[#This Row],[Status]]="Returned","Returned",
 IF(logistics_data[[#This Row],[Status]]="Delayed","Delayed",
 "Delivered"))))</f>
        <v>Delivered</v>
      </c>
      <c r="M517" s="2">
        <f>logistics_data[[#This Row],[Cost]]/logistics_data[[#This Row],[Distance_miles]]</f>
        <v>0.29797752808988764</v>
      </c>
      <c r="N517" t="str">
        <f>IF(logistics_data[[#This Row],[Orginal staus of shipment]]&lt;&gt;"Delivered","not applicabel", IF(logistics_data[[#This Row],[Transit_Days]]&gt;=5,"slow","fast"))</f>
        <v>fast</v>
      </c>
    </row>
    <row r="518" spans="1:14" x14ac:dyDescent="0.3">
      <c r="A518" t="s">
        <v>564</v>
      </c>
      <c r="B518" t="s">
        <v>30</v>
      </c>
      <c r="C518" t="s">
        <v>57</v>
      </c>
      <c r="D518" t="s">
        <v>14</v>
      </c>
      <c r="E518" s="1">
        <v>44998</v>
      </c>
      <c r="F518" s="1">
        <v>44999</v>
      </c>
      <c r="G518">
        <v>8.9</v>
      </c>
      <c r="H518">
        <v>89.78</v>
      </c>
      <c r="I518" t="s">
        <v>15</v>
      </c>
      <c r="J518">
        <v>650</v>
      </c>
      <c r="K518">
        <v>1</v>
      </c>
      <c r="L518" t="str">
        <f>IF(logistics_data[[#This Row],[Delivery_Date]]="","In Transit",
 IF(logistics_data[[#This Row],[Status]]="Lost","Lost",
 IF(logistics_data[[#This Row],[Status]]="Returned","Returned",
 IF(logistics_data[[#This Row],[Status]]="Delayed","Delayed",
 "Delivered"))))</f>
        <v>Delivered</v>
      </c>
      <c r="M518" s="2">
        <f>logistics_data[[#This Row],[Cost]]/logistics_data[[#This Row],[Distance_miles]]</f>
        <v>0.13812307692307693</v>
      </c>
      <c r="N518" t="str">
        <f>IF(logistics_data[[#This Row],[Orginal staus of shipment]]&lt;&gt;"Delivered","not applicabel", IF(logistics_data[[#This Row],[Transit_Days]]&gt;=5,"slow","fast"))</f>
        <v>fast</v>
      </c>
    </row>
    <row r="519" spans="1:14" x14ac:dyDescent="0.3">
      <c r="A519" t="s">
        <v>565</v>
      </c>
      <c r="B519" t="s">
        <v>39</v>
      </c>
      <c r="C519" t="s">
        <v>46</v>
      </c>
      <c r="D519" t="s">
        <v>59</v>
      </c>
      <c r="E519" s="1">
        <v>45257</v>
      </c>
      <c r="F519" s="1">
        <v>45263</v>
      </c>
      <c r="G519">
        <v>80</v>
      </c>
      <c r="H519">
        <v>485.62</v>
      </c>
      <c r="I519" t="s">
        <v>15</v>
      </c>
      <c r="J519">
        <v>2479</v>
      </c>
      <c r="K519">
        <v>6</v>
      </c>
      <c r="L519" t="str">
        <f>IF(logistics_data[[#This Row],[Delivery_Date]]="","In Transit",
 IF(logistics_data[[#This Row],[Status]]="Lost","Lost",
 IF(logistics_data[[#This Row],[Status]]="Returned","Returned",
 IF(logistics_data[[#This Row],[Status]]="Delayed","Delayed",
 "Delivered"))))</f>
        <v>Delivered</v>
      </c>
      <c r="M519" s="2">
        <f>logistics_data[[#This Row],[Cost]]/logistics_data[[#This Row],[Distance_miles]]</f>
        <v>0.19589350544574424</v>
      </c>
      <c r="N519" t="str">
        <f>IF(logistics_data[[#This Row],[Orginal staus of shipment]]&lt;&gt;"Delivered","not applicabel", IF(logistics_data[[#This Row],[Transit_Days]]&gt;=5,"slow","fast"))</f>
        <v>slow</v>
      </c>
    </row>
    <row r="520" spans="1:14" x14ac:dyDescent="0.3">
      <c r="A520" t="s">
        <v>566</v>
      </c>
      <c r="B520" t="s">
        <v>12</v>
      </c>
      <c r="C520" t="s">
        <v>21</v>
      </c>
      <c r="D520" t="s">
        <v>14</v>
      </c>
      <c r="E520" s="1">
        <v>45015</v>
      </c>
      <c r="F520" s="1">
        <v>45020</v>
      </c>
      <c r="G520">
        <v>15.4</v>
      </c>
      <c r="H520">
        <v>241.05</v>
      </c>
      <c r="I520" t="s">
        <v>15</v>
      </c>
      <c r="J520">
        <v>1859</v>
      </c>
      <c r="K520">
        <v>5</v>
      </c>
      <c r="L520" t="str">
        <f>IF(logistics_data[[#This Row],[Delivery_Date]]="","In Transit",
 IF(logistics_data[[#This Row],[Status]]="Lost","Lost",
 IF(logistics_data[[#This Row],[Status]]="Returned","Returned",
 IF(logistics_data[[#This Row],[Status]]="Delayed","Delayed",
 "Delivered"))))</f>
        <v>Delivered</v>
      </c>
      <c r="M520" s="2">
        <f>logistics_data[[#This Row],[Cost]]/logistics_data[[#This Row],[Distance_miles]]</f>
        <v>0.12966648735879505</v>
      </c>
      <c r="N520" t="str">
        <f>IF(logistics_data[[#This Row],[Orginal staus of shipment]]&lt;&gt;"Delivered","not applicabel", IF(logistics_data[[#This Row],[Transit_Days]]&gt;=5,"slow","fast"))</f>
        <v>slow</v>
      </c>
    </row>
    <row r="521" spans="1:14" x14ac:dyDescent="0.3">
      <c r="A521" t="s">
        <v>567</v>
      </c>
      <c r="B521" t="s">
        <v>20</v>
      </c>
      <c r="C521" t="s">
        <v>52</v>
      </c>
      <c r="D521" t="s">
        <v>59</v>
      </c>
      <c r="E521" s="1">
        <v>44958</v>
      </c>
      <c r="F521" s="1">
        <v>44966</v>
      </c>
      <c r="G521">
        <v>21.4</v>
      </c>
      <c r="H521">
        <v>68.02</v>
      </c>
      <c r="I521" t="s">
        <v>47</v>
      </c>
      <c r="J521">
        <v>373</v>
      </c>
      <c r="K521">
        <v>3</v>
      </c>
      <c r="L521" t="str">
        <f>IF(logistics_data[[#This Row],[Delivery_Date]]="","In Transit",
 IF(logistics_data[[#This Row],[Status]]="Lost","Lost",
 IF(logistics_data[[#This Row],[Status]]="Returned","Returned",
 IF(logistics_data[[#This Row],[Status]]="Delayed","Delayed",
 "Delivered"))))</f>
        <v>Delayed</v>
      </c>
      <c r="M521" s="2">
        <f>logistics_data[[#This Row],[Cost]]/logistics_data[[#This Row],[Distance_miles]]</f>
        <v>0.18235924932975869</v>
      </c>
      <c r="N521" t="str">
        <f>IF(logistics_data[[#This Row],[Orginal staus of shipment]]&lt;&gt;"Delivered","not applicabel", IF(logistics_data[[#This Row],[Transit_Days]]&gt;=5,"slow","fast"))</f>
        <v>not applicabel</v>
      </c>
    </row>
    <row r="522" spans="1:14" x14ac:dyDescent="0.3">
      <c r="A522" t="s">
        <v>568</v>
      </c>
      <c r="B522" t="s">
        <v>20</v>
      </c>
      <c r="C522" t="s">
        <v>46</v>
      </c>
      <c r="D522" t="s">
        <v>25</v>
      </c>
      <c r="E522" s="1">
        <v>45109</v>
      </c>
      <c r="F522" s="1">
        <v>45111</v>
      </c>
      <c r="G522">
        <v>6.6</v>
      </c>
      <c r="H522">
        <v>115.73</v>
      </c>
      <c r="I522" t="s">
        <v>15</v>
      </c>
      <c r="J522">
        <v>912</v>
      </c>
      <c r="K522">
        <v>2</v>
      </c>
      <c r="L522" t="str">
        <f>IF(logistics_data[[#This Row],[Delivery_Date]]="","In Transit",
 IF(logistics_data[[#This Row],[Status]]="Lost","Lost",
 IF(logistics_data[[#This Row],[Status]]="Returned","Returned",
 IF(logistics_data[[#This Row],[Status]]="Delayed","Delayed",
 "Delivered"))))</f>
        <v>Delivered</v>
      </c>
      <c r="M522" s="2">
        <f>logistics_data[[#This Row],[Cost]]/logistics_data[[#This Row],[Distance_miles]]</f>
        <v>0.12689692982456141</v>
      </c>
      <c r="N522" t="str">
        <f>IF(logistics_data[[#This Row],[Orginal staus of shipment]]&lt;&gt;"Delivered","not applicabel", IF(logistics_data[[#This Row],[Transit_Days]]&gt;=5,"slow","fast"))</f>
        <v>fast</v>
      </c>
    </row>
    <row r="523" spans="1:14" x14ac:dyDescent="0.3">
      <c r="A523" t="s">
        <v>569</v>
      </c>
      <c r="B523" t="s">
        <v>23</v>
      </c>
      <c r="C523" t="s">
        <v>17</v>
      </c>
      <c r="D523" t="s">
        <v>18</v>
      </c>
      <c r="E523" s="1">
        <v>45093</v>
      </c>
      <c r="F523" s="1">
        <v>45095</v>
      </c>
      <c r="G523">
        <v>27.4</v>
      </c>
      <c r="H523">
        <v>98.31</v>
      </c>
      <c r="I523" t="s">
        <v>15</v>
      </c>
      <c r="J523">
        <v>490</v>
      </c>
      <c r="K523">
        <v>2</v>
      </c>
      <c r="L523" t="str">
        <f>IF(logistics_data[[#This Row],[Delivery_Date]]="","In Transit",
 IF(logistics_data[[#This Row],[Status]]="Lost","Lost",
 IF(logistics_data[[#This Row],[Status]]="Returned","Returned",
 IF(logistics_data[[#This Row],[Status]]="Delayed","Delayed",
 "Delivered"))))</f>
        <v>Delivered</v>
      </c>
      <c r="M523" s="2">
        <f>logistics_data[[#This Row],[Cost]]/logistics_data[[#This Row],[Distance_miles]]</f>
        <v>0.20063265306122449</v>
      </c>
      <c r="N523" t="str">
        <f>IF(logistics_data[[#This Row],[Orginal staus of shipment]]&lt;&gt;"Delivered","not applicabel", IF(logistics_data[[#This Row],[Transit_Days]]&gt;=5,"slow","fast"))</f>
        <v>fast</v>
      </c>
    </row>
    <row r="524" spans="1:14" x14ac:dyDescent="0.3">
      <c r="A524" t="s">
        <v>570</v>
      </c>
      <c r="B524" t="s">
        <v>35</v>
      </c>
      <c r="C524" t="s">
        <v>54</v>
      </c>
      <c r="D524" t="s">
        <v>42</v>
      </c>
      <c r="E524" s="1">
        <v>45092</v>
      </c>
      <c r="F524" s="1">
        <v>45095</v>
      </c>
      <c r="G524">
        <v>20.100000000000001</v>
      </c>
      <c r="H524">
        <v>195.91</v>
      </c>
      <c r="I524" t="s">
        <v>15</v>
      </c>
      <c r="J524">
        <v>1350</v>
      </c>
      <c r="K524">
        <v>3</v>
      </c>
      <c r="L524" t="str">
        <f>IF(logistics_data[[#This Row],[Delivery_Date]]="","In Transit",
 IF(logistics_data[[#This Row],[Status]]="Lost","Lost",
 IF(logistics_data[[#This Row],[Status]]="Returned","Returned",
 IF(logistics_data[[#This Row],[Status]]="Delayed","Delayed",
 "Delivered"))))</f>
        <v>Delivered</v>
      </c>
      <c r="M524" s="2">
        <f>logistics_data[[#This Row],[Cost]]/logistics_data[[#This Row],[Distance_miles]]</f>
        <v>0.14511851851851851</v>
      </c>
      <c r="N524" t="str">
        <f>IF(logistics_data[[#This Row],[Orginal staus of shipment]]&lt;&gt;"Delivered","not applicabel", IF(logistics_data[[#This Row],[Transit_Days]]&gt;=5,"slow","fast"))</f>
        <v>fast</v>
      </c>
    </row>
    <row r="525" spans="1:14" x14ac:dyDescent="0.3">
      <c r="A525" t="s">
        <v>571</v>
      </c>
      <c r="B525" t="s">
        <v>30</v>
      </c>
      <c r="C525" t="s">
        <v>36</v>
      </c>
      <c r="D525" t="s">
        <v>37</v>
      </c>
      <c r="E525" s="1">
        <v>45034</v>
      </c>
      <c r="F525" s="1">
        <v>45048</v>
      </c>
      <c r="G525">
        <v>24.7</v>
      </c>
      <c r="H525">
        <v>221.91</v>
      </c>
      <c r="I525" t="s">
        <v>47</v>
      </c>
      <c r="J525">
        <v>1572</v>
      </c>
      <c r="K525">
        <v>6</v>
      </c>
      <c r="L525" t="str">
        <f>IF(logistics_data[[#This Row],[Delivery_Date]]="","In Transit",
 IF(logistics_data[[#This Row],[Status]]="Lost","Lost",
 IF(logistics_data[[#This Row],[Status]]="Returned","Returned",
 IF(logistics_data[[#This Row],[Status]]="Delayed","Delayed",
 "Delivered"))))</f>
        <v>Delayed</v>
      </c>
      <c r="M525" s="2">
        <f>logistics_data[[#This Row],[Cost]]/logistics_data[[#This Row],[Distance_miles]]</f>
        <v>0.14116412213740459</v>
      </c>
      <c r="N525" t="str">
        <f>IF(logistics_data[[#This Row],[Orginal staus of shipment]]&lt;&gt;"Delivered","not applicabel", IF(logistics_data[[#This Row],[Transit_Days]]&gt;=5,"slow","fast"))</f>
        <v>not applicabel</v>
      </c>
    </row>
    <row r="526" spans="1:14" x14ac:dyDescent="0.3">
      <c r="A526" t="s">
        <v>572</v>
      </c>
      <c r="B526" t="s">
        <v>30</v>
      </c>
      <c r="C526" t="s">
        <v>40</v>
      </c>
      <c r="D526" t="s">
        <v>37</v>
      </c>
      <c r="E526" s="1">
        <v>45242</v>
      </c>
      <c r="F526" s="1">
        <v>45246</v>
      </c>
      <c r="G526">
        <v>6.9</v>
      </c>
      <c r="H526">
        <v>213.81</v>
      </c>
      <c r="I526" t="s">
        <v>15</v>
      </c>
      <c r="J526">
        <v>1517</v>
      </c>
      <c r="K526">
        <v>4</v>
      </c>
      <c r="L526" t="str">
        <f>IF(logistics_data[[#This Row],[Delivery_Date]]="","In Transit",
 IF(logistics_data[[#This Row],[Status]]="Lost","Lost",
 IF(logistics_data[[#This Row],[Status]]="Returned","Returned",
 IF(logistics_data[[#This Row],[Status]]="Delayed","Delayed",
 "Delivered"))))</f>
        <v>Delivered</v>
      </c>
      <c r="M526" s="2">
        <f>logistics_data[[#This Row],[Cost]]/logistics_data[[#This Row],[Distance_miles]]</f>
        <v>0.1409426499670402</v>
      </c>
      <c r="N526" t="str">
        <f>IF(logistics_data[[#This Row],[Orginal staus of shipment]]&lt;&gt;"Delivered","not applicabel", IF(logistics_data[[#This Row],[Transit_Days]]&gt;=5,"slow","fast"))</f>
        <v>fast</v>
      </c>
    </row>
    <row r="527" spans="1:14" x14ac:dyDescent="0.3">
      <c r="A527" t="s">
        <v>573</v>
      </c>
      <c r="B527" t="s">
        <v>27</v>
      </c>
      <c r="C527" t="s">
        <v>81</v>
      </c>
      <c r="D527" t="s">
        <v>18</v>
      </c>
      <c r="E527" s="1">
        <v>45114</v>
      </c>
      <c r="F527" s="1">
        <v>45118</v>
      </c>
      <c r="G527">
        <v>34.700000000000003</v>
      </c>
      <c r="H527">
        <v>304.3</v>
      </c>
      <c r="I527" t="s">
        <v>15</v>
      </c>
      <c r="J527">
        <v>1785</v>
      </c>
      <c r="K527">
        <v>4</v>
      </c>
      <c r="L527" t="str">
        <f>IF(logistics_data[[#This Row],[Delivery_Date]]="","In Transit",
 IF(logistics_data[[#This Row],[Status]]="Lost","Lost",
 IF(logistics_data[[#This Row],[Status]]="Returned","Returned",
 IF(logistics_data[[#This Row],[Status]]="Delayed","Delayed",
 "Delivered"))))</f>
        <v>Delivered</v>
      </c>
      <c r="M527" s="2">
        <f>logistics_data[[#This Row],[Cost]]/logistics_data[[#This Row],[Distance_miles]]</f>
        <v>0.17047619047619048</v>
      </c>
      <c r="N527" t="str">
        <f>IF(logistics_data[[#This Row],[Orginal staus of shipment]]&lt;&gt;"Delivered","not applicabel", IF(logistics_data[[#This Row],[Transit_Days]]&gt;=5,"slow","fast"))</f>
        <v>fast</v>
      </c>
    </row>
    <row r="528" spans="1:14" x14ac:dyDescent="0.3">
      <c r="A528" t="s">
        <v>574</v>
      </c>
      <c r="B528" t="s">
        <v>27</v>
      </c>
      <c r="C528" t="s">
        <v>57</v>
      </c>
      <c r="D528" t="s">
        <v>25</v>
      </c>
      <c r="E528" s="1">
        <v>45040</v>
      </c>
      <c r="F528" s="1">
        <v>45043</v>
      </c>
      <c r="G528">
        <v>20.3</v>
      </c>
      <c r="H528">
        <v>89.33</v>
      </c>
      <c r="I528" t="s">
        <v>15</v>
      </c>
      <c r="J528">
        <v>543</v>
      </c>
      <c r="K528">
        <v>3</v>
      </c>
      <c r="L528" t="str">
        <f>IF(logistics_data[[#This Row],[Delivery_Date]]="","In Transit",
 IF(logistics_data[[#This Row],[Status]]="Lost","Lost",
 IF(logistics_data[[#This Row],[Status]]="Returned","Returned",
 IF(logistics_data[[#This Row],[Status]]="Delayed","Delayed",
 "Delivered"))))</f>
        <v>Delivered</v>
      </c>
      <c r="M528" s="2">
        <f>logistics_data[[#This Row],[Cost]]/logistics_data[[#This Row],[Distance_miles]]</f>
        <v>0.16451197053406999</v>
      </c>
      <c r="N528" t="str">
        <f>IF(logistics_data[[#This Row],[Orginal staus of shipment]]&lt;&gt;"Delivered","not applicabel", IF(logistics_data[[#This Row],[Transit_Days]]&gt;=5,"slow","fast"))</f>
        <v>fast</v>
      </c>
    </row>
    <row r="529" spans="1:14" x14ac:dyDescent="0.3">
      <c r="A529" t="s">
        <v>575</v>
      </c>
      <c r="B529" t="s">
        <v>20</v>
      </c>
      <c r="C529" t="s">
        <v>52</v>
      </c>
      <c r="D529" t="s">
        <v>25</v>
      </c>
      <c r="E529" s="1">
        <v>44960</v>
      </c>
      <c r="F529" s="1">
        <v>44963</v>
      </c>
      <c r="G529">
        <v>32.200000000000003</v>
      </c>
      <c r="H529">
        <v>83.7</v>
      </c>
      <c r="I529" t="s">
        <v>15</v>
      </c>
      <c r="J529">
        <v>373</v>
      </c>
      <c r="K529">
        <v>3</v>
      </c>
      <c r="L529" t="str">
        <f>IF(logistics_data[[#This Row],[Delivery_Date]]="","In Transit",
 IF(logistics_data[[#This Row],[Status]]="Lost","Lost",
 IF(logistics_data[[#This Row],[Status]]="Returned","Returned",
 IF(logistics_data[[#This Row],[Status]]="Delayed","Delayed",
 "Delivered"))))</f>
        <v>Delivered</v>
      </c>
      <c r="M529" s="2">
        <f>logistics_data[[#This Row],[Cost]]/logistics_data[[#This Row],[Distance_miles]]</f>
        <v>0.22439678284182307</v>
      </c>
      <c r="N529" t="str">
        <f>IF(logistics_data[[#This Row],[Orginal staus of shipment]]&lt;&gt;"Delivered","not applicabel", IF(logistics_data[[#This Row],[Transit_Days]]&gt;=5,"slow","fast"))</f>
        <v>fast</v>
      </c>
    </row>
    <row r="530" spans="1:14" x14ac:dyDescent="0.3">
      <c r="A530" t="s">
        <v>576</v>
      </c>
      <c r="B530" t="s">
        <v>30</v>
      </c>
      <c r="C530" t="s">
        <v>13</v>
      </c>
      <c r="D530" t="s">
        <v>25</v>
      </c>
      <c r="E530" s="1">
        <v>45090</v>
      </c>
      <c r="F530" s="1">
        <v>45093</v>
      </c>
      <c r="G530">
        <v>34.700000000000003</v>
      </c>
      <c r="H530">
        <v>183.65</v>
      </c>
      <c r="I530" t="s">
        <v>15</v>
      </c>
      <c r="J530">
        <v>1055</v>
      </c>
      <c r="K530">
        <v>3</v>
      </c>
      <c r="L530" t="str">
        <f>IF(logistics_data[[#This Row],[Delivery_Date]]="","In Transit",
 IF(logistics_data[[#This Row],[Status]]="Lost","Lost",
 IF(logistics_data[[#This Row],[Status]]="Returned","Returned",
 IF(logistics_data[[#This Row],[Status]]="Delayed","Delayed",
 "Delivered"))))</f>
        <v>Delivered</v>
      </c>
      <c r="M530" s="2">
        <f>logistics_data[[#This Row],[Cost]]/logistics_data[[#This Row],[Distance_miles]]</f>
        <v>0.17407582938388627</v>
      </c>
      <c r="N530" t="str">
        <f>IF(logistics_data[[#This Row],[Orginal staus of shipment]]&lt;&gt;"Delivered","not applicabel", IF(logistics_data[[#This Row],[Transit_Days]]&gt;=5,"slow","fast"))</f>
        <v>fast</v>
      </c>
    </row>
    <row r="531" spans="1:14" x14ac:dyDescent="0.3">
      <c r="A531" t="s">
        <v>577</v>
      </c>
      <c r="B531" t="s">
        <v>12</v>
      </c>
      <c r="C531" t="s">
        <v>17</v>
      </c>
      <c r="D531" t="s">
        <v>32</v>
      </c>
      <c r="E531" s="1">
        <v>45127</v>
      </c>
      <c r="F531" s="1">
        <v>45133</v>
      </c>
      <c r="G531">
        <v>19.399999999999999</v>
      </c>
      <c r="H531">
        <v>323.37</v>
      </c>
      <c r="I531" t="s">
        <v>15</v>
      </c>
      <c r="J531">
        <v>2177</v>
      </c>
      <c r="K531">
        <v>6</v>
      </c>
      <c r="L531" t="str">
        <f>IF(logistics_data[[#This Row],[Delivery_Date]]="","In Transit",
 IF(logistics_data[[#This Row],[Status]]="Lost","Lost",
 IF(logistics_data[[#This Row],[Status]]="Returned","Returned",
 IF(logistics_data[[#This Row],[Status]]="Delayed","Delayed",
 "Delivered"))))</f>
        <v>Delivered</v>
      </c>
      <c r="M531" s="2">
        <f>logistics_data[[#This Row],[Cost]]/logistics_data[[#This Row],[Distance_miles]]</f>
        <v>0.14853927423059257</v>
      </c>
      <c r="N531" t="str">
        <f>IF(logistics_data[[#This Row],[Orginal staus of shipment]]&lt;&gt;"Delivered","not applicabel", IF(logistics_data[[#This Row],[Transit_Days]]&gt;=5,"slow","fast"))</f>
        <v>slow</v>
      </c>
    </row>
    <row r="532" spans="1:14" x14ac:dyDescent="0.3">
      <c r="A532" t="s">
        <v>578</v>
      </c>
      <c r="B532" t="s">
        <v>51</v>
      </c>
      <c r="C532" t="s">
        <v>21</v>
      </c>
      <c r="D532" t="s">
        <v>14</v>
      </c>
      <c r="E532" s="1">
        <v>45243</v>
      </c>
      <c r="F532" s="1">
        <v>45248</v>
      </c>
      <c r="G532">
        <v>5.5</v>
      </c>
      <c r="H532">
        <v>248.81</v>
      </c>
      <c r="I532" t="s">
        <v>15</v>
      </c>
      <c r="J532">
        <v>1769</v>
      </c>
      <c r="K532">
        <v>5</v>
      </c>
      <c r="L532" t="str">
        <f>IF(logistics_data[[#This Row],[Delivery_Date]]="","In Transit",
 IF(logistics_data[[#This Row],[Status]]="Lost","Lost",
 IF(logistics_data[[#This Row],[Status]]="Returned","Returned",
 IF(logistics_data[[#This Row],[Status]]="Delayed","Delayed",
 "Delivered"))))</f>
        <v>Delivered</v>
      </c>
      <c r="M532" s="2">
        <f>logistics_data[[#This Row],[Cost]]/logistics_data[[#This Row],[Distance_miles]]</f>
        <v>0.14065008479366875</v>
      </c>
      <c r="N532" t="str">
        <f>IF(logistics_data[[#This Row],[Orginal staus of shipment]]&lt;&gt;"Delivered","not applicabel", IF(logistics_data[[#This Row],[Transit_Days]]&gt;=5,"slow","fast"))</f>
        <v>slow</v>
      </c>
    </row>
    <row r="533" spans="1:14" x14ac:dyDescent="0.3">
      <c r="A533" t="s">
        <v>579</v>
      </c>
      <c r="B533" t="s">
        <v>39</v>
      </c>
      <c r="C533" t="s">
        <v>46</v>
      </c>
      <c r="D533" t="s">
        <v>37</v>
      </c>
      <c r="E533" s="1">
        <v>45203</v>
      </c>
      <c r="F533" s="1">
        <v>45206</v>
      </c>
      <c r="G533">
        <v>37.9</v>
      </c>
      <c r="H533">
        <v>186.54</v>
      </c>
      <c r="I533" t="s">
        <v>15</v>
      </c>
      <c r="J533">
        <v>1126</v>
      </c>
      <c r="K533">
        <v>3</v>
      </c>
      <c r="L533" t="str">
        <f>IF(logistics_data[[#This Row],[Delivery_Date]]="","In Transit",
 IF(logistics_data[[#This Row],[Status]]="Lost","Lost",
 IF(logistics_data[[#This Row],[Status]]="Returned","Returned",
 IF(logistics_data[[#This Row],[Status]]="Delayed","Delayed",
 "Delivered"))))</f>
        <v>Delivered</v>
      </c>
      <c r="M533" s="2">
        <f>logistics_data[[#This Row],[Cost]]/logistics_data[[#This Row],[Distance_miles]]</f>
        <v>0.16566607460035523</v>
      </c>
      <c r="N533" t="str">
        <f>IF(logistics_data[[#This Row],[Orginal staus of shipment]]&lt;&gt;"Delivered","not applicabel", IF(logistics_data[[#This Row],[Transit_Days]]&gt;=5,"slow","fast"))</f>
        <v>fast</v>
      </c>
    </row>
    <row r="534" spans="1:14" x14ac:dyDescent="0.3">
      <c r="A534" t="s">
        <v>580</v>
      </c>
      <c r="B534" t="s">
        <v>20</v>
      </c>
      <c r="C534" t="s">
        <v>57</v>
      </c>
      <c r="D534" t="s">
        <v>42</v>
      </c>
      <c r="E534" s="1">
        <v>45122</v>
      </c>
      <c r="F534" s="1">
        <v>45127</v>
      </c>
      <c r="G534">
        <v>36.4</v>
      </c>
      <c r="H534">
        <v>257.54000000000002</v>
      </c>
      <c r="I534" t="s">
        <v>15</v>
      </c>
      <c r="J534">
        <v>1685</v>
      </c>
      <c r="K534">
        <v>5</v>
      </c>
      <c r="L534" t="str">
        <f>IF(logistics_data[[#This Row],[Delivery_Date]]="","In Transit",
 IF(logistics_data[[#This Row],[Status]]="Lost","Lost",
 IF(logistics_data[[#This Row],[Status]]="Returned","Returned",
 IF(logistics_data[[#This Row],[Status]]="Delayed","Delayed",
 "Delivered"))))</f>
        <v>Delivered</v>
      </c>
      <c r="M534" s="2">
        <f>logistics_data[[#This Row],[Cost]]/logistics_data[[#This Row],[Distance_miles]]</f>
        <v>0.15284272997032641</v>
      </c>
      <c r="N534" t="str">
        <f>IF(logistics_data[[#This Row],[Orginal staus of shipment]]&lt;&gt;"Delivered","not applicabel", IF(logistics_data[[#This Row],[Transit_Days]]&gt;=5,"slow","fast"))</f>
        <v>slow</v>
      </c>
    </row>
    <row r="535" spans="1:14" x14ac:dyDescent="0.3">
      <c r="A535" t="s">
        <v>581</v>
      </c>
      <c r="B535" t="s">
        <v>30</v>
      </c>
      <c r="C535" t="s">
        <v>28</v>
      </c>
      <c r="D535" t="s">
        <v>25</v>
      </c>
      <c r="E535" s="1">
        <v>44986</v>
      </c>
      <c r="F535" s="1">
        <v>44991</v>
      </c>
      <c r="G535">
        <v>31.4</v>
      </c>
      <c r="H535">
        <v>130.31</v>
      </c>
      <c r="I535" t="s">
        <v>15</v>
      </c>
      <c r="J535">
        <v>838</v>
      </c>
      <c r="K535">
        <v>5</v>
      </c>
      <c r="L535" t="str">
        <f>IF(logistics_data[[#This Row],[Delivery_Date]]="","In Transit",
 IF(logistics_data[[#This Row],[Status]]="Lost","Lost",
 IF(logistics_data[[#This Row],[Status]]="Returned","Returned",
 IF(logistics_data[[#This Row],[Status]]="Delayed","Delayed",
 "Delivered"))))</f>
        <v>Delivered</v>
      </c>
      <c r="M535" s="2">
        <f>logistics_data[[#This Row],[Cost]]/logistics_data[[#This Row],[Distance_miles]]</f>
        <v>0.15550119331742243</v>
      </c>
      <c r="N535" t="str">
        <f>IF(logistics_data[[#This Row],[Orginal staus of shipment]]&lt;&gt;"Delivered","not applicabel", IF(logistics_data[[#This Row],[Transit_Days]]&gt;=5,"slow","fast"))</f>
        <v>slow</v>
      </c>
    </row>
    <row r="536" spans="1:14" x14ac:dyDescent="0.3">
      <c r="A536" t="s">
        <v>582</v>
      </c>
      <c r="B536" t="s">
        <v>30</v>
      </c>
      <c r="C536" t="s">
        <v>54</v>
      </c>
      <c r="D536" t="s">
        <v>25</v>
      </c>
      <c r="E536" s="1">
        <v>44988</v>
      </c>
      <c r="F536" s="1">
        <v>44994</v>
      </c>
      <c r="G536">
        <v>13.3</v>
      </c>
      <c r="H536">
        <v>236.71</v>
      </c>
      <c r="I536" t="s">
        <v>62</v>
      </c>
      <c r="J536">
        <v>2025</v>
      </c>
      <c r="K536">
        <v>6</v>
      </c>
      <c r="L536" t="str">
        <f>IF(logistics_data[[#This Row],[Delivery_Date]]="","In Transit",
 IF(logistics_data[[#This Row],[Status]]="Lost","Lost",
 IF(logistics_data[[#This Row],[Status]]="Returned","Returned",
 IF(logistics_data[[#This Row],[Status]]="Delayed","Delayed",
 "Delivered"))))</f>
        <v>Delivered</v>
      </c>
      <c r="M536" s="2">
        <f>logistics_data[[#This Row],[Cost]]/logistics_data[[#This Row],[Distance_miles]]</f>
        <v>0.11689382716049383</v>
      </c>
      <c r="N536" t="str">
        <f>IF(logistics_data[[#This Row],[Orginal staus of shipment]]&lt;&gt;"Delivered","not applicabel", IF(logistics_data[[#This Row],[Transit_Days]]&gt;=5,"slow","fast"))</f>
        <v>slow</v>
      </c>
    </row>
    <row r="537" spans="1:14" x14ac:dyDescent="0.3">
      <c r="A537" t="s">
        <v>583</v>
      </c>
      <c r="B537" t="s">
        <v>51</v>
      </c>
      <c r="C537" t="s">
        <v>24</v>
      </c>
      <c r="D537" t="s">
        <v>42</v>
      </c>
      <c r="E537" s="1">
        <v>45029</v>
      </c>
      <c r="F537" s="1">
        <v>45030</v>
      </c>
      <c r="G537">
        <v>15.4</v>
      </c>
      <c r="H537">
        <v>33.51</v>
      </c>
      <c r="I537" t="s">
        <v>15</v>
      </c>
      <c r="J537">
        <v>121</v>
      </c>
      <c r="K537">
        <v>1</v>
      </c>
      <c r="L537" t="str">
        <f>IF(logistics_data[[#This Row],[Delivery_Date]]="","In Transit",
 IF(logistics_data[[#This Row],[Status]]="Lost","Lost",
 IF(logistics_data[[#This Row],[Status]]="Returned","Returned",
 IF(logistics_data[[#This Row],[Status]]="Delayed","Delayed",
 "Delivered"))))</f>
        <v>Delivered</v>
      </c>
      <c r="M537" s="2">
        <f>logistics_data[[#This Row],[Cost]]/logistics_data[[#This Row],[Distance_miles]]</f>
        <v>0.27694214876033058</v>
      </c>
      <c r="N537" t="str">
        <f>IF(logistics_data[[#This Row],[Orginal staus of shipment]]&lt;&gt;"Delivered","not applicabel", IF(logistics_data[[#This Row],[Transit_Days]]&gt;=5,"slow","fast"))</f>
        <v>fast</v>
      </c>
    </row>
    <row r="538" spans="1:14" x14ac:dyDescent="0.3">
      <c r="A538" t="s">
        <v>584</v>
      </c>
      <c r="B538" t="s">
        <v>51</v>
      </c>
      <c r="C538" t="s">
        <v>44</v>
      </c>
      <c r="D538" t="s">
        <v>32</v>
      </c>
      <c r="E538" s="1">
        <v>45010</v>
      </c>
      <c r="F538" s="1">
        <v>45024</v>
      </c>
      <c r="G538">
        <v>11.1</v>
      </c>
      <c r="H538">
        <v>113.5</v>
      </c>
      <c r="I538" t="s">
        <v>47</v>
      </c>
      <c r="J538">
        <v>790</v>
      </c>
      <c r="K538">
        <v>4</v>
      </c>
      <c r="L538" t="str">
        <f>IF(logistics_data[[#This Row],[Delivery_Date]]="","In Transit",
 IF(logistics_data[[#This Row],[Status]]="Lost","Lost",
 IF(logistics_data[[#This Row],[Status]]="Returned","Returned",
 IF(logistics_data[[#This Row],[Status]]="Delayed","Delayed",
 "Delivered"))))</f>
        <v>Delayed</v>
      </c>
      <c r="M538" s="2">
        <f>logistics_data[[#This Row],[Cost]]/logistics_data[[#This Row],[Distance_miles]]</f>
        <v>0.14367088607594936</v>
      </c>
      <c r="N538" t="str">
        <f>IF(logistics_data[[#This Row],[Orginal staus of shipment]]&lt;&gt;"Delivered","not applicabel", IF(logistics_data[[#This Row],[Transit_Days]]&gt;=5,"slow","fast"))</f>
        <v>not applicabel</v>
      </c>
    </row>
    <row r="539" spans="1:14" x14ac:dyDescent="0.3">
      <c r="A539" t="s">
        <v>585</v>
      </c>
      <c r="B539" t="s">
        <v>30</v>
      </c>
      <c r="C539" t="s">
        <v>21</v>
      </c>
      <c r="D539" t="s">
        <v>42</v>
      </c>
      <c r="E539" s="1">
        <v>45030</v>
      </c>
      <c r="F539" s="1">
        <v>45033</v>
      </c>
      <c r="G539">
        <v>51.4</v>
      </c>
      <c r="H539">
        <v>143.25</v>
      </c>
      <c r="I539" t="s">
        <v>15</v>
      </c>
      <c r="J539">
        <v>582</v>
      </c>
      <c r="K539">
        <v>3</v>
      </c>
      <c r="L539" t="str">
        <f>IF(logistics_data[[#This Row],[Delivery_Date]]="","In Transit",
 IF(logistics_data[[#This Row],[Status]]="Lost","Lost",
 IF(logistics_data[[#This Row],[Status]]="Returned","Returned",
 IF(logistics_data[[#This Row],[Status]]="Delayed","Delayed",
 "Delivered"))))</f>
        <v>Delivered</v>
      </c>
      <c r="M539" s="2">
        <f>logistics_data[[#This Row],[Cost]]/logistics_data[[#This Row],[Distance_miles]]</f>
        <v>0.24613402061855671</v>
      </c>
      <c r="N539" t="str">
        <f>IF(logistics_data[[#This Row],[Orginal staus of shipment]]&lt;&gt;"Delivered","not applicabel", IF(logistics_data[[#This Row],[Transit_Days]]&gt;=5,"slow","fast"))</f>
        <v>fast</v>
      </c>
    </row>
    <row r="540" spans="1:14" x14ac:dyDescent="0.3">
      <c r="A540" t="s">
        <v>586</v>
      </c>
      <c r="B540" t="s">
        <v>30</v>
      </c>
      <c r="C540" t="s">
        <v>31</v>
      </c>
      <c r="D540" t="s">
        <v>42</v>
      </c>
      <c r="E540" s="1">
        <v>45063</v>
      </c>
      <c r="F540" s="1">
        <v>45064</v>
      </c>
      <c r="G540">
        <v>55.6</v>
      </c>
      <c r="H540">
        <v>101.32</v>
      </c>
      <c r="I540" t="s">
        <v>15</v>
      </c>
      <c r="J540">
        <v>357</v>
      </c>
      <c r="K540">
        <v>1</v>
      </c>
      <c r="L540" t="str">
        <f>IF(logistics_data[[#This Row],[Delivery_Date]]="","In Transit",
 IF(logistics_data[[#This Row],[Status]]="Lost","Lost",
 IF(logistics_data[[#This Row],[Status]]="Returned","Returned",
 IF(logistics_data[[#This Row],[Status]]="Delayed","Delayed",
 "Delivered"))))</f>
        <v>Delivered</v>
      </c>
      <c r="M540" s="2">
        <f>logistics_data[[#This Row],[Cost]]/logistics_data[[#This Row],[Distance_miles]]</f>
        <v>0.28380952380952379</v>
      </c>
      <c r="N540" t="str">
        <f>IF(logistics_data[[#This Row],[Orginal staus of shipment]]&lt;&gt;"Delivered","not applicabel", IF(logistics_data[[#This Row],[Transit_Days]]&gt;=5,"slow","fast"))</f>
        <v>fast</v>
      </c>
    </row>
    <row r="541" spans="1:14" x14ac:dyDescent="0.3">
      <c r="A541" t="s">
        <v>587</v>
      </c>
      <c r="B541" t="s">
        <v>27</v>
      </c>
      <c r="C541" t="s">
        <v>28</v>
      </c>
      <c r="D541" t="s">
        <v>37</v>
      </c>
      <c r="E541" s="1">
        <v>44999</v>
      </c>
      <c r="F541" s="1">
        <v>45003</v>
      </c>
      <c r="G541">
        <v>30.9</v>
      </c>
      <c r="H541">
        <v>151.63</v>
      </c>
      <c r="I541" t="s">
        <v>15</v>
      </c>
      <c r="J541">
        <v>961</v>
      </c>
      <c r="K541">
        <v>4</v>
      </c>
      <c r="L541" t="str">
        <f>IF(logistics_data[[#This Row],[Delivery_Date]]="","In Transit",
 IF(logistics_data[[#This Row],[Status]]="Lost","Lost",
 IF(logistics_data[[#This Row],[Status]]="Returned","Returned",
 IF(logistics_data[[#This Row],[Status]]="Delayed","Delayed",
 "Delivered"))))</f>
        <v>Delivered</v>
      </c>
      <c r="M541" s="2">
        <f>logistics_data[[#This Row],[Cost]]/logistics_data[[#This Row],[Distance_miles]]</f>
        <v>0.15778355879292402</v>
      </c>
      <c r="N541" t="str">
        <f>IF(logistics_data[[#This Row],[Orginal staus of shipment]]&lt;&gt;"Delivered","not applicabel", IF(logistics_data[[#This Row],[Transit_Days]]&gt;=5,"slow","fast"))</f>
        <v>fast</v>
      </c>
    </row>
    <row r="542" spans="1:14" x14ac:dyDescent="0.3">
      <c r="A542" t="s">
        <v>588</v>
      </c>
      <c r="B542" t="s">
        <v>39</v>
      </c>
      <c r="C542" t="s">
        <v>54</v>
      </c>
      <c r="D542" t="s">
        <v>32</v>
      </c>
      <c r="E542" s="1">
        <v>45093</v>
      </c>
      <c r="F542" s="1">
        <v>45100</v>
      </c>
      <c r="G542">
        <v>5.4</v>
      </c>
      <c r="H542">
        <v>187.36</v>
      </c>
      <c r="I542" t="s">
        <v>15</v>
      </c>
      <c r="J542">
        <v>1292</v>
      </c>
      <c r="K542">
        <v>7</v>
      </c>
      <c r="L542" t="str">
        <f>IF(logistics_data[[#This Row],[Delivery_Date]]="","In Transit",
 IF(logistics_data[[#This Row],[Status]]="Lost","Lost",
 IF(logistics_data[[#This Row],[Status]]="Returned","Returned",
 IF(logistics_data[[#This Row],[Status]]="Delayed","Delayed",
 "Delivered"))))</f>
        <v>Delivered</v>
      </c>
      <c r="M542" s="2">
        <f>logistics_data[[#This Row],[Cost]]/logistics_data[[#This Row],[Distance_miles]]</f>
        <v>0.14501547987616101</v>
      </c>
      <c r="N542" t="str">
        <f>IF(logistics_data[[#This Row],[Orginal staus of shipment]]&lt;&gt;"Delivered","not applicabel", IF(logistics_data[[#This Row],[Transit_Days]]&gt;=5,"slow","fast"))</f>
        <v>slow</v>
      </c>
    </row>
    <row r="543" spans="1:14" x14ac:dyDescent="0.3">
      <c r="A543" t="s">
        <v>589</v>
      </c>
      <c r="B543" t="s">
        <v>12</v>
      </c>
      <c r="C543" t="s">
        <v>70</v>
      </c>
      <c r="D543" t="s">
        <v>32</v>
      </c>
      <c r="E543" s="1">
        <v>45036</v>
      </c>
      <c r="F543" s="1">
        <v>45037</v>
      </c>
      <c r="G543">
        <v>35.4</v>
      </c>
      <c r="H543">
        <v>88.87</v>
      </c>
      <c r="I543" t="s">
        <v>15</v>
      </c>
      <c r="J543">
        <v>320</v>
      </c>
      <c r="K543">
        <v>1</v>
      </c>
      <c r="L543" t="str">
        <f>IF(logistics_data[[#This Row],[Delivery_Date]]="","In Transit",
 IF(logistics_data[[#This Row],[Status]]="Lost","Lost",
 IF(logistics_data[[#This Row],[Status]]="Returned","Returned",
 IF(logistics_data[[#This Row],[Status]]="Delayed","Delayed",
 "Delivered"))))</f>
        <v>Delivered</v>
      </c>
      <c r="M543" s="2">
        <f>logistics_data[[#This Row],[Cost]]/logistics_data[[#This Row],[Distance_miles]]</f>
        <v>0.27771875000000001</v>
      </c>
      <c r="N543" t="str">
        <f>IF(logistics_data[[#This Row],[Orginal staus of shipment]]&lt;&gt;"Delivered","not applicabel", IF(logistics_data[[#This Row],[Transit_Days]]&gt;=5,"slow","fast"))</f>
        <v>fast</v>
      </c>
    </row>
    <row r="544" spans="1:14" x14ac:dyDescent="0.3">
      <c r="A544" t="s">
        <v>590</v>
      </c>
      <c r="B544" t="s">
        <v>12</v>
      </c>
      <c r="C544" t="s">
        <v>17</v>
      </c>
      <c r="D544" t="s">
        <v>37</v>
      </c>
      <c r="E544" s="1">
        <v>44934</v>
      </c>
      <c r="F544" s="1">
        <v>44937</v>
      </c>
      <c r="G544">
        <v>42.8</v>
      </c>
      <c r="I544" t="s">
        <v>15</v>
      </c>
      <c r="J544">
        <v>900</v>
      </c>
      <c r="K544">
        <v>3</v>
      </c>
      <c r="L544" t="str">
        <f>IF(logistics_data[[#This Row],[Delivery_Date]]="","In Transit",
 IF(logistics_data[[#This Row],[Status]]="Lost","Lost",
 IF(logistics_data[[#This Row],[Status]]="Returned","Returned",
 IF(logistics_data[[#This Row],[Status]]="Delayed","Delayed",
 "Delivered"))))</f>
        <v>Delivered</v>
      </c>
      <c r="M544" s="2">
        <f>logistics_data[[#This Row],[Cost]]/logistics_data[[#This Row],[Distance_miles]]</f>
        <v>0</v>
      </c>
      <c r="N544" t="str">
        <f>IF(logistics_data[[#This Row],[Orginal staus of shipment]]&lt;&gt;"Delivered","not applicabel", IF(logistics_data[[#This Row],[Transit_Days]]&gt;=5,"slow","fast"))</f>
        <v>fast</v>
      </c>
    </row>
    <row r="545" spans="1:14" x14ac:dyDescent="0.3">
      <c r="A545" t="s">
        <v>591</v>
      </c>
      <c r="B545" t="s">
        <v>49</v>
      </c>
      <c r="C545" t="s">
        <v>24</v>
      </c>
      <c r="D545" t="s">
        <v>42</v>
      </c>
      <c r="E545" s="1">
        <v>45192</v>
      </c>
      <c r="F545" s="1">
        <v>45197</v>
      </c>
      <c r="G545">
        <v>27.5</v>
      </c>
      <c r="H545">
        <v>227.05</v>
      </c>
      <c r="I545" t="s">
        <v>15</v>
      </c>
      <c r="J545">
        <v>1611</v>
      </c>
      <c r="K545">
        <v>5</v>
      </c>
      <c r="L545" t="str">
        <f>IF(logistics_data[[#This Row],[Delivery_Date]]="","In Transit",
 IF(logistics_data[[#This Row],[Status]]="Lost","Lost",
 IF(logistics_data[[#This Row],[Status]]="Returned","Returned",
 IF(logistics_data[[#This Row],[Status]]="Delayed","Delayed",
 "Delivered"))))</f>
        <v>Delivered</v>
      </c>
      <c r="M545" s="2">
        <f>logistics_data[[#This Row],[Cost]]/logistics_data[[#This Row],[Distance_miles]]</f>
        <v>0.14093730602110491</v>
      </c>
      <c r="N545" t="str">
        <f>IF(logistics_data[[#This Row],[Orginal staus of shipment]]&lt;&gt;"Delivered","not applicabel", IF(logistics_data[[#This Row],[Transit_Days]]&gt;=5,"slow","fast"))</f>
        <v>slow</v>
      </c>
    </row>
    <row r="546" spans="1:14" x14ac:dyDescent="0.3">
      <c r="A546" t="s">
        <v>592</v>
      </c>
      <c r="B546" t="s">
        <v>30</v>
      </c>
      <c r="C546" t="s">
        <v>52</v>
      </c>
      <c r="D546" t="s">
        <v>42</v>
      </c>
      <c r="E546" s="1">
        <v>45213</v>
      </c>
      <c r="F546" s="1">
        <v>45218</v>
      </c>
      <c r="G546">
        <v>22.8</v>
      </c>
      <c r="H546">
        <v>184.9</v>
      </c>
      <c r="I546" t="s">
        <v>15</v>
      </c>
      <c r="J546">
        <v>1288</v>
      </c>
      <c r="K546">
        <v>5</v>
      </c>
      <c r="L546" t="str">
        <f>IF(logistics_data[[#This Row],[Delivery_Date]]="","In Transit",
 IF(logistics_data[[#This Row],[Status]]="Lost","Lost",
 IF(logistics_data[[#This Row],[Status]]="Returned","Returned",
 IF(logistics_data[[#This Row],[Status]]="Delayed","Delayed",
 "Delivered"))))</f>
        <v>Delivered</v>
      </c>
      <c r="M546" s="2">
        <f>logistics_data[[#This Row],[Cost]]/logistics_data[[#This Row],[Distance_miles]]</f>
        <v>0.143555900621118</v>
      </c>
      <c r="N546" t="str">
        <f>IF(logistics_data[[#This Row],[Orginal staus of shipment]]&lt;&gt;"Delivered","not applicabel", IF(logistics_data[[#This Row],[Transit_Days]]&gt;=5,"slow","fast"))</f>
        <v>slow</v>
      </c>
    </row>
    <row r="547" spans="1:14" x14ac:dyDescent="0.3">
      <c r="A547" t="s">
        <v>593</v>
      </c>
      <c r="B547" t="s">
        <v>27</v>
      </c>
      <c r="C547" t="s">
        <v>36</v>
      </c>
      <c r="D547" t="s">
        <v>32</v>
      </c>
      <c r="E547" s="1">
        <v>44945</v>
      </c>
      <c r="F547" s="1">
        <v>44949</v>
      </c>
      <c r="G547">
        <v>21.7</v>
      </c>
      <c r="H547">
        <v>139.26</v>
      </c>
      <c r="I547" t="s">
        <v>15</v>
      </c>
      <c r="J547">
        <v>896</v>
      </c>
      <c r="K547">
        <v>4</v>
      </c>
      <c r="L547" t="str">
        <f>IF(logistics_data[[#This Row],[Delivery_Date]]="","In Transit",
 IF(logistics_data[[#This Row],[Status]]="Lost","Lost",
 IF(logistics_data[[#This Row],[Status]]="Returned","Returned",
 IF(logistics_data[[#This Row],[Status]]="Delayed","Delayed",
 "Delivered"))))</f>
        <v>Delivered</v>
      </c>
      <c r="M547" s="2">
        <f>logistics_data[[#This Row],[Cost]]/logistics_data[[#This Row],[Distance_miles]]</f>
        <v>0.15542410714285712</v>
      </c>
      <c r="N547" t="str">
        <f>IF(logistics_data[[#This Row],[Orginal staus of shipment]]&lt;&gt;"Delivered","not applicabel", IF(logistics_data[[#This Row],[Transit_Days]]&gt;=5,"slow","fast"))</f>
        <v>fast</v>
      </c>
    </row>
    <row r="548" spans="1:14" x14ac:dyDescent="0.3">
      <c r="A548" t="s">
        <v>594</v>
      </c>
      <c r="B548" t="s">
        <v>20</v>
      </c>
      <c r="C548" t="s">
        <v>46</v>
      </c>
      <c r="D548" t="s">
        <v>14</v>
      </c>
      <c r="E548" s="1">
        <v>45102</v>
      </c>
      <c r="F548" s="1">
        <v>45109</v>
      </c>
      <c r="G548">
        <v>37</v>
      </c>
      <c r="H548">
        <v>208.58</v>
      </c>
      <c r="I548" t="s">
        <v>15</v>
      </c>
      <c r="J548">
        <v>1452</v>
      </c>
      <c r="K548">
        <v>7</v>
      </c>
      <c r="L548" t="str">
        <f>IF(logistics_data[[#This Row],[Delivery_Date]]="","In Transit",
 IF(logistics_data[[#This Row],[Status]]="Lost","Lost",
 IF(logistics_data[[#This Row],[Status]]="Returned","Returned",
 IF(logistics_data[[#This Row],[Status]]="Delayed","Delayed",
 "Delivered"))))</f>
        <v>Delivered</v>
      </c>
      <c r="M548" s="2">
        <f>logistics_data[[#This Row],[Cost]]/logistics_data[[#This Row],[Distance_miles]]</f>
        <v>0.14365013774104685</v>
      </c>
      <c r="N548" t="str">
        <f>IF(logistics_data[[#This Row],[Orginal staus of shipment]]&lt;&gt;"Delivered","not applicabel", IF(logistics_data[[#This Row],[Transit_Days]]&gt;=5,"slow","fast"))</f>
        <v>slow</v>
      </c>
    </row>
    <row r="549" spans="1:14" x14ac:dyDescent="0.3">
      <c r="A549" t="s">
        <v>595</v>
      </c>
      <c r="B549" t="s">
        <v>27</v>
      </c>
      <c r="C549" t="s">
        <v>28</v>
      </c>
      <c r="D549" t="s">
        <v>14</v>
      </c>
      <c r="E549" s="1">
        <v>45050</v>
      </c>
      <c r="F549" s="1">
        <v>45052</v>
      </c>
      <c r="G549">
        <v>20.100000000000001</v>
      </c>
      <c r="H549">
        <v>50.48</v>
      </c>
      <c r="I549" t="s">
        <v>62</v>
      </c>
      <c r="J549">
        <v>210</v>
      </c>
      <c r="K549">
        <v>2</v>
      </c>
      <c r="L549" t="str">
        <f>IF(logistics_data[[#This Row],[Delivery_Date]]="","In Transit",
 IF(logistics_data[[#This Row],[Status]]="Lost","Lost",
 IF(logistics_data[[#This Row],[Status]]="Returned","Returned",
 IF(logistics_data[[#This Row],[Status]]="Delayed","Delayed",
 "Delivered"))))</f>
        <v>Delivered</v>
      </c>
      <c r="M549" s="2">
        <f>logistics_data[[#This Row],[Cost]]/logistics_data[[#This Row],[Distance_miles]]</f>
        <v>0.24038095238095236</v>
      </c>
      <c r="N549" t="str">
        <f>IF(logistics_data[[#This Row],[Orginal staus of shipment]]&lt;&gt;"Delivered","not applicabel", IF(logistics_data[[#This Row],[Transit_Days]]&gt;=5,"slow","fast"))</f>
        <v>fast</v>
      </c>
    </row>
    <row r="550" spans="1:14" x14ac:dyDescent="0.3">
      <c r="A550" t="s">
        <v>596</v>
      </c>
      <c r="B550" t="s">
        <v>35</v>
      </c>
      <c r="C550" t="s">
        <v>36</v>
      </c>
      <c r="D550" t="s">
        <v>32</v>
      </c>
      <c r="E550" s="1">
        <v>44938</v>
      </c>
      <c r="F550" s="1">
        <v>44940</v>
      </c>
      <c r="G550">
        <v>20.8</v>
      </c>
      <c r="H550">
        <v>74.77</v>
      </c>
      <c r="I550" t="s">
        <v>15</v>
      </c>
      <c r="J550">
        <v>389</v>
      </c>
      <c r="K550">
        <v>2</v>
      </c>
      <c r="L550" t="str">
        <f>IF(logistics_data[[#This Row],[Delivery_Date]]="","In Transit",
 IF(logistics_data[[#This Row],[Status]]="Lost","Lost",
 IF(logistics_data[[#This Row],[Status]]="Returned","Returned",
 IF(logistics_data[[#This Row],[Status]]="Delayed","Delayed",
 "Delivered"))))</f>
        <v>Delivered</v>
      </c>
      <c r="M550" s="2">
        <f>logistics_data[[#This Row],[Cost]]/logistics_data[[#This Row],[Distance_miles]]</f>
        <v>0.1922107969151671</v>
      </c>
      <c r="N550" t="str">
        <f>IF(logistics_data[[#This Row],[Orginal staus of shipment]]&lt;&gt;"Delivered","not applicabel", IF(logistics_data[[#This Row],[Transit_Days]]&gt;=5,"slow","fast"))</f>
        <v>fast</v>
      </c>
    </row>
    <row r="551" spans="1:14" x14ac:dyDescent="0.3">
      <c r="A551" t="s">
        <v>597</v>
      </c>
      <c r="B551" t="s">
        <v>20</v>
      </c>
      <c r="C551" t="s">
        <v>31</v>
      </c>
      <c r="D551" t="s">
        <v>59</v>
      </c>
      <c r="E551" s="1">
        <v>45018</v>
      </c>
      <c r="F551" s="1">
        <v>45020</v>
      </c>
      <c r="G551">
        <v>7.4</v>
      </c>
      <c r="H551">
        <v>88.25</v>
      </c>
      <c r="I551" t="s">
        <v>67</v>
      </c>
      <c r="J551">
        <v>643</v>
      </c>
      <c r="K551">
        <v>2</v>
      </c>
      <c r="L551" t="str">
        <f>IF(logistics_data[[#This Row],[Delivery_Date]]="","In Transit",
 IF(logistics_data[[#This Row],[Status]]="Lost","Lost",
 IF(logistics_data[[#This Row],[Status]]="Returned","Returned",
 IF(logistics_data[[#This Row],[Status]]="Delayed","Delayed",
 "Delivered"))))</f>
        <v>Returned</v>
      </c>
      <c r="M551" s="2">
        <f>logistics_data[[#This Row],[Cost]]/logistics_data[[#This Row],[Distance_miles]]</f>
        <v>0.13724727838258166</v>
      </c>
      <c r="N551" t="str">
        <f>IF(logistics_data[[#This Row],[Orginal staus of shipment]]&lt;&gt;"Delivered","not applicabel", IF(logistics_data[[#This Row],[Transit_Days]]&gt;=5,"slow","fast"))</f>
        <v>not applicabel</v>
      </c>
    </row>
    <row r="552" spans="1:14" x14ac:dyDescent="0.3">
      <c r="A552" t="s">
        <v>598</v>
      </c>
      <c r="B552" t="s">
        <v>30</v>
      </c>
      <c r="C552" t="s">
        <v>46</v>
      </c>
      <c r="D552" t="s">
        <v>59</v>
      </c>
      <c r="E552" s="1">
        <v>45165</v>
      </c>
      <c r="F552" s="1">
        <v>45167</v>
      </c>
      <c r="G552">
        <v>21.4</v>
      </c>
      <c r="H552">
        <v>109.1</v>
      </c>
      <c r="I552" t="s">
        <v>15</v>
      </c>
      <c r="J552">
        <v>838</v>
      </c>
      <c r="K552">
        <v>2</v>
      </c>
      <c r="L552" t="str">
        <f>IF(logistics_data[[#This Row],[Delivery_Date]]="","In Transit",
 IF(logistics_data[[#This Row],[Status]]="Lost","Lost",
 IF(logistics_data[[#This Row],[Status]]="Returned","Returned",
 IF(logistics_data[[#This Row],[Status]]="Delayed","Delayed",
 "Delivered"))))</f>
        <v>Delivered</v>
      </c>
      <c r="M552" s="2">
        <f>logistics_data[[#This Row],[Cost]]/logistics_data[[#This Row],[Distance_miles]]</f>
        <v>0.1301909307875895</v>
      </c>
      <c r="N552" t="str">
        <f>IF(logistics_data[[#This Row],[Orginal staus of shipment]]&lt;&gt;"Delivered","not applicabel", IF(logistics_data[[#This Row],[Transit_Days]]&gt;=5,"slow","fast"))</f>
        <v>fast</v>
      </c>
    </row>
    <row r="553" spans="1:14" x14ac:dyDescent="0.3">
      <c r="A553" t="s">
        <v>599</v>
      </c>
      <c r="B553" t="s">
        <v>56</v>
      </c>
      <c r="C553" t="s">
        <v>40</v>
      </c>
      <c r="D553" t="s">
        <v>32</v>
      </c>
      <c r="E553" s="1">
        <v>45058</v>
      </c>
      <c r="F553" s="1">
        <v>45062</v>
      </c>
      <c r="G553">
        <v>20.3</v>
      </c>
      <c r="H553">
        <v>228.9</v>
      </c>
      <c r="I553" t="s">
        <v>15</v>
      </c>
      <c r="J553">
        <v>1383</v>
      </c>
      <c r="K553">
        <v>4</v>
      </c>
      <c r="L553" t="str">
        <f>IF(logistics_data[[#This Row],[Delivery_Date]]="","In Transit",
 IF(logistics_data[[#This Row],[Status]]="Lost","Lost",
 IF(logistics_data[[#This Row],[Status]]="Returned","Returned",
 IF(logistics_data[[#This Row],[Status]]="Delayed","Delayed",
 "Delivered"))))</f>
        <v>Delivered</v>
      </c>
      <c r="M553" s="2">
        <f>logistics_data[[#This Row],[Cost]]/logistics_data[[#This Row],[Distance_miles]]</f>
        <v>0.16550976138828633</v>
      </c>
      <c r="N553" t="str">
        <f>IF(logistics_data[[#This Row],[Orginal staus of shipment]]&lt;&gt;"Delivered","not applicabel", IF(logistics_data[[#This Row],[Transit_Days]]&gt;=5,"slow","fast"))</f>
        <v>fast</v>
      </c>
    </row>
    <row r="554" spans="1:14" x14ac:dyDescent="0.3">
      <c r="A554" t="s">
        <v>600</v>
      </c>
      <c r="B554" t="s">
        <v>12</v>
      </c>
      <c r="C554" t="s">
        <v>31</v>
      </c>
      <c r="D554" t="s">
        <v>14</v>
      </c>
      <c r="E554" s="1">
        <v>45054</v>
      </c>
      <c r="F554" s="1">
        <v>45057</v>
      </c>
      <c r="G554">
        <v>12.6</v>
      </c>
      <c r="H554">
        <v>32.18</v>
      </c>
      <c r="I554" t="s">
        <v>15</v>
      </c>
      <c r="J554">
        <v>121</v>
      </c>
      <c r="K554">
        <v>3</v>
      </c>
      <c r="L554" t="str">
        <f>IF(logistics_data[[#This Row],[Delivery_Date]]="","In Transit",
 IF(logistics_data[[#This Row],[Status]]="Lost","Lost",
 IF(logistics_data[[#This Row],[Status]]="Returned","Returned",
 IF(logistics_data[[#This Row],[Status]]="Delayed","Delayed",
 "Delivered"))))</f>
        <v>Delivered</v>
      </c>
      <c r="M554" s="2">
        <f>logistics_data[[#This Row],[Cost]]/logistics_data[[#This Row],[Distance_miles]]</f>
        <v>0.2659504132231405</v>
      </c>
      <c r="N554" t="str">
        <f>IF(logistics_data[[#This Row],[Orginal staus of shipment]]&lt;&gt;"Delivered","not applicabel", IF(logistics_data[[#This Row],[Transit_Days]]&gt;=5,"slow","fast"))</f>
        <v>fast</v>
      </c>
    </row>
    <row r="555" spans="1:14" x14ac:dyDescent="0.3">
      <c r="A555" t="s">
        <v>601</v>
      </c>
      <c r="B555" t="s">
        <v>56</v>
      </c>
      <c r="C555" t="s">
        <v>17</v>
      </c>
      <c r="D555" t="s">
        <v>18</v>
      </c>
      <c r="E555" s="1">
        <v>45251</v>
      </c>
      <c r="F555" s="1">
        <v>45260</v>
      </c>
      <c r="G555">
        <v>17.5</v>
      </c>
      <c r="H555">
        <v>402.56</v>
      </c>
      <c r="I555" t="s">
        <v>15</v>
      </c>
      <c r="J555">
        <v>2146</v>
      </c>
      <c r="K555">
        <v>9</v>
      </c>
      <c r="L555" t="str">
        <f>IF(logistics_data[[#This Row],[Delivery_Date]]="","In Transit",
 IF(logistics_data[[#This Row],[Status]]="Lost","Lost",
 IF(logistics_data[[#This Row],[Status]]="Returned","Returned",
 IF(logistics_data[[#This Row],[Status]]="Delayed","Delayed",
 "Delivered"))))</f>
        <v>Delivered</v>
      </c>
      <c r="M555" s="2">
        <f>logistics_data[[#This Row],[Cost]]/logistics_data[[#This Row],[Distance_miles]]</f>
        <v>0.18758620689655173</v>
      </c>
      <c r="N555" t="str">
        <f>IF(logistics_data[[#This Row],[Orginal staus of shipment]]&lt;&gt;"Delivered","not applicabel", IF(logistics_data[[#This Row],[Transit_Days]]&gt;=5,"slow","fast"))</f>
        <v>slow</v>
      </c>
    </row>
    <row r="556" spans="1:14" x14ac:dyDescent="0.3">
      <c r="A556" t="s">
        <v>602</v>
      </c>
      <c r="B556" t="s">
        <v>20</v>
      </c>
      <c r="C556" t="s">
        <v>46</v>
      </c>
      <c r="D556" t="s">
        <v>42</v>
      </c>
      <c r="E556" s="1">
        <v>45257</v>
      </c>
      <c r="F556" s="1">
        <v>45258</v>
      </c>
      <c r="G556">
        <v>33</v>
      </c>
      <c r="H556">
        <v>73.97</v>
      </c>
      <c r="I556" t="s">
        <v>15</v>
      </c>
      <c r="J556">
        <v>223</v>
      </c>
      <c r="K556">
        <v>1</v>
      </c>
      <c r="L556" t="str">
        <f>IF(logistics_data[[#This Row],[Delivery_Date]]="","In Transit",
 IF(logistics_data[[#This Row],[Status]]="Lost","Lost",
 IF(logistics_data[[#This Row],[Status]]="Returned","Returned",
 IF(logistics_data[[#This Row],[Status]]="Delayed","Delayed",
 "Delivered"))))</f>
        <v>Delivered</v>
      </c>
      <c r="M556" s="2">
        <f>logistics_data[[#This Row],[Cost]]/logistics_data[[#This Row],[Distance_miles]]</f>
        <v>0.33170403587443947</v>
      </c>
      <c r="N556" t="str">
        <f>IF(logistics_data[[#This Row],[Orginal staus of shipment]]&lt;&gt;"Delivered","not applicabel", IF(logistics_data[[#This Row],[Transit_Days]]&gt;=5,"slow","fast"))</f>
        <v>fast</v>
      </c>
    </row>
    <row r="557" spans="1:14" x14ac:dyDescent="0.3">
      <c r="A557" t="s">
        <v>603</v>
      </c>
      <c r="B557" t="s">
        <v>12</v>
      </c>
      <c r="C557" t="s">
        <v>46</v>
      </c>
      <c r="D557" t="s">
        <v>59</v>
      </c>
      <c r="E557" s="1">
        <v>45122</v>
      </c>
      <c r="F557" s="1">
        <v>45125</v>
      </c>
      <c r="G557">
        <v>69.3</v>
      </c>
      <c r="H557">
        <v>244.01</v>
      </c>
      <c r="I557" t="s">
        <v>62</v>
      </c>
      <c r="J557">
        <v>1337</v>
      </c>
      <c r="K557">
        <v>3</v>
      </c>
      <c r="L557" t="str">
        <f>IF(logistics_data[[#This Row],[Delivery_Date]]="","In Transit",
 IF(logistics_data[[#This Row],[Status]]="Lost","Lost",
 IF(logistics_data[[#This Row],[Status]]="Returned","Returned",
 IF(logistics_data[[#This Row],[Status]]="Delayed","Delayed",
 "Delivered"))))</f>
        <v>Delivered</v>
      </c>
      <c r="M557" s="2">
        <f>logistics_data[[#This Row],[Cost]]/logistics_data[[#This Row],[Distance_miles]]</f>
        <v>0.1825056095736724</v>
      </c>
      <c r="N557" t="str">
        <f>IF(logistics_data[[#This Row],[Orginal staus of shipment]]&lt;&gt;"Delivered","not applicabel", IF(logistics_data[[#This Row],[Transit_Days]]&gt;=5,"slow","fast"))</f>
        <v>fast</v>
      </c>
    </row>
    <row r="558" spans="1:14" x14ac:dyDescent="0.3">
      <c r="A558" t="s">
        <v>604</v>
      </c>
      <c r="B558" t="s">
        <v>39</v>
      </c>
      <c r="C558" t="s">
        <v>57</v>
      </c>
      <c r="D558" t="s">
        <v>18</v>
      </c>
      <c r="E558" s="1">
        <v>45184</v>
      </c>
      <c r="F558" s="1">
        <v>45189</v>
      </c>
      <c r="G558">
        <v>10.8</v>
      </c>
      <c r="H558">
        <v>200.6</v>
      </c>
      <c r="I558" t="s">
        <v>15</v>
      </c>
      <c r="J558">
        <v>1255</v>
      </c>
      <c r="K558">
        <v>5</v>
      </c>
      <c r="L558" t="str">
        <f>IF(logistics_data[[#This Row],[Delivery_Date]]="","In Transit",
 IF(logistics_data[[#This Row],[Status]]="Lost","Lost",
 IF(logistics_data[[#This Row],[Status]]="Returned","Returned",
 IF(logistics_data[[#This Row],[Status]]="Delayed","Delayed",
 "Delivered"))))</f>
        <v>Delivered</v>
      </c>
      <c r="M558" s="2">
        <f>logistics_data[[#This Row],[Cost]]/logistics_data[[#This Row],[Distance_miles]]</f>
        <v>0.15984063745019919</v>
      </c>
      <c r="N558" t="str">
        <f>IF(logistics_data[[#This Row],[Orginal staus of shipment]]&lt;&gt;"Delivered","not applicabel", IF(logistics_data[[#This Row],[Transit_Days]]&gt;=5,"slow","fast"))</f>
        <v>slow</v>
      </c>
    </row>
    <row r="559" spans="1:14" x14ac:dyDescent="0.3">
      <c r="A559" t="s">
        <v>605</v>
      </c>
      <c r="B559" t="s">
        <v>23</v>
      </c>
      <c r="C559" t="s">
        <v>52</v>
      </c>
      <c r="D559" t="s">
        <v>59</v>
      </c>
      <c r="E559" s="1">
        <v>45159</v>
      </c>
      <c r="F559" s="1">
        <v>45163</v>
      </c>
      <c r="G559">
        <v>12.9</v>
      </c>
      <c r="H559">
        <v>101.44</v>
      </c>
      <c r="I559" t="s">
        <v>62</v>
      </c>
      <c r="J559">
        <v>825</v>
      </c>
      <c r="K559">
        <v>4</v>
      </c>
      <c r="L559" t="str">
        <f>IF(logistics_data[[#This Row],[Delivery_Date]]="","In Transit",
 IF(logistics_data[[#This Row],[Status]]="Lost","Lost",
 IF(logistics_data[[#This Row],[Status]]="Returned","Returned",
 IF(logistics_data[[#This Row],[Status]]="Delayed","Delayed",
 "Delivered"))))</f>
        <v>Delivered</v>
      </c>
      <c r="M559" s="2">
        <f>logistics_data[[#This Row],[Cost]]/logistics_data[[#This Row],[Distance_miles]]</f>
        <v>0.12295757575757575</v>
      </c>
      <c r="N559" t="str">
        <f>IF(logistics_data[[#This Row],[Orginal staus of shipment]]&lt;&gt;"Delivered","not applicabel", IF(logistics_data[[#This Row],[Transit_Days]]&gt;=5,"slow","fast"))</f>
        <v>fast</v>
      </c>
    </row>
    <row r="560" spans="1:14" x14ac:dyDescent="0.3">
      <c r="A560" t="s">
        <v>606</v>
      </c>
      <c r="B560" t="s">
        <v>27</v>
      </c>
      <c r="C560" t="s">
        <v>57</v>
      </c>
      <c r="D560" t="s">
        <v>59</v>
      </c>
      <c r="E560" s="1">
        <v>45179</v>
      </c>
      <c r="F560" s="1">
        <v>45183</v>
      </c>
      <c r="G560">
        <v>23.6</v>
      </c>
      <c r="H560">
        <v>229.43</v>
      </c>
      <c r="I560" t="s">
        <v>15</v>
      </c>
      <c r="J560">
        <v>1852</v>
      </c>
      <c r="K560">
        <v>4</v>
      </c>
      <c r="L560" t="str">
        <f>IF(logistics_data[[#This Row],[Delivery_Date]]="","In Transit",
 IF(logistics_data[[#This Row],[Status]]="Lost","Lost",
 IF(logistics_data[[#This Row],[Status]]="Returned","Returned",
 IF(logistics_data[[#This Row],[Status]]="Delayed","Delayed",
 "Delivered"))))</f>
        <v>Delivered</v>
      </c>
      <c r="M560" s="2">
        <f>logistics_data[[#This Row],[Cost]]/logistics_data[[#This Row],[Distance_miles]]</f>
        <v>0.12388228941684666</v>
      </c>
      <c r="N560" t="str">
        <f>IF(logistics_data[[#This Row],[Orginal staus of shipment]]&lt;&gt;"Delivered","not applicabel", IF(logistics_data[[#This Row],[Transit_Days]]&gt;=5,"slow","fast"))</f>
        <v>fast</v>
      </c>
    </row>
    <row r="561" spans="1:14" x14ac:dyDescent="0.3">
      <c r="A561" t="s">
        <v>607</v>
      </c>
      <c r="B561" t="s">
        <v>27</v>
      </c>
      <c r="C561" t="s">
        <v>28</v>
      </c>
      <c r="D561" t="s">
        <v>32</v>
      </c>
      <c r="E561" s="1">
        <v>45281</v>
      </c>
      <c r="F561" s="1">
        <v>45285</v>
      </c>
      <c r="G561">
        <v>41</v>
      </c>
      <c r="H561">
        <v>324.91000000000003</v>
      </c>
      <c r="I561" t="s">
        <v>67</v>
      </c>
      <c r="J561">
        <v>1764</v>
      </c>
      <c r="K561">
        <v>4</v>
      </c>
      <c r="L561" t="str">
        <f>IF(logistics_data[[#This Row],[Delivery_Date]]="","In Transit",
 IF(logistics_data[[#This Row],[Status]]="Lost","Lost",
 IF(logistics_data[[#This Row],[Status]]="Returned","Returned",
 IF(logistics_data[[#This Row],[Status]]="Delayed","Delayed",
 "Delivered"))))</f>
        <v>Returned</v>
      </c>
      <c r="M561" s="2">
        <f>logistics_data[[#This Row],[Cost]]/logistics_data[[#This Row],[Distance_miles]]</f>
        <v>0.18418934240362814</v>
      </c>
      <c r="N561" t="str">
        <f>IF(logistics_data[[#This Row],[Orginal staus of shipment]]&lt;&gt;"Delivered","not applicabel", IF(logistics_data[[#This Row],[Transit_Days]]&gt;=5,"slow","fast"))</f>
        <v>not applicabel</v>
      </c>
    </row>
    <row r="562" spans="1:14" x14ac:dyDescent="0.3">
      <c r="A562" t="s">
        <v>608</v>
      </c>
      <c r="B562" t="s">
        <v>12</v>
      </c>
      <c r="C562" t="s">
        <v>52</v>
      </c>
      <c r="D562" t="s">
        <v>37</v>
      </c>
      <c r="E562" s="1">
        <v>45123</v>
      </c>
      <c r="F562" s="1">
        <v>45126</v>
      </c>
      <c r="G562">
        <v>19.5</v>
      </c>
      <c r="H562">
        <v>114.24</v>
      </c>
      <c r="I562" t="s">
        <v>15</v>
      </c>
      <c r="J562">
        <v>713</v>
      </c>
      <c r="K562">
        <v>3</v>
      </c>
      <c r="L562" t="str">
        <f>IF(logistics_data[[#This Row],[Delivery_Date]]="","In Transit",
 IF(logistics_data[[#This Row],[Status]]="Lost","Lost",
 IF(logistics_data[[#This Row],[Status]]="Returned","Returned",
 IF(logistics_data[[#This Row],[Status]]="Delayed","Delayed",
 "Delivered"))))</f>
        <v>Delivered</v>
      </c>
      <c r="M562" s="2">
        <f>logistics_data[[#This Row],[Cost]]/logistics_data[[#This Row],[Distance_miles]]</f>
        <v>0.16022440392706871</v>
      </c>
      <c r="N562" t="str">
        <f>IF(logistics_data[[#This Row],[Orginal staus of shipment]]&lt;&gt;"Delivered","not applicabel", IF(logistics_data[[#This Row],[Transit_Days]]&gt;=5,"slow","fast"))</f>
        <v>fast</v>
      </c>
    </row>
    <row r="563" spans="1:14" x14ac:dyDescent="0.3">
      <c r="A563" t="s">
        <v>609</v>
      </c>
      <c r="B563" t="s">
        <v>20</v>
      </c>
      <c r="C563" t="s">
        <v>44</v>
      </c>
      <c r="D563" t="s">
        <v>14</v>
      </c>
      <c r="E563" s="1">
        <v>45009</v>
      </c>
      <c r="F563" s="1">
        <v>45014</v>
      </c>
      <c r="G563">
        <v>17.8</v>
      </c>
      <c r="H563">
        <v>235.64</v>
      </c>
      <c r="I563" t="s">
        <v>15</v>
      </c>
      <c r="J563">
        <v>1898</v>
      </c>
      <c r="K563">
        <v>5</v>
      </c>
      <c r="L563" t="str">
        <f>IF(logistics_data[[#This Row],[Delivery_Date]]="","In Transit",
 IF(logistics_data[[#This Row],[Status]]="Lost","Lost",
 IF(logistics_data[[#This Row],[Status]]="Returned","Returned",
 IF(logistics_data[[#This Row],[Status]]="Delayed","Delayed",
 "Delivered"))))</f>
        <v>Delivered</v>
      </c>
      <c r="M563" s="2">
        <f>logistics_data[[#This Row],[Cost]]/logistics_data[[#This Row],[Distance_miles]]</f>
        <v>0.12415173867228661</v>
      </c>
      <c r="N563" t="str">
        <f>IF(logistics_data[[#This Row],[Orginal staus of shipment]]&lt;&gt;"Delivered","not applicabel", IF(logistics_data[[#This Row],[Transit_Days]]&gt;=5,"slow","fast"))</f>
        <v>slow</v>
      </c>
    </row>
    <row r="564" spans="1:14" x14ac:dyDescent="0.3">
      <c r="A564" t="s">
        <v>610</v>
      </c>
      <c r="B564" t="s">
        <v>35</v>
      </c>
      <c r="C564" t="s">
        <v>13</v>
      </c>
      <c r="D564" t="s">
        <v>42</v>
      </c>
      <c r="E564" s="1">
        <v>44981</v>
      </c>
      <c r="F564" s="1">
        <v>44984</v>
      </c>
      <c r="G564">
        <v>67.5</v>
      </c>
      <c r="H564">
        <v>220.77</v>
      </c>
      <c r="I564" t="s">
        <v>15</v>
      </c>
      <c r="J564">
        <v>1083</v>
      </c>
      <c r="K564">
        <v>3</v>
      </c>
      <c r="L564" t="str">
        <f>IF(logistics_data[[#This Row],[Delivery_Date]]="","In Transit",
 IF(logistics_data[[#This Row],[Status]]="Lost","Lost",
 IF(logistics_data[[#This Row],[Status]]="Returned","Returned",
 IF(logistics_data[[#This Row],[Status]]="Delayed","Delayed",
 "Delivered"))))</f>
        <v>Delivered</v>
      </c>
      <c r="M564" s="2">
        <f>logistics_data[[#This Row],[Cost]]/logistics_data[[#This Row],[Distance_miles]]</f>
        <v>0.20385041551246538</v>
      </c>
      <c r="N564" t="str">
        <f>IF(logistics_data[[#This Row],[Orginal staus of shipment]]&lt;&gt;"Delivered","not applicabel", IF(logistics_data[[#This Row],[Transit_Days]]&gt;=5,"slow","fast"))</f>
        <v>fast</v>
      </c>
    </row>
    <row r="565" spans="1:14" x14ac:dyDescent="0.3">
      <c r="A565" t="s">
        <v>611</v>
      </c>
      <c r="B565" t="s">
        <v>56</v>
      </c>
      <c r="C565" t="s">
        <v>36</v>
      </c>
      <c r="D565" t="s">
        <v>32</v>
      </c>
      <c r="E565" s="1">
        <v>45269</v>
      </c>
      <c r="F565" s="1">
        <v>45273</v>
      </c>
      <c r="G565">
        <v>17.7</v>
      </c>
      <c r="H565">
        <v>320.45</v>
      </c>
      <c r="I565" t="s">
        <v>15</v>
      </c>
      <c r="J565">
        <v>1681</v>
      </c>
      <c r="K565">
        <v>4</v>
      </c>
      <c r="L565" t="str">
        <f>IF(logistics_data[[#This Row],[Delivery_Date]]="","In Transit",
 IF(logistics_data[[#This Row],[Status]]="Lost","Lost",
 IF(logistics_data[[#This Row],[Status]]="Returned","Returned",
 IF(logistics_data[[#This Row],[Status]]="Delayed","Delayed",
 "Delivered"))))</f>
        <v>Delivered</v>
      </c>
      <c r="M565" s="2">
        <f>logistics_data[[#This Row],[Cost]]/logistics_data[[#This Row],[Distance_miles]]</f>
        <v>0.19063057703747768</v>
      </c>
      <c r="N565" t="str">
        <f>IF(logistics_data[[#This Row],[Orginal staus of shipment]]&lt;&gt;"Delivered","not applicabel", IF(logistics_data[[#This Row],[Transit_Days]]&gt;=5,"slow","fast"))</f>
        <v>fast</v>
      </c>
    </row>
    <row r="566" spans="1:14" x14ac:dyDescent="0.3">
      <c r="A566" t="s">
        <v>612</v>
      </c>
      <c r="B566" t="s">
        <v>30</v>
      </c>
      <c r="C566" t="s">
        <v>54</v>
      </c>
      <c r="D566" t="s">
        <v>59</v>
      </c>
      <c r="E566" s="1">
        <v>45249</v>
      </c>
      <c r="F566" s="1">
        <v>45252</v>
      </c>
      <c r="G566">
        <v>23.2</v>
      </c>
      <c r="H566">
        <v>208.01</v>
      </c>
      <c r="I566" t="s">
        <v>15</v>
      </c>
      <c r="J566">
        <v>1256</v>
      </c>
      <c r="K566">
        <v>3</v>
      </c>
      <c r="L566" t="str">
        <f>IF(logistics_data[[#This Row],[Delivery_Date]]="","In Transit",
 IF(logistics_data[[#This Row],[Status]]="Lost","Lost",
 IF(logistics_data[[#This Row],[Status]]="Returned","Returned",
 IF(logistics_data[[#This Row],[Status]]="Delayed","Delayed",
 "Delivered"))))</f>
        <v>Delivered</v>
      </c>
      <c r="M566" s="2">
        <f>logistics_data[[#This Row],[Cost]]/logistics_data[[#This Row],[Distance_miles]]</f>
        <v>0.16561305732484075</v>
      </c>
      <c r="N566" t="str">
        <f>IF(logistics_data[[#This Row],[Orginal staus of shipment]]&lt;&gt;"Delivered","not applicabel", IF(logistics_data[[#This Row],[Transit_Days]]&gt;=5,"slow","fast"))</f>
        <v>fast</v>
      </c>
    </row>
    <row r="567" spans="1:14" x14ac:dyDescent="0.3">
      <c r="A567" t="s">
        <v>613</v>
      </c>
      <c r="B567" t="s">
        <v>23</v>
      </c>
      <c r="C567" t="s">
        <v>70</v>
      </c>
      <c r="D567" t="s">
        <v>14</v>
      </c>
      <c r="E567" s="1">
        <v>45092</v>
      </c>
      <c r="F567" s="1">
        <v>45099</v>
      </c>
      <c r="G567">
        <v>17.2</v>
      </c>
      <c r="H567">
        <v>251.79</v>
      </c>
      <c r="I567" t="s">
        <v>15</v>
      </c>
      <c r="J567">
        <v>1984</v>
      </c>
      <c r="K567">
        <v>7</v>
      </c>
      <c r="L567" t="str">
        <f>IF(logistics_data[[#This Row],[Delivery_Date]]="","In Transit",
 IF(logistics_data[[#This Row],[Status]]="Lost","Lost",
 IF(logistics_data[[#This Row],[Status]]="Returned","Returned",
 IF(logistics_data[[#This Row],[Status]]="Delayed","Delayed",
 "Delivered"))))</f>
        <v>Delivered</v>
      </c>
      <c r="M567" s="2">
        <f>logistics_data[[#This Row],[Cost]]/logistics_data[[#This Row],[Distance_miles]]</f>
        <v>0.1269102822580645</v>
      </c>
      <c r="N567" t="str">
        <f>IF(logistics_data[[#This Row],[Orginal staus of shipment]]&lt;&gt;"Delivered","not applicabel", IF(logistics_data[[#This Row],[Transit_Days]]&gt;=5,"slow","fast"))</f>
        <v>slow</v>
      </c>
    </row>
    <row r="568" spans="1:14" x14ac:dyDescent="0.3">
      <c r="A568" t="s">
        <v>614</v>
      </c>
      <c r="B568" t="s">
        <v>12</v>
      </c>
      <c r="C568" t="s">
        <v>52</v>
      </c>
      <c r="D568" t="s">
        <v>59</v>
      </c>
      <c r="E568" s="1">
        <v>45259</v>
      </c>
      <c r="F568" s="1">
        <v>45267</v>
      </c>
      <c r="G568">
        <v>61.6</v>
      </c>
      <c r="H568">
        <v>384.1</v>
      </c>
      <c r="I568" t="s">
        <v>15</v>
      </c>
      <c r="J568">
        <v>2445</v>
      </c>
      <c r="K568">
        <v>8</v>
      </c>
      <c r="L568" t="str">
        <f>IF(logistics_data[[#This Row],[Delivery_Date]]="","In Transit",
 IF(logistics_data[[#This Row],[Status]]="Lost","Lost",
 IF(logistics_data[[#This Row],[Status]]="Returned","Returned",
 IF(logistics_data[[#This Row],[Status]]="Delayed","Delayed",
 "Delivered"))))</f>
        <v>Delivered</v>
      </c>
      <c r="M568" s="2">
        <f>logistics_data[[#This Row],[Cost]]/logistics_data[[#This Row],[Distance_miles]]</f>
        <v>0.1570961145194274</v>
      </c>
      <c r="N568" t="str">
        <f>IF(logistics_data[[#This Row],[Orginal staus of shipment]]&lt;&gt;"Delivered","not applicabel", IF(logistics_data[[#This Row],[Transit_Days]]&gt;=5,"slow","fast"))</f>
        <v>slow</v>
      </c>
    </row>
    <row r="569" spans="1:14" x14ac:dyDescent="0.3">
      <c r="A569" t="s">
        <v>615</v>
      </c>
      <c r="B569" t="s">
        <v>35</v>
      </c>
      <c r="C569" t="s">
        <v>54</v>
      </c>
      <c r="D569" t="s">
        <v>25</v>
      </c>
      <c r="E569" s="1">
        <v>45120</v>
      </c>
      <c r="F569" s="1">
        <v>45124</v>
      </c>
      <c r="G569">
        <v>25.3</v>
      </c>
      <c r="H569">
        <v>191.72</v>
      </c>
      <c r="I569" t="s">
        <v>15</v>
      </c>
      <c r="J569">
        <v>1350</v>
      </c>
      <c r="K569">
        <v>4</v>
      </c>
      <c r="L569" t="str">
        <f>IF(logistics_data[[#This Row],[Delivery_Date]]="","In Transit",
 IF(logistics_data[[#This Row],[Status]]="Lost","Lost",
 IF(logistics_data[[#This Row],[Status]]="Returned","Returned",
 IF(logistics_data[[#This Row],[Status]]="Delayed","Delayed",
 "Delivered"))))</f>
        <v>Delivered</v>
      </c>
      <c r="M569" s="2">
        <f>logistics_data[[#This Row],[Cost]]/logistics_data[[#This Row],[Distance_miles]]</f>
        <v>0.14201481481481482</v>
      </c>
      <c r="N569" t="str">
        <f>IF(logistics_data[[#This Row],[Orginal staus of shipment]]&lt;&gt;"Delivered","not applicabel", IF(logistics_data[[#This Row],[Transit_Days]]&gt;=5,"slow","fast"))</f>
        <v>fast</v>
      </c>
    </row>
    <row r="570" spans="1:14" x14ac:dyDescent="0.3">
      <c r="A570" t="s">
        <v>616</v>
      </c>
      <c r="B570" t="s">
        <v>20</v>
      </c>
      <c r="C570" t="s">
        <v>21</v>
      </c>
      <c r="D570" t="s">
        <v>42</v>
      </c>
      <c r="E570" s="1">
        <v>44998</v>
      </c>
      <c r="F570" s="1">
        <v>45008</v>
      </c>
      <c r="G570">
        <v>45.8</v>
      </c>
      <c r="H570">
        <v>313.91000000000003</v>
      </c>
      <c r="I570" t="s">
        <v>47</v>
      </c>
      <c r="J570">
        <v>2318</v>
      </c>
      <c r="K570">
        <v>7</v>
      </c>
      <c r="L570" t="str">
        <f>IF(logistics_data[[#This Row],[Delivery_Date]]="","In Transit",
 IF(logistics_data[[#This Row],[Status]]="Lost","Lost",
 IF(logistics_data[[#This Row],[Status]]="Returned","Returned",
 IF(logistics_data[[#This Row],[Status]]="Delayed","Delayed",
 "Delivered"))))</f>
        <v>Delayed</v>
      </c>
      <c r="M570" s="2">
        <f>logistics_data[[#This Row],[Cost]]/logistics_data[[#This Row],[Distance_miles]]</f>
        <v>0.13542277825711821</v>
      </c>
      <c r="N570" t="str">
        <f>IF(logistics_data[[#This Row],[Orginal staus of shipment]]&lt;&gt;"Delivered","not applicabel", IF(logistics_data[[#This Row],[Transit_Days]]&gt;=5,"slow","fast"))</f>
        <v>not applicabel</v>
      </c>
    </row>
    <row r="571" spans="1:14" x14ac:dyDescent="0.3">
      <c r="A571" t="s">
        <v>617</v>
      </c>
      <c r="B571" t="s">
        <v>20</v>
      </c>
      <c r="C571" t="s">
        <v>54</v>
      </c>
      <c r="D571" t="s">
        <v>25</v>
      </c>
      <c r="E571" s="1">
        <v>45035</v>
      </c>
      <c r="F571" s="1">
        <v>45042</v>
      </c>
      <c r="G571">
        <v>28.4</v>
      </c>
      <c r="H571">
        <v>304.14999999999998</v>
      </c>
      <c r="I571" t="s">
        <v>15</v>
      </c>
      <c r="J571">
        <v>2243</v>
      </c>
      <c r="K571">
        <v>7</v>
      </c>
      <c r="L571" t="str">
        <f>IF(logistics_data[[#This Row],[Delivery_Date]]="","In Transit",
 IF(logistics_data[[#This Row],[Status]]="Lost","Lost",
 IF(logistics_data[[#This Row],[Status]]="Returned","Returned",
 IF(logistics_data[[#This Row],[Status]]="Delayed","Delayed",
 "Delivered"))))</f>
        <v>Delivered</v>
      </c>
      <c r="M571" s="2">
        <f>logistics_data[[#This Row],[Cost]]/logistics_data[[#This Row],[Distance_miles]]</f>
        <v>0.13559964333481944</v>
      </c>
      <c r="N571" t="str">
        <f>IF(logistics_data[[#This Row],[Orginal staus of shipment]]&lt;&gt;"Delivered","not applicabel", IF(logistics_data[[#This Row],[Transit_Days]]&gt;=5,"slow","fast"))</f>
        <v>slow</v>
      </c>
    </row>
    <row r="572" spans="1:14" x14ac:dyDescent="0.3">
      <c r="A572" t="s">
        <v>618</v>
      </c>
      <c r="B572" t="s">
        <v>12</v>
      </c>
      <c r="C572" t="s">
        <v>44</v>
      </c>
      <c r="D572" t="s">
        <v>14</v>
      </c>
      <c r="E572" s="1">
        <v>45131</v>
      </c>
      <c r="F572" s="1">
        <v>45138</v>
      </c>
      <c r="G572">
        <v>31.7</v>
      </c>
      <c r="H572">
        <v>333.27</v>
      </c>
      <c r="I572" t="s">
        <v>15</v>
      </c>
      <c r="J572">
        <v>2201</v>
      </c>
      <c r="K572">
        <v>7</v>
      </c>
      <c r="L572" t="str">
        <f>IF(logistics_data[[#This Row],[Delivery_Date]]="","In Transit",
 IF(logistics_data[[#This Row],[Status]]="Lost","Lost",
 IF(logistics_data[[#This Row],[Status]]="Returned","Returned",
 IF(logistics_data[[#This Row],[Status]]="Delayed","Delayed",
 "Delivered"))))</f>
        <v>Delivered</v>
      </c>
      <c r="M572" s="2">
        <f>logistics_data[[#This Row],[Cost]]/logistics_data[[#This Row],[Distance_miles]]</f>
        <v>0.15141753748296227</v>
      </c>
      <c r="N572" t="str">
        <f>IF(logistics_data[[#This Row],[Orginal staus of shipment]]&lt;&gt;"Delivered","not applicabel", IF(logistics_data[[#This Row],[Transit_Days]]&gt;=5,"slow","fast"))</f>
        <v>slow</v>
      </c>
    </row>
    <row r="573" spans="1:14" x14ac:dyDescent="0.3">
      <c r="A573" t="s">
        <v>619</v>
      </c>
      <c r="B573" t="s">
        <v>12</v>
      </c>
      <c r="C573" t="s">
        <v>46</v>
      </c>
      <c r="D573" t="s">
        <v>18</v>
      </c>
      <c r="E573" s="1">
        <v>45045</v>
      </c>
      <c r="F573" s="1">
        <v>45052</v>
      </c>
      <c r="G573">
        <v>33.700000000000003</v>
      </c>
      <c r="H573">
        <v>363.72</v>
      </c>
      <c r="I573" t="s">
        <v>15</v>
      </c>
      <c r="J573">
        <v>2255</v>
      </c>
      <c r="K573">
        <v>7</v>
      </c>
      <c r="L573" t="str">
        <f>IF(logistics_data[[#This Row],[Delivery_Date]]="","In Transit",
 IF(logistics_data[[#This Row],[Status]]="Lost","Lost",
 IF(logistics_data[[#This Row],[Status]]="Returned","Returned",
 IF(logistics_data[[#This Row],[Status]]="Delayed","Delayed",
 "Delivered"))))</f>
        <v>Delivered</v>
      </c>
      <c r="M573" s="2">
        <f>logistics_data[[#This Row],[Cost]]/logistics_data[[#This Row],[Distance_miles]]</f>
        <v>0.16129490022172951</v>
      </c>
      <c r="N573" t="str">
        <f>IF(logistics_data[[#This Row],[Orginal staus of shipment]]&lt;&gt;"Delivered","not applicabel", IF(logistics_data[[#This Row],[Transit_Days]]&gt;=5,"slow","fast"))</f>
        <v>slow</v>
      </c>
    </row>
    <row r="574" spans="1:14" x14ac:dyDescent="0.3">
      <c r="A574" t="s">
        <v>620</v>
      </c>
      <c r="B574" t="s">
        <v>27</v>
      </c>
      <c r="C574" t="s">
        <v>17</v>
      </c>
      <c r="D574" t="s">
        <v>14</v>
      </c>
      <c r="E574" s="1">
        <v>45059</v>
      </c>
      <c r="F574" s="1">
        <v>45068</v>
      </c>
      <c r="G574">
        <v>58.4</v>
      </c>
      <c r="H574">
        <v>196.37</v>
      </c>
      <c r="I574" t="s">
        <v>15</v>
      </c>
      <c r="J574">
        <v>962</v>
      </c>
      <c r="K574">
        <v>9</v>
      </c>
      <c r="L574" t="str">
        <f>IF(logistics_data[[#This Row],[Delivery_Date]]="","In Transit",
 IF(logistics_data[[#This Row],[Status]]="Lost","Lost",
 IF(logistics_data[[#This Row],[Status]]="Returned","Returned",
 IF(logistics_data[[#This Row],[Status]]="Delayed","Delayed",
 "Delivered"))))</f>
        <v>Delivered</v>
      </c>
      <c r="M574" s="2">
        <f>logistics_data[[#This Row],[Cost]]/logistics_data[[#This Row],[Distance_miles]]</f>
        <v>0.20412681912681913</v>
      </c>
      <c r="N574" t="str">
        <f>IF(logistics_data[[#This Row],[Orginal staus of shipment]]&lt;&gt;"Delivered","not applicabel", IF(logistics_data[[#This Row],[Transit_Days]]&gt;=5,"slow","fast"))</f>
        <v>slow</v>
      </c>
    </row>
    <row r="575" spans="1:14" x14ac:dyDescent="0.3">
      <c r="A575" t="s">
        <v>621</v>
      </c>
      <c r="B575" t="s">
        <v>27</v>
      </c>
      <c r="C575" t="s">
        <v>54</v>
      </c>
      <c r="D575" t="s">
        <v>42</v>
      </c>
      <c r="E575" s="1">
        <v>45107</v>
      </c>
      <c r="F575" s="1">
        <v>45111</v>
      </c>
      <c r="G575">
        <v>28.7</v>
      </c>
      <c r="H575">
        <v>255.28</v>
      </c>
      <c r="I575" t="s">
        <v>62</v>
      </c>
      <c r="J575">
        <v>1681</v>
      </c>
      <c r="K575">
        <v>4</v>
      </c>
      <c r="L575" t="str">
        <f>IF(logistics_data[[#This Row],[Delivery_Date]]="","In Transit",
 IF(logistics_data[[#This Row],[Status]]="Lost","Lost",
 IF(logistics_data[[#This Row],[Status]]="Returned","Returned",
 IF(logistics_data[[#This Row],[Status]]="Delayed","Delayed",
 "Delivered"))))</f>
        <v>Delivered</v>
      </c>
      <c r="M575" s="2">
        <f>logistics_data[[#This Row],[Cost]]/logistics_data[[#This Row],[Distance_miles]]</f>
        <v>0.15186198691255207</v>
      </c>
      <c r="N575" t="str">
        <f>IF(logistics_data[[#This Row],[Orginal staus of shipment]]&lt;&gt;"Delivered","not applicabel", IF(logistics_data[[#This Row],[Transit_Days]]&gt;=5,"slow","fast"))</f>
        <v>fast</v>
      </c>
    </row>
    <row r="576" spans="1:14" x14ac:dyDescent="0.3">
      <c r="A576" t="s">
        <v>622</v>
      </c>
      <c r="B576" t="s">
        <v>35</v>
      </c>
      <c r="C576" t="s">
        <v>40</v>
      </c>
      <c r="D576" t="s">
        <v>42</v>
      </c>
      <c r="E576" s="1">
        <v>45062</v>
      </c>
      <c r="F576" s="1">
        <v>45063</v>
      </c>
      <c r="G576">
        <v>37.4</v>
      </c>
      <c r="H576">
        <v>72.510000000000005</v>
      </c>
      <c r="I576" t="s">
        <v>15</v>
      </c>
      <c r="J576">
        <v>283</v>
      </c>
      <c r="K576">
        <v>1</v>
      </c>
      <c r="L576" t="str">
        <f>IF(logistics_data[[#This Row],[Delivery_Date]]="","In Transit",
 IF(logistics_data[[#This Row],[Status]]="Lost","Lost",
 IF(logistics_data[[#This Row],[Status]]="Returned","Returned",
 IF(logistics_data[[#This Row],[Status]]="Delayed","Delayed",
 "Delivered"))))</f>
        <v>Delivered</v>
      </c>
      <c r="M576" s="2">
        <f>logistics_data[[#This Row],[Cost]]/logistics_data[[#This Row],[Distance_miles]]</f>
        <v>0.25621908127208481</v>
      </c>
      <c r="N576" t="str">
        <f>IF(logistics_data[[#This Row],[Orginal staus of shipment]]&lt;&gt;"Delivered","not applicabel", IF(logistics_data[[#This Row],[Transit_Days]]&gt;=5,"slow","fast"))</f>
        <v>fast</v>
      </c>
    </row>
    <row r="577" spans="1:14" x14ac:dyDescent="0.3">
      <c r="A577" t="s">
        <v>623</v>
      </c>
      <c r="B577" t="s">
        <v>27</v>
      </c>
      <c r="C577" t="s">
        <v>46</v>
      </c>
      <c r="D577" t="s">
        <v>59</v>
      </c>
      <c r="E577" s="1">
        <v>45166</v>
      </c>
      <c r="F577" s="1">
        <v>45169</v>
      </c>
      <c r="G577">
        <v>26.9</v>
      </c>
      <c r="H577">
        <v>103.85</v>
      </c>
      <c r="I577" t="s">
        <v>15</v>
      </c>
      <c r="J577">
        <v>640</v>
      </c>
      <c r="K577">
        <v>3</v>
      </c>
      <c r="L577" t="str">
        <f>IF(logistics_data[[#This Row],[Delivery_Date]]="","In Transit",
 IF(logistics_data[[#This Row],[Status]]="Lost","Lost",
 IF(logistics_data[[#This Row],[Status]]="Returned","Returned",
 IF(logistics_data[[#This Row],[Status]]="Delayed","Delayed",
 "Delivered"))))</f>
        <v>Delivered</v>
      </c>
      <c r="M577" s="2">
        <f>logistics_data[[#This Row],[Cost]]/logistics_data[[#This Row],[Distance_miles]]</f>
        <v>0.162265625</v>
      </c>
      <c r="N577" t="str">
        <f>IF(logistics_data[[#This Row],[Orginal staus of shipment]]&lt;&gt;"Delivered","not applicabel", IF(logistics_data[[#This Row],[Transit_Days]]&gt;=5,"slow","fast"))</f>
        <v>fast</v>
      </c>
    </row>
    <row r="578" spans="1:14" x14ac:dyDescent="0.3">
      <c r="A578" t="s">
        <v>624</v>
      </c>
      <c r="B578" t="s">
        <v>35</v>
      </c>
      <c r="C578" t="s">
        <v>52</v>
      </c>
      <c r="D578" t="s">
        <v>25</v>
      </c>
      <c r="E578" s="1">
        <v>45217</v>
      </c>
      <c r="F578" s="1">
        <v>45223</v>
      </c>
      <c r="G578">
        <v>27.8</v>
      </c>
      <c r="H578">
        <v>294.98</v>
      </c>
      <c r="I578" t="s">
        <v>15</v>
      </c>
      <c r="J578">
        <v>2409</v>
      </c>
      <c r="K578">
        <v>6</v>
      </c>
      <c r="L578" t="str">
        <f>IF(logistics_data[[#This Row],[Delivery_Date]]="","In Transit",
 IF(logistics_data[[#This Row],[Status]]="Lost","Lost",
 IF(logistics_data[[#This Row],[Status]]="Returned","Returned",
 IF(logistics_data[[#This Row],[Status]]="Delayed","Delayed",
 "Delivered"))))</f>
        <v>Delivered</v>
      </c>
      <c r="M578" s="2">
        <f>logistics_data[[#This Row],[Cost]]/logistics_data[[#This Row],[Distance_miles]]</f>
        <v>0.1224491490244915</v>
      </c>
      <c r="N578" t="str">
        <f>IF(logistics_data[[#This Row],[Orginal staus of shipment]]&lt;&gt;"Delivered","not applicabel", IF(logistics_data[[#This Row],[Transit_Days]]&gt;=5,"slow","fast"))</f>
        <v>slow</v>
      </c>
    </row>
    <row r="579" spans="1:14" x14ac:dyDescent="0.3">
      <c r="A579" t="s">
        <v>625</v>
      </c>
      <c r="B579" t="s">
        <v>30</v>
      </c>
      <c r="C579" t="s">
        <v>13</v>
      </c>
      <c r="D579" t="s">
        <v>32</v>
      </c>
      <c r="E579" s="1">
        <v>45248</v>
      </c>
      <c r="F579" s="1">
        <v>45252</v>
      </c>
      <c r="G579">
        <v>23.3</v>
      </c>
      <c r="H579">
        <v>228.28</v>
      </c>
      <c r="I579" t="s">
        <v>60</v>
      </c>
      <c r="J579">
        <v>1203</v>
      </c>
      <c r="K579">
        <v>4</v>
      </c>
      <c r="L579" t="str">
        <f>IF(logistics_data[[#This Row],[Delivery_Date]]="","In Transit",
 IF(logistics_data[[#This Row],[Status]]="Lost","Lost",
 IF(logistics_data[[#This Row],[Status]]="Returned","Returned",
 IF(logistics_data[[#This Row],[Status]]="Delayed","Delayed",
 "Delivered"))))</f>
        <v>Lost</v>
      </c>
      <c r="M579" s="2">
        <f>logistics_data[[#This Row],[Cost]]/logistics_data[[#This Row],[Distance_miles]]</f>
        <v>0.18975893599334995</v>
      </c>
      <c r="N579" t="str">
        <f>IF(logistics_data[[#This Row],[Orginal staus of shipment]]&lt;&gt;"Delivered","not applicabel", IF(logistics_data[[#This Row],[Transit_Days]]&gt;=5,"slow","fast"))</f>
        <v>not applicabel</v>
      </c>
    </row>
    <row r="580" spans="1:14" x14ac:dyDescent="0.3">
      <c r="A580" t="s">
        <v>626</v>
      </c>
      <c r="B580" t="s">
        <v>35</v>
      </c>
      <c r="C580" t="s">
        <v>17</v>
      </c>
      <c r="D580" t="s">
        <v>37</v>
      </c>
      <c r="E580" s="1">
        <v>45019</v>
      </c>
      <c r="F580" s="1">
        <v>45020</v>
      </c>
      <c r="G580">
        <v>17.899999999999999</v>
      </c>
      <c r="H580">
        <v>45.26</v>
      </c>
      <c r="I580" t="s">
        <v>15</v>
      </c>
      <c r="J580">
        <v>231</v>
      </c>
      <c r="K580">
        <v>1</v>
      </c>
      <c r="L580" t="str">
        <f>IF(logistics_data[[#This Row],[Delivery_Date]]="","In Transit",
 IF(logistics_data[[#This Row],[Status]]="Lost","Lost",
 IF(logistics_data[[#This Row],[Status]]="Returned","Returned",
 IF(logistics_data[[#This Row],[Status]]="Delayed","Delayed",
 "Delivered"))))</f>
        <v>Delivered</v>
      </c>
      <c r="M580" s="2">
        <f>logistics_data[[#This Row],[Cost]]/logistics_data[[#This Row],[Distance_miles]]</f>
        <v>0.19593073593073593</v>
      </c>
      <c r="N580" t="str">
        <f>IF(logistics_data[[#This Row],[Orginal staus of shipment]]&lt;&gt;"Delivered","not applicabel", IF(logistics_data[[#This Row],[Transit_Days]]&gt;=5,"slow","fast"))</f>
        <v>fast</v>
      </c>
    </row>
    <row r="581" spans="1:14" x14ac:dyDescent="0.3">
      <c r="A581" t="s">
        <v>627</v>
      </c>
      <c r="B581" t="s">
        <v>30</v>
      </c>
      <c r="C581" t="s">
        <v>54</v>
      </c>
      <c r="D581" t="s">
        <v>42</v>
      </c>
      <c r="E581" s="1">
        <v>45181</v>
      </c>
      <c r="F581" s="1">
        <v>45195</v>
      </c>
      <c r="G581">
        <v>32.5</v>
      </c>
      <c r="H581">
        <v>308.35000000000002</v>
      </c>
      <c r="I581" t="s">
        <v>47</v>
      </c>
      <c r="J581">
        <v>2136</v>
      </c>
      <c r="K581">
        <v>5</v>
      </c>
      <c r="L581" t="str">
        <f>IF(logistics_data[[#This Row],[Delivery_Date]]="","In Transit",
 IF(logistics_data[[#This Row],[Status]]="Lost","Lost",
 IF(logistics_data[[#This Row],[Status]]="Returned","Returned",
 IF(logistics_data[[#This Row],[Status]]="Delayed","Delayed",
 "Delivered"))))</f>
        <v>Delayed</v>
      </c>
      <c r="M581" s="2">
        <f>logistics_data[[#This Row],[Cost]]/logistics_data[[#This Row],[Distance_miles]]</f>
        <v>0.14435861423220975</v>
      </c>
      <c r="N581" t="str">
        <f>IF(logistics_data[[#This Row],[Orginal staus of shipment]]&lt;&gt;"Delivered","not applicabel", IF(logistics_data[[#This Row],[Transit_Days]]&gt;=5,"slow","fast"))</f>
        <v>not applicabel</v>
      </c>
    </row>
    <row r="582" spans="1:14" x14ac:dyDescent="0.3">
      <c r="A582" t="s">
        <v>628</v>
      </c>
      <c r="B582" t="s">
        <v>49</v>
      </c>
      <c r="C582" t="s">
        <v>36</v>
      </c>
      <c r="D582" t="s">
        <v>25</v>
      </c>
      <c r="E582" s="1">
        <v>44989</v>
      </c>
      <c r="F582" s="1">
        <v>44993</v>
      </c>
      <c r="G582">
        <v>19.8</v>
      </c>
      <c r="H582">
        <v>265.39999999999998</v>
      </c>
      <c r="I582" t="s">
        <v>15</v>
      </c>
      <c r="J582">
        <v>1886</v>
      </c>
      <c r="K582">
        <v>4</v>
      </c>
      <c r="L582" t="str">
        <f>IF(logistics_data[[#This Row],[Delivery_Date]]="","In Transit",
 IF(logistics_data[[#This Row],[Status]]="Lost","Lost",
 IF(logistics_data[[#This Row],[Status]]="Returned","Returned",
 IF(logistics_data[[#This Row],[Status]]="Delayed","Delayed",
 "Delivered"))))</f>
        <v>Delivered</v>
      </c>
      <c r="M582" s="2">
        <f>logistics_data[[#This Row],[Cost]]/logistics_data[[#This Row],[Distance_miles]]</f>
        <v>0.14072110286320252</v>
      </c>
      <c r="N582" t="str">
        <f>IF(logistics_data[[#This Row],[Orginal staus of shipment]]&lt;&gt;"Delivered","not applicabel", IF(logistics_data[[#This Row],[Transit_Days]]&gt;=5,"slow","fast"))</f>
        <v>fast</v>
      </c>
    </row>
    <row r="583" spans="1:14" x14ac:dyDescent="0.3">
      <c r="A583" t="s">
        <v>629</v>
      </c>
      <c r="B583" t="s">
        <v>12</v>
      </c>
      <c r="C583" t="s">
        <v>44</v>
      </c>
      <c r="D583" t="s">
        <v>32</v>
      </c>
      <c r="E583" s="1">
        <v>44946</v>
      </c>
      <c r="F583" s="1">
        <v>44956</v>
      </c>
      <c r="G583">
        <v>11.9</v>
      </c>
      <c r="H583">
        <v>287.05</v>
      </c>
      <c r="I583" t="s">
        <v>15</v>
      </c>
      <c r="J583">
        <v>1896</v>
      </c>
      <c r="K583">
        <v>10</v>
      </c>
      <c r="L583" t="str">
        <f>IF(logistics_data[[#This Row],[Delivery_Date]]="","In Transit",
 IF(logistics_data[[#This Row],[Status]]="Lost","Lost",
 IF(logistics_data[[#This Row],[Status]]="Returned","Returned",
 IF(logistics_data[[#This Row],[Status]]="Delayed","Delayed",
 "Delivered"))))</f>
        <v>Delivered</v>
      </c>
      <c r="M583" s="2">
        <f>logistics_data[[#This Row],[Cost]]/logistics_data[[#This Row],[Distance_miles]]</f>
        <v>0.15139767932489451</v>
      </c>
      <c r="N583" t="str">
        <f>IF(logistics_data[[#This Row],[Orginal staus of shipment]]&lt;&gt;"Delivered","not applicabel", IF(logistics_data[[#This Row],[Transit_Days]]&gt;=5,"slow","fast"))</f>
        <v>slow</v>
      </c>
    </row>
    <row r="584" spans="1:14" x14ac:dyDescent="0.3">
      <c r="A584" t="s">
        <v>630</v>
      </c>
      <c r="B584" t="s">
        <v>35</v>
      </c>
      <c r="C584" t="s">
        <v>57</v>
      </c>
      <c r="D584" t="s">
        <v>42</v>
      </c>
      <c r="E584" s="1">
        <v>45210</v>
      </c>
      <c r="F584" s="1">
        <v>45215</v>
      </c>
      <c r="G584">
        <v>108.6</v>
      </c>
      <c r="H584">
        <v>221.52</v>
      </c>
      <c r="I584" t="s">
        <v>15</v>
      </c>
      <c r="J584">
        <v>1869</v>
      </c>
      <c r="K584">
        <v>5</v>
      </c>
      <c r="L584" t="str">
        <f>IF(logistics_data[[#This Row],[Delivery_Date]]="","In Transit",
 IF(logistics_data[[#This Row],[Status]]="Lost","Lost",
 IF(logistics_data[[#This Row],[Status]]="Returned","Returned",
 IF(logistics_data[[#This Row],[Status]]="Delayed","Delayed",
 "Delivered"))))</f>
        <v>Delivered</v>
      </c>
      <c r="M584" s="2">
        <f>logistics_data[[#This Row],[Cost]]/logistics_data[[#This Row],[Distance_miles]]</f>
        <v>0.11852327447833066</v>
      </c>
      <c r="N584" t="str">
        <f>IF(logistics_data[[#This Row],[Orginal staus of shipment]]&lt;&gt;"Delivered","not applicabel", IF(logistics_data[[#This Row],[Transit_Days]]&gt;=5,"slow","fast"))</f>
        <v>slow</v>
      </c>
    </row>
    <row r="585" spans="1:14" x14ac:dyDescent="0.3">
      <c r="A585" t="s">
        <v>631</v>
      </c>
      <c r="B585" t="s">
        <v>35</v>
      </c>
      <c r="C585" t="s">
        <v>13</v>
      </c>
      <c r="D585" t="s">
        <v>32</v>
      </c>
      <c r="E585" s="1">
        <v>45081</v>
      </c>
      <c r="F585" s="1">
        <v>45084</v>
      </c>
      <c r="G585">
        <v>15.9</v>
      </c>
      <c r="H585">
        <v>200.58</v>
      </c>
      <c r="I585" t="s">
        <v>15</v>
      </c>
      <c r="J585">
        <v>1412</v>
      </c>
      <c r="K585">
        <v>3</v>
      </c>
      <c r="L585" t="str">
        <f>IF(logistics_data[[#This Row],[Delivery_Date]]="","In Transit",
 IF(logistics_data[[#This Row],[Status]]="Lost","Lost",
 IF(logistics_data[[#This Row],[Status]]="Returned","Returned",
 IF(logistics_data[[#This Row],[Status]]="Delayed","Delayed",
 "Delivered"))))</f>
        <v>Delivered</v>
      </c>
      <c r="M585" s="2">
        <f>logistics_data[[#This Row],[Cost]]/logistics_data[[#This Row],[Distance_miles]]</f>
        <v>0.14205382436260625</v>
      </c>
      <c r="N585" t="str">
        <f>IF(logistics_data[[#This Row],[Orginal staus of shipment]]&lt;&gt;"Delivered","not applicabel", IF(logistics_data[[#This Row],[Transit_Days]]&gt;=5,"slow","fast"))</f>
        <v>fast</v>
      </c>
    </row>
    <row r="586" spans="1:14" x14ac:dyDescent="0.3">
      <c r="A586" t="s">
        <v>632</v>
      </c>
      <c r="B586" t="s">
        <v>30</v>
      </c>
      <c r="C586" t="s">
        <v>44</v>
      </c>
      <c r="D586" t="s">
        <v>18</v>
      </c>
      <c r="E586" s="1">
        <v>45081</v>
      </c>
      <c r="F586" s="1">
        <v>45084</v>
      </c>
      <c r="G586">
        <v>19.8</v>
      </c>
      <c r="H586">
        <v>44</v>
      </c>
      <c r="I586" t="s">
        <v>15</v>
      </c>
      <c r="J586">
        <v>110</v>
      </c>
      <c r="K586">
        <v>3</v>
      </c>
      <c r="L586" t="str">
        <f>IF(logistics_data[[#This Row],[Delivery_Date]]="","In Transit",
 IF(logistics_data[[#This Row],[Status]]="Lost","Lost",
 IF(logistics_data[[#This Row],[Status]]="Returned","Returned",
 IF(logistics_data[[#This Row],[Status]]="Delayed","Delayed",
 "Delivered"))))</f>
        <v>Delivered</v>
      </c>
      <c r="M586" s="2">
        <f>logistics_data[[#This Row],[Cost]]/logistics_data[[#This Row],[Distance_miles]]</f>
        <v>0.4</v>
      </c>
      <c r="N586" t="str">
        <f>IF(logistics_data[[#This Row],[Orginal staus of shipment]]&lt;&gt;"Delivered","not applicabel", IF(logistics_data[[#This Row],[Transit_Days]]&gt;=5,"slow","fast"))</f>
        <v>fast</v>
      </c>
    </row>
    <row r="587" spans="1:14" x14ac:dyDescent="0.3">
      <c r="A587" t="s">
        <v>633</v>
      </c>
      <c r="B587" t="s">
        <v>39</v>
      </c>
      <c r="C587" t="s">
        <v>54</v>
      </c>
      <c r="D587" t="s">
        <v>42</v>
      </c>
      <c r="E587" s="1">
        <v>44962</v>
      </c>
      <c r="F587" s="1">
        <v>44964</v>
      </c>
      <c r="G587">
        <v>14.6</v>
      </c>
      <c r="H587">
        <v>107.88</v>
      </c>
      <c r="I587" t="s">
        <v>15</v>
      </c>
      <c r="J587">
        <v>682</v>
      </c>
      <c r="K587">
        <v>2</v>
      </c>
      <c r="L587" t="str">
        <f>IF(logistics_data[[#This Row],[Delivery_Date]]="","In Transit",
 IF(logistics_data[[#This Row],[Status]]="Lost","Lost",
 IF(logistics_data[[#This Row],[Status]]="Returned","Returned",
 IF(logistics_data[[#This Row],[Status]]="Delayed","Delayed",
 "Delivered"))))</f>
        <v>Delivered</v>
      </c>
      <c r="M587" s="2">
        <f>logistics_data[[#This Row],[Cost]]/logistics_data[[#This Row],[Distance_miles]]</f>
        <v>0.15818181818181817</v>
      </c>
      <c r="N587" t="str">
        <f>IF(logistics_data[[#This Row],[Orginal staus of shipment]]&lt;&gt;"Delivered","not applicabel", IF(logistics_data[[#This Row],[Transit_Days]]&gt;=5,"slow","fast"))</f>
        <v>fast</v>
      </c>
    </row>
    <row r="588" spans="1:14" x14ac:dyDescent="0.3">
      <c r="A588" t="s">
        <v>634</v>
      </c>
      <c r="B588" t="s">
        <v>56</v>
      </c>
      <c r="C588" t="s">
        <v>13</v>
      </c>
      <c r="D588" t="s">
        <v>25</v>
      </c>
      <c r="E588" s="1">
        <v>44986</v>
      </c>
      <c r="F588" s="1">
        <v>44992</v>
      </c>
      <c r="G588">
        <v>46.5</v>
      </c>
      <c r="H588">
        <v>334.7</v>
      </c>
      <c r="I588" t="s">
        <v>15</v>
      </c>
      <c r="J588">
        <v>2264</v>
      </c>
      <c r="K588">
        <v>6</v>
      </c>
      <c r="L588" t="str">
        <f>IF(logistics_data[[#This Row],[Delivery_Date]]="","In Transit",
 IF(logistics_data[[#This Row],[Status]]="Lost","Lost",
 IF(logistics_data[[#This Row],[Status]]="Returned","Returned",
 IF(logistics_data[[#This Row],[Status]]="Delayed","Delayed",
 "Delivered"))))</f>
        <v>Delivered</v>
      </c>
      <c r="M588" s="2">
        <f>logistics_data[[#This Row],[Cost]]/logistics_data[[#This Row],[Distance_miles]]</f>
        <v>0.14783568904593639</v>
      </c>
      <c r="N588" t="str">
        <f>IF(logistics_data[[#This Row],[Orginal staus of shipment]]&lt;&gt;"Delivered","not applicabel", IF(logistics_data[[#This Row],[Transit_Days]]&gt;=5,"slow","fast"))</f>
        <v>slow</v>
      </c>
    </row>
    <row r="589" spans="1:14" x14ac:dyDescent="0.3">
      <c r="A589" t="s">
        <v>635</v>
      </c>
      <c r="B589" t="s">
        <v>35</v>
      </c>
      <c r="C589" t="s">
        <v>46</v>
      </c>
      <c r="D589" t="s">
        <v>14</v>
      </c>
      <c r="E589" s="1">
        <v>45245</v>
      </c>
      <c r="F589" s="1">
        <v>45248</v>
      </c>
      <c r="G589">
        <v>43.9</v>
      </c>
      <c r="H589">
        <v>133.41</v>
      </c>
      <c r="I589" t="s">
        <v>15</v>
      </c>
      <c r="J589">
        <v>413</v>
      </c>
      <c r="K589">
        <v>3</v>
      </c>
      <c r="L589" t="str">
        <f>IF(logistics_data[[#This Row],[Delivery_Date]]="","In Transit",
 IF(logistics_data[[#This Row],[Status]]="Lost","Lost",
 IF(logistics_data[[#This Row],[Status]]="Returned","Returned",
 IF(logistics_data[[#This Row],[Status]]="Delayed","Delayed",
 "Delivered"))))</f>
        <v>Delivered</v>
      </c>
      <c r="M589" s="2">
        <f>logistics_data[[#This Row],[Cost]]/logistics_data[[#This Row],[Distance_miles]]</f>
        <v>0.32302663438256657</v>
      </c>
      <c r="N589" t="str">
        <f>IF(logistics_data[[#This Row],[Orginal staus of shipment]]&lt;&gt;"Delivered","not applicabel", IF(logistics_data[[#This Row],[Transit_Days]]&gt;=5,"slow","fast"))</f>
        <v>fast</v>
      </c>
    </row>
    <row r="590" spans="1:14" x14ac:dyDescent="0.3">
      <c r="A590" t="s">
        <v>636</v>
      </c>
      <c r="B590" t="s">
        <v>12</v>
      </c>
      <c r="C590" t="s">
        <v>24</v>
      </c>
      <c r="D590" t="s">
        <v>37</v>
      </c>
      <c r="E590" s="1">
        <v>45072</v>
      </c>
      <c r="F590" s="1">
        <v>45086</v>
      </c>
      <c r="G590">
        <v>17.5</v>
      </c>
      <c r="H590">
        <v>144.25</v>
      </c>
      <c r="I590" t="s">
        <v>47</v>
      </c>
      <c r="J590">
        <v>1003</v>
      </c>
      <c r="K590">
        <v>3</v>
      </c>
      <c r="L590" t="str">
        <f>IF(logistics_data[[#This Row],[Delivery_Date]]="","In Transit",
 IF(logistics_data[[#This Row],[Status]]="Lost","Lost",
 IF(logistics_data[[#This Row],[Status]]="Returned","Returned",
 IF(logistics_data[[#This Row],[Status]]="Delayed","Delayed",
 "Delivered"))))</f>
        <v>Delayed</v>
      </c>
      <c r="M590" s="2">
        <f>logistics_data[[#This Row],[Cost]]/logistics_data[[#This Row],[Distance_miles]]</f>
        <v>0.14381854436689931</v>
      </c>
      <c r="N590" t="str">
        <f>IF(logistics_data[[#This Row],[Orginal staus of shipment]]&lt;&gt;"Delivered","not applicabel", IF(logistics_data[[#This Row],[Transit_Days]]&gt;=5,"slow","fast"))</f>
        <v>not applicabel</v>
      </c>
    </row>
    <row r="591" spans="1:14" x14ac:dyDescent="0.3">
      <c r="A591" t="s">
        <v>637</v>
      </c>
      <c r="B591" t="s">
        <v>27</v>
      </c>
      <c r="C591" t="s">
        <v>21</v>
      </c>
      <c r="D591" t="s">
        <v>25</v>
      </c>
      <c r="E591" s="1">
        <v>45136</v>
      </c>
      <c r="F591" s="1">
        <v>45139</v>
      </c>
      <c r="G591">
        <v>82.9</v>
      </c>
      <c r="H591">
        <v>189.53</v>
      </c>
      <c r="I591" t="s">
        <v>15</v>
      </c>
      <c r="J591">
        <v>893</v>
      </c>
      <c r="K591">
        <v>3</v>
      </c>
      <c r="L591" t="str">
        <f>IF(logistics_data[[#This Row],[Delivery_Date]]="","In Transit",
 IF(logistics_data[[#This Row],[Status]]="Lost","Lost",
 IF(logistics_data[[#This Row],[Status]]="Returned","Returned",
 IF(logistics_data[[#This Row],[Status]]="Delayed","Delayed",
 "Delivered"))))</f>
        <v>Delivered</v>
      </c>
      <c r="M591" s="2">
        <f>logistics_data[[#This Row],[Cost]]/logistics_data[[#This Row],[Distance_miles]]</f>
        <v>0.21223964165733483</v>
      </c>
      <c r="N591" t="str">
        <f>IF(logistics_data[[#This Row],[Orginal staus of shipment]]&lt;&gt;"Delivered","not applicabel", IF(logistics_data[[#This Row],[Transit_Days]]&gt;=5,"slow","fast"))</f>
        <v>fast</v>
      </c>
    </row>
    <row r="592" spans="1:14" x14ac:dyDescent="0.3">
      <c r="A592" t="s">
        <v>638</v>
      </c>
      <c r="B592" t="s">
        <v>39</v>
      </c>
      <c r="C592" t="s">
        <v>46</v>
      </c>
      <c r="D592" t="s">
        <v>18</v>
      </c>
      <c r="E592" s="1">
        <v>45069</v>
      </c>
      <c r="F592" s="1">
        <v>45081</v>
      </c>
      <c r="G592">
        <v>16.2</v>
      </c>
      <c r="H592">
        <v>219.44</v>
      </c>
      <c r="I592" t="s">
        <v>47</v>
      </c>
      <c r="J592">
        <v>1509</v>
      </c>
      <c r="K592">
        <v>4</v>
      </c>
      <c r="L592" t="str">
        <f>IF(logistics_data[[#This Row],[Delivery_Date]]="","In Transit",
 IF(logistics_data[[#This Row],[Status]]="Lost","Lost",
 IF(logistics_data[[#This Row],[Status]]="Returned","Returned",
 IF(logistics_data[[#This Row],[Status]]="Delayed","Delayed",
 "Delivered"))))</f>
        <v>Delayed</v>
      </c>
      <c r="M592" s="2">
        <f>logistics_data[[#This Row],[Cost]]/logistics_data[[#This Row],[Distance_miles]]</f>
        <v>0.14542080848243871</v>
      </c>
      <c r="N592" t="str">
        <f>IF(logistics_data[[#This Row],[Orginal staus of shipment]]&lt;&gt;"Delivered","not applicabel", IF(logistics_data[[#This Row],[Transit_Days]]&gt;=5,"slow","fast"))</f>
        <v>not applicabel</v>
      </c>
    </row>
    <row r="593" spans="1:14" x14ac:dyDescent="0.3">
      <c r="A593" t="s">
        <v>639</v>
      </c>
      <c r="B593" t="s">
        <v>23</v>
      </c>
      <c r="C593" t="s">
        <v>24</v>
      </c>
      <c r="D593" t="s">
        <v>18</v>
      </c>
      <c r="E593" s="1">
        <v>45119</v>
      </c>
      <c r="F593" s="1">
        <v>45132</v>
      </c>
      <c r="G593">
        <v>17.100000000000001</v>
      </c>
      <c r="H593">
        <v>265.04000000000002</v>
      </c>
      <c r="I593" t="s">
        <v>47</v>
      </c>
      <c r="J593">
        <v>1749</v>
      </c>
      <c r="K593">
        <v>5</v>
      </c>
      <c r="L593" t="str">
        <f>IF(logistics_data[[#This Row],[Delivery_Date]]="","In Transit",
 IF(logistics_data[[#This Row],[Status]]="Lost","Lost",
 IF(logistics_data[[#This Row],[Status]]="Returned","Returned",
 IF(logistics_data[[#This Row],[Status]]="Delayed","Delayed",
 "Delivered"))))</f>
        <v>Delayed</v>
      </c>
      <c r="M593" s="2">
        <f>logistics_data[[#This Row],[Cost]]/logistics_data[[#This Row],[Distance_miles]]</f>
        <v>0.15153802172670097</v>
      </c>
      <c r="N593" t="str">
        <f>IF(logistics_data[[#This Row],[Orginal staus of shipment]]&lt;&gt;"Delivered","not applicabel", IF(logistics_data[[#This Row],[Transit_Days]]&gt;=5,"slow","fast"))</f>
        <v>not applicabel</v>
      </c>
    </row>
    <row r="594" spans="1:14" x14ac:dyDescent="0.3">
      <c r="A594" t="s">
        <v>640</v>
      </c>
      <c r="B594" t="s">
        <v>12</v>
      </c>
      <c r="C594" t="s">
        <v>70</v>
      </c>
      <c r="D594" t="s">
        <v>25</v>
      </c>
      <c r="E594" s="1">
        <v>45091</v>
      </c>
      <c r="F594" s="1">
        <v>45092</v>
      </c>
      <c r="G594">
        <v>9.4</v>
      </c>
      <c r="H594">
        <v>59.03</v>
      </c>
      <c r="I594" t="s">
        <v>15</v>
      </c>
      <c r="J594">
        <v>377</v>
      </c>
      <c r="K594">
        <v>1</v>
      </c>
      <c r="L594" t="str">
        <f>IF(logistics_data[[#This Row],[Delivery_Date]]="","In Transit",
 IF(logistics_data[[#This Row],[Status]]="Lost","Lost",
 IF(logistics_data[[#This Row],[Status]]="Returned","Returned",
 IF(logistics_data[[#This Row],[Status]]="Delayed","Delayed",
 "Delivered"))))</f>
        <v>Delivered</v>
      </c>
      <c r="M594" s="2">
        <f>logistics_data[[#This Row],[Cost]]/logistics_data[[#This Row],[Distance_miles]]</f>
        <v>0.15657824933687003</v>
      </c>
      <c r="N594" t="str">
        <f>IF(logistics_data[[#This Row],[Orginal staus of shipment]]&lt;&gt;"Delivered","not applicabel", IF(logistics_data[[#This Row],[Transit_Days]]&gt;=5,"slow","fast"))</f>
        <v>fast</v>
      </c>
    </row>
    <row r="595" spans="1:14" x14ac:dyDescent="0.3">
      <c r="A595" t="s">
        <v>641</v>
      </c>
      <c r="B595" t="s">
        <v>27</v>
      </c>
      <c r="C595" t="s">
        <v>52</v>
      </c>
      <c r="D595" t="s">
        <v>32</v>
      </c>
      <c r="E595" s="1">
        <v>45220</v>
      </c>
      <c r="F595" s="1">
        <v>45225</v>
      </c>
      <c r="G595">
        <v>15.3</v>
      </c>
      <c r="H595">
        <v>343.33</v>
      </c>
      <c r="I595" t="s">
        <v>15</v>
      </c>
      <c r="J595">
        <v>2483</v>
      </c>
      <c r="K595">
        <v>5</v>
      </c>
      <c r="L595" t="str">
        <f>IF(logistics_data[[#This Row],[Delivery_Date]]="","In Transit",
 IF(logistics_data[[#This Row],[Status]]="Lost","Lost",
 IF(logistics_data[[#This Row],[Status]]="Returned","Returned",
 IF(logistics_data[[#This Row],[Status]]="Delayed","Delayed",
 "Delivered"))))</f>
        <v>Delivered</v>
      </c>
      <c r="M595" s="2">
        <f>logistics_data[[#This Row],[Cost]]/logistics_data[[#This Row],[Distance_miles]]</f>
        <v>0.13827225130890053</v>
      </c>
      <c r="N595" t="str">
        <f>IF(logistics_data[[#This Row],[Orginal staus of shipment]]&lt;&gt;"Delivered","not applicabel", IF(logistics_data[[#This Row],[Transit_Days]]&gt;=5,"slow","fast"))</f>
        <v>slow</v>
      </c>
    </row>
    <row r="596" spans="1:14" x14ac:dyDescent="0.3">
      <c r="A596" t="s">
        <v>642</v>
      </c>
      <c r="B596" t="s">
        <v>49</v>
      </c>
      <c r="C596" t="s">
        <v>24</v>
      </c>
      <c r="D596" t="s">
        <v>25</v>
      </c>
      <c r="E596" s="1">
        <v>44995</v>
      </c>
      <c r="F596" s="1">
        <v>45009</v>
      </c>
      <c r="G596">
        <v>17.399999999999999</v>
      </c>
      <c r="H596">
        <v>231.71</v>
      </c>
      <c r="I596" t="s">
        <v>47</v>
      </c>
      <c r="J596">
        <v>1606</v>
      </c>
      <c r="K596">
        <v>5</v>
      </c>
      <c r="L596" t="str">
        <f>IF(logistics_data[[#This Row],[Delivery_Date]]="","In Transit",
 IF(logistics_data[[#This Row],[Status]]="Lost","Lost",
 IF(logistics_data[[#This Row],[Status]]="Returned","Returned",
 IF(logistics_data[[#This Row],[Status]]="Delayed","Delayed",
 "Delivered"))))</f>
        <v>Delayed</v>
      </c>
      <c r="M596" s="2">
        <f>logistics_data[[#This Row],[Cost]]/logistics_data[[#This Row],[Distance_miles]]</f>
        <v>0.14427770859277708</v>
      </c>
      <c r="N596" t="str">
        <f>IF(logistics_data[[#This Row],[Orginal staus of shipment]]&lt;&gt;"Delivered","not applicabel", IF(logistics_data[[#This Row],[Transit_Days]]&gt;=5,"slow","fast"))</f>
        <v>not applicabel</v>
      </c>
    </row>
    <row r="597" spans="1:14" x14ac:dyDescent="0.3">
      <c r="A597" t="s">
        <v>643</v>
      </c>
      <c r="B597" t="s">
        <v>51</v>
      </c>
      <c r="C597" t="s">
        <v>17</v>
      </c>
      <c r="D597" t="s">
        <v>25</v>
      </c>
      <c r="E597" s="1">
        <v>45132</v>
      </c>
      <c r="F597" s="1">
        <v>45137</v>
      </c>
      <c r="G597">
        <v>11.8</v>
      </c>
      <c r="H597">
        <v>119.5</v>
      </c>
      <c r="I597" t="s">
        <v>15</v>
      </c>
      <c r="J597">
        <v>870</v>
      </c>
      <c r="K597">
        <v>5</v>
      </c>
      <c r="L597" t="str">
        <f>IF(logistics_data[[#This Row],[Delivery_Date]]="","In Transit",
 IF(logistics_data[[#This Row],[Status]]="Lost","Lost",
 IF(logistics_data[[#This Row],[Status]]="Returned","Returned",
 IF(logistics_data[[#This Row],[Status]]="Delayed","Delayed",
 "Delivered"))))</f>
        <v>Delivered</v>
      </c>
      <c r="M597" s="2">
        <f>logistics_data[[#This Row],[Cost]]/logistics_data[[#This Row],[Distance_miles]]</f>
        <v>0.13735632183908045</v>
      </c>
      <c r="N597" t="str">
        <f>IF(logistics_data[[#This Row],[Orginal staus of shipment]]&lt;&gt;"Delivered","not applicabel", IF(logistics_data[[#This Row],[Transit_Days]]&gt;=5,"slow","fast"))</f>
        <v>slow</v>
      </c>
    </row>
    <row r="598" spans="1:14" x14ac:dyDescent="0.3">
      <c r="A598" t="s">
        <v>644</v>
      </c>
      <c r="B598" t="s">
        <v>30</v>
      </c>
      <c r="C598" t="s">
        <v>13</v>
      </c>
      <c r="D598" t="s">
        <v>14</v>
      </c>
      <c r="E598" s="1">
        <v>45268</v>
      </c>
      <c r="F598" s="1">
        <v>45273</v>
      </c>
      <c r="G598">
        <v>56.8</v>
      </c>
      <c r="H598">
        <v>315.36</v>
      </c>
      <c r="I598" t="s">
        <v>15</v>
      </c>
      <c r="J598">
        <v>1705</v>
      </c>
      <c r="K598">
        <v>5</v>
      </c>
      <c r="L598" t="str">
        <f>IF(logistics_data[[#This Row],[Delivery_Date]]="","In Transit",
 IF(logistics_data[[#This Row],[Status]]="Lost","Lost",
 IF(logistics_data[[#This Row],[Status]]="Returned","Returned",
 IF(logistics_data[[#This Row],[Status]]="Delayed","Delayed",
 "Delivered"))))</f>
        <v>Delivered</v>
      </c>
      <c r="M598" s="2">
        <f>logistics_data[[#This Row],[Cost]]/logistics_data[[#This Row],[Distance_miles]]</f>
        <v>0.1849618768328446</v>
      </c>
      <c r="N598" t="str">
        <f>IF(logistics_data[[#This Row],[Orginal staus of shipment]]&lt;&gt;"Delivered","not applicabel", IF(logistics_data[[#This Row],[Transit_Days]]&gt;=5,"slow","fast"))</f>
        <v>slow</v>
      </c>
    </row>
    <row r="599" spans="1:14" x14ac:dyDescent="0.3">
      <c r="A599" t="s">
        <v>645</v>
      </c>
      <c r="B599" t="s">
        <v>49</v>
      </c>
      <c r="C599" t="s">
        <v>17</v>
      </c>
      <c r="D599" t="s">
        <v>14</v>
      </c>
      <c r="E599" s="1">
        <v>45096</v>
      </c>
      <c r="G599">
        <v>28.5</v>
      </c>
      <c r="H599">
        <v>77.760000000000005</v>
      </c>
      <c r="I599" t="s">
        <v>15</v>
      </c>
      <c r="J599">
        <v>290</v>
      </c>
      <c r="K599">
        <v>2</v>
      </c>
      <c r="L599" t="str">
        <f>IF(logistics_data[[#This Row],[Delivery_Date]]="","In Transit",
 IF(logistics_data[[#This Row],[Status]]="Lost","Lost",
 IF(logistics_data[[#This Row],[Status]]="Returned","Returned",
 IF(logistics_data[[#This Row],[Status]]="Delayed","Delayed",
 "Delivered"))))</f>
        <v>In Transit</v>
      </c>
      <c r="M599" s="2">
        <f>logistics_data[[#This Row],[Cost]]/logistics_data[[#This Row],[Distance_miles]]</f>
        <v>0.2681379310344828</v>
      </c>
      <c r="N599" t="str">
        <f>IF(logistics_data[[#This Row],[Orginal staus of shipment]]&lt;&gt;"Delivered","not applicabel", IF(logistics_data[[#This Row],[Transit_Days]]&gt;=5,"slow","fast"))</f>
        <v>not applicabel</v>
      </c>
    </row>
    <row r="600" spans="1:14" x14ac:dyDescent="0.3">
      <c r="A600" t="s">
        <v>646</v>
      </c>
      <c r="B600" t="s">
        <v>56</v>
      </c>
      <c r="C600" t="s">
        <v>28</v>
      </c>
      <c r="D600" t="s">
        <v>37</v>
      </c>
      <c r="E600" s="1">
        <v>45068</v>
      </c>
      <c r="F600" s="1">
        <v>45072</v>
      </c>
      <c r="G600">
        <v>14.6</v>
      </c>
      <c r="H600">
        <v>187.56</v>
      </c>
      <c r="I600" t="s">
        <v>15</v>
      </c>
      <c r="J600">
        <v>1525</v>
      </c>
      <c r="K600">
        <v>4</v>
      </c>
      <c r="L600" t="str">
        <f>IF(logistics_data[[#This Row],[Delivery_Date]]="","In Transit",
 IF(logistics_data[[#This Row],[Status]]="Lost","Lost",
 IF(logistics_data[[#This Row],[Status]]="Returned","Returned",
 IF(logistics_data[[#This Row],[Status]]="Delayed","Delayed",
 "Delivered"))))</f>
        <v>Delivered</v>
      </c>
      <c r="M600" s="2">
        <f>logistics_data[[#This Row],[Cost]]/logistics_data[[#This Row],[Distance_miles]]</f>
        <v>0.12299016393442623</v>
      </c>
      <c r="N600" t="str">
        <f>IF(logistics_data[[#This Row],[Orginal staus of shipment]]&lt;&gt;"Delivered","not applicabel", IF(logistics_data[[#This Row],[Transit_Days]]&gt;=5,"slow","fast"))</f>
        <v>fast</v>
      </c>
    </row>
    <row r="601" spans="1:14" x14ac:dyDescent="0.3">
      <c r="A601" t="s">
        <v>647</v>
      </c>
      <c r="B601" t="s">
        <v>12</v>
      </c>
      <c r="C601" t="s">
        <v>52</v>
      </c>
      <c r="D601" t="s">
        <v>18</v>
      </c>
      <c r="E601" s="1">
        <v>45100</v>
      </c>
      <c r="F601" s="1">
        <v>45103</v>
      </c>
      <c r="G601">
        <v>9.9</v>
      </c>
      <c r="H601">
        <v>180.22</v>
      </c>
      <c r="I601" t="s">
        <v>15</v>
      </c>
      <c r="J601">
        <v>1178</v>
      </c>
      <c r="K601">
        <v>3</v>
      </c>
      <c r="L601" t="str">
        <f>IF(logistics_data[[#This Row],[Delivery_Date]]="","In Transit",
 IF(logistics_data[[#This Row],[Status]]="Lost","Lost",
 IF(logistics_data[[#This Row],[Status]]="Returned","Returned",
 IF(logistics_data[[#This Row],[Status]]="Delayed","Delayed",
 "Delivered"))))</f>
        <v>Delivered</v>
      </c>
      <c r="M601" s="2">
        <f>logistics_data[[#This Row],[Cost]]/logistics_data[[#This Row],[Distance_miles]]</f>
        <v>0.15298811544991511</v>
      </c>
      <c r="N601" t="str">
        <f>IF(logistics_data[[#This Row],[Orginal staus of shipment]]&lt;&gt;"Delivered","not applicabel", IF(logistics_data[[#This Row],[Transit_Days]]&gt;=5,"slow","fast"))</f>
        <v>fast</v>
      </c>
    </row>
    <row r="602" spans="1:14" x14ac:dyDescent="0.3">
      <c r="A602" t="s">
        <v>648</v>
      </c>
      <c r="B602" t="s">
        <v>27</v>
      </c>
      <c r="C602" t="s">
        <v>21</v>
      </c>
      <c r="D602" t="s">
        <v>32</v>
      </c>
      <c r="E602" s="1">
        <v>44983</v>
      </c>
      <c r="F602" s="1">
        <v>44987</v>
      </c>
      <c r="G602">
        <v>45.7</v>
      </c>
      <c r="H602">
        <v>247.43</v>
      </c>
      <c r="I602" t="s">
        <v>15</v>
      </c>
      <c r="J602">
        <v>1612</v>
      </c>
      <c r="K602">
        <v>4</v>
      </c>
      <c r="L602" t="str">
        <f>IF(logistics_data[[#This Row],[Delivery_Date]]="","In Transit",
 IF(logistics_data[[#This Row],[Status]]="Lost","Lost",
 IF(logistics_data[[#This Row],[Status]]="Returned","Returned",
 IF(logistics_data[[#This Row],[Status]]="Delayed","Delayed",
 "Delivered"))))</f>
        <v>Delivered</v>
      </c>
      <c r="M602" s="2">
        <f>logistics_data[[#This Row],[Cost]]/logistics_data[[#This Row],[Distance_miles]]</f>
        <v>0.1534925558312655</v>
      </c>
      <c r="N602" t="str">
        <f>IF(logistics_data[[#This Row],[Orginal staus of shipment]]&lt;&gt;"Delivered","not applicabel", IF(logistics_data[[#This Row],[Transit_Days]]&gt;=5,"slow","fast"))</f>
        <v>fast</v>
      </c>
    </row>
    <row r="603" spans="1:14" x14ac:dyDescent="0.3">
      <c r="A603" t="s">
        <v>649</v>
      </c>
      <c r="B603" t="s">
        <v>20</v>
      </c>
      <c r="C603" t="s">
        <v>31</v>
      </c>
      <c r="D603" t="s">
        <v>37</v>
      </c>
      <c r="E603" s="1">
        <v>45075</v>
      </c>
      <c r="F603" s="1">
        <v>45081</v>
      </c>
      <c r="G603">
        <v>19.899999999999999</v>
      </c>
      <c r="H603">
        <v>316.02999999999997</v>
      </c>
      <c r="I603" t="s">
        <v>15</v>
      </c>
      <c r="J603">
        <v>2488</v>
      </c>
      <c r="K603">
        <v>6</v>
      </c>
      <c r="L603" t="str">
        <f>IF(logistics_data[[#This Row],[Delivery_Date]]="","In Transit",
 IF(logistics_data[[#This Row],[Status]]="Lost","Lost",
 IF(logistics_data[[#This Row],[Status]]="Returned","Returned",
 IF(logistics_data[[#This Row],[Status]]="Delayed","Delayed",
 "Delivered"))))</f>
        <v>Delivered</v>
      </c>
      <c r="M603" s="2">
        <f>logistics_data[[#This Row],[Cost]]/logistics_data[[#This Row],[Distance_miles]]</f>
        <v>0.12702170418006431</v>
      </c>
      <c r="N603" t="str">
        <f>IF(logistics_data[[#This Row],[Orginal staus of shipment]]&lt;&gt;"Delivered","not applicabel", IF(logistics_data[[#This Row],[Transit_Days]]&gt;=5,"slow","fast"))</f>
        <v>slow</v>
      </c>
    </row>
    <row r="604" spans="1:14" x14ac:dyDescent="0.3">
      <c r="A604" t="s">
        <v>650</v>
      </c>
      <c r="B604" t="s">
        <v>39</v>
      </c>
      <c r="C604" t="s">
        <v>28</v>
      </c>
      <c r="D604" t="s">
        <v>37</v>
      </c>
      <c r="E604" s="1">
        <v>45250</v>
      </c>
      <c r="F604" s="1">
        <v>45260</v>
      </c>
      <c r="G604">
        <v>10.5</v>
      </c>
      <c r="H604">
        <v>325.38</v>
      </c>
      <c r="I604" t="s">
        <v>15</v>
      </c>
      <c r="J604">
        <v>2144</v>
      </c>
      <c r="K604">
        <v>10</v>
      </c>
      <c r="L604" t="str">
        <f>IF(logistics_data[[#This Row],[Delivery_Date]]="","In Transit",
 IF(logistics_data[[#This Row],[Status]]="Lost","Lost",
 IF(logistics_data[[#This Row],[Status]]="Returned","Returned",
 IF(logistics_data[[#This Row],[Status]]="Delayed","Delayed",
 "Delivered"))))</f>
        <v>Delivered</v>
      </c>
      <c r="M604" s="2">
        <f>logistics_data[[#This Row],[Cost]]/logistics_data[[#This Row],[Distance_miles]]</f>
        <v>0.15176305970149254</v>
      </c>
      <c r="N604" t="str">
        <f>IF(logistics_data[[#This Row],[Orginal staus of shipment]]&lt;&gt;"Delivered","not applicabel", IF(logistics_data[[#This Row],[Transit_Days]]&gt;=5,"slow","fast"))</f>
        <v>slow</v>
      </c>
    </row>
    <row r="605" spans="1:14" x14ac:dyDescent="0.3">
      <c r="A605" t="s">
        <v>651</v>
      </c>
      <c r="B605" t="s">
        <v>51</v>
      </c>
      <c r="C605" t="s">
        <v>28</v>
      </c>
      <c r="D605" t="s">
        <v>32</v>
      </c>
      <c r="E605" s="1">
        <v>45080</v>
      </c>
      <c r="F605" s="1">
        <v>45083</v>
      </c>
      <c r="G605">
        <v>4.2</v>
      </c>
      <c r="H605">
        <v>45.59</v>
      </c>
      <c r="I605" t="s">
        <v>15</v>
      </c>
      <c r="J605">
        <v>341</v>
      </c>
      <c r="K605">
        <v>3</v>
      </c>
      <c r="L605" t="str">
        <f>IF(logistics_data[[#This Row],[Delivery_Date]]="","In Transit",
 IF(logistics_data[[#This Row],[Status]]="Lost","Lost",
 IF(logistics_data[[#This Row],[Status]]="Returned","Returned",
 IF(logistics_data[[#This Row],[Status]]="Delayed","Delayed",
 "Delivered"))))</f>
        <v>Delivered</v>
      </c>
      <c r="M605" s="2">
        <f>logistics_data[[#This Row],[Cost]]/logistics_data[[#This Row],[Distance_miles]]</f>
        <v>0.1336950146627566</v>
      </c>
      <c r="N605" t="str">
        <f>IF(logistics_data[[#This Row],[Orginal staus of shipment]]&lt;&gt;"Delivered","not applicabel", IF(logistics_data[[#This Row],[Transit_Days]]&gt;=5,"slow","fast"))</f>
        <v>fast</v>
      </c>
    </row>
    <row r="606" spans="1:14" x14ac:dyDescent="0.3">
      <c r="A606" t="s">
        <v>652</v>
      </c>
      <c r="B606" t="s">
        <v>23</v>
      </c>
      <c r="C606" t="s">
        <v>46</v>
      </c>
      <c r="D606" t="s">
        <v>42</v>
      </c>
      <c r="E606" s="1">
        <v>44974</v>
      </c>
      <c r="F606" s="1">
        <v>44978</v>
      </c>
      <c r="G606">
        <v>17.899999999999999</v>
      </c>
      <c r="H606">
        <v>77.709999999999994</v>
      </c>
      <c r="I606" t="s">
        <v>15</v>
      </c>
      <c r="J606">
        <v>484</v>
      </c>
      <c r="K606">
        <v>4</v>
      </c>
      <c r="L606" t="str">
        <f>IF(logistics_data[[#This Row],[Delivery_Date]]="","In Transit",
 IF(logistics_data[[#This Row],[Status]]="Lost","Lost",
 IF(logistics_data[[#This Row],[Status]]="Returned","Returned",
 IF(logistics_data[[#This Row],[Status]]="Delayed","Delayed",
 "Delivered"))))</f>
        <v>Delivered</v>
      </c>
      <c r="M606" s="2">
        <f>logistics_data[[#This Row],[Cost]]/logistics_data[[#This Row],[Distance_miles]]</f>
        <v>0.1605578512396694</v>
      </c>
      <c r="N606" t="str">
        <f>IF(logistics_data[[#This Row],[Orginal staus of shipment]]&lt;&gt;"Delivered","not applicabel", IF(logistics_data[[#This Row],[Transit_Days]]&gt;=5,"slow","fast"))</f>
        <v>fast</v>
      </c>
    </row>
    <row r="607" spans="1:14" x14ac:dyDescent="0.3">
      <c r="A607" t="s">
        <v>653</v>
      </c>
      <c r="B607" t="s">
        <v>49</v>
      </c>
      <c r="C607" t="s">
        <v>40</v>
      </c>
      <c r="D607" t="s">
        <v>18</v>
      </c>
      <c r="E607" s="1">
        <v>45135</v>
      </c>
      <c r="F607" s="1">
        <v>45140</v>
      </c>
      <c r="G607">
        <v>6.9</v>
      </c>
      <c r="H607">
        <v>218.92</v>
      </c>
      <c r="I607" t="s">
        <v>15</v>
      </c>
      <c r="J607">
        <v>1461</v>
      </c>
      <c r="K607">
        <v>5</v>
      </c>
      <c r="L607" t="str">
        <f>IF(logistics_data[[#This Row],[Delivery_Date]]="","In Transit",
 IF(logistics_data[[#This Row],[Status]]="Lost","Lost",
 IF(logistics_data[[#This Row],[Status]]="Returned","Returned",
 IF(logistics_data[[#This Row],[Status]]="Delayed","Delayed",
 "Delivered"))))</f>
        <v>Delivered</v>
      </c>
      <c r="M607" s="2">
        <f>logistics_data[[#This Row],[Cost]]/logistics_data[[#This Row],[Distance_miles]]</f>
        <v>0.1498425735797399</v>
      </c>
      <c r="N607" t="str">
        <f>IF(logistics_data[[#This Row],[Orginal staus of shipment]]&lt;&gt;"Delivered","not applicabel", IF(logistics_data[[#This Row],[Transit_Days]]&gt;=5,"slow","fast"))</f>
        <v>slow</v>
      </c>
    </row>
    <row r="608" spans="1:14" x14ac:dyDescent="0.3">
      <c r="A608" t="s">
        <v>654</v>
      </c>
      <c r="B608" t="s">
        <v>20</v>
      </c>
      <c r="C608" t="s">
        <v>44</v>
      </c>
      <c r="D608" t="s">
        <v>37</v>
      </c>
      <c r="E608" s="1">
        <v>45278</v>
      </c>
      <c r="F608" s="1">
        <v>45283</v>
      </c>
      <c r="G608">
        <v>29.7</v>
      </c>
      <c r="H608">
        <v>149.52000000000001</v>
      </c>
      <c r="I608" t="s">
        <v>15</v>
      </c>
      <c r="J608">
        <v>766</v>
      </c>
      <c r="K608">
        <v>5</v>
      </c>
      <c r="L608" t="str">
        <f>IF(logistics_data[[#This Row],[Delivery_Date]]="","In Transit",
 IF(logistics_data[[#This Row],[Status]]="Lost","Lost",
 IF(logistics_data[[#This Row],[Status]]="Returned","Returned",
 IF(logistics_data[[#This Row],[Status]]="Delayed","Delayed",
 "Delivered"))))</f>
        <v>Delivered</v>
      </c>
      <c r="M608" s="2">
        <f>logistics_data[[#This Row],[Cost]]/logistics_data[[#This Row],[Distance_miles]]</f>
        <v>0.19519582245430811</v>
      </c>
      <c r="N608" t="str">
        <f>IF(logistics_data[[#This Row],[Orginal staus of shipment]]&lt;&gt;"Delivered","not applicabel", IF(logistics_data[[#This Row],[Transit_Days]]&gt;=5,"slow","fast"))</f>
        <v>slow</v>
      </c>
    </row>
    <row r="609" spans="1:14" x14ac:dyDescent="0.3">
      <c r="A609" t="s">
        <v>655</v>
      </c>
      <c r="B609" t="s">
        <v>30</v>
      </c>
      <c r="C609" t="s">
        <v>28</v>
      </c>
      <c r="D609" t="s">
        <v>32</v>
      </c>
      <c r="E609" s="1">
        <v>45082</v>
      </c>
      <c r="F609" s="1">
        <v>45087</v>
      </c>
      <c r="G609">
        <v>11.4</v>
      </c>
      <c r="H609">
        <v>179.35</v>
      </c>
      <c r="I609" t="s">
        <v>15</v>
      </c>
      <c r="J609">
        <v>1151</v>
      </c>
      <c r="K609">
        <v>5</v>
      </c>
      <c r="L609" t="str">
        <f>IF(logistics_data[[#This Row],[Delivery_Date]]="","In Transit",
 IF(logistics_data[[#This Row],[Status]]="Lost","Lost",
 IF(logistics_data[[#This Row],[Status]]="Returned","Returned",
 IF(logistics_data[[#This Row],[Status]]="Delayed","Delayed",
 "Delivered"))))</f>
        <v>Delivered</v>
      </c>
      <c r="M609" s="2">
        <f>logistics_data[[#This Row],[Cost]]/logistics_data[[#This Row],[Distance_miles]]</f>
        <v>0.15582102519548219</v>
      </c>
      <c r="N609" t="str">
        <f>IF(logistics_data[[#This Row],[Orginal staus of shipment]]&lt;&gt;"Delivered","not applicabel", IF(logistics_data[[#This Row],[Transit_Days]]&gt;=5,"slow","fast"))</f>
        <v>slow</v>
      </c>
    </row>
    <row r="610" spans="1:14" x14ac:dyDescent="0.3">
      <c r="A610" t="s">
        <v>656</v>
      </c>
      <c r="B610" t="s">
        <v>12</v>
      </c>
      <c r="C610" t="s">
        <v>13</v>
      </c>
      <c r="D610" t="s">
        <v>42</v>
      </c>
      <c r="E610" s="1">
        <v>45133</v>
      </c>
      <c r="F610" s="1">
        <v>45135</v>
      </c>
      <c r="G610">
        <v>11</v>
      </c>
      <c r="H610">
        <v>59.43</v>
      </c>
      <c r="I610" t="s">
        <v>15</v>
      </c>
      <c r="J610">
        <v>412</v>
      </c>
      <c r="K610">
        <v>2</v>
      </c>
      <c r="L610" t="str">
        <f>IF(logistics_data[[#This Row],[Delivery_Date]]="","In Transit",
 IF(logistics_data[[#This Row],[Status]]="Lost","Lost",
 IF(logistics_data[[#This Row],[Status]]="Returned","Returned",
 IF(logistics_data[[#This Row],[Status]]="Delayed","Delayed",
 "Delivered"))))</f>
        <v>Delivered</v>
      </c>
      <c r="M610" s="2">
        <f>logistics_data[[#This Row],[Cost]]/logistics_data[[#This Row],[Distance_miles]]</f>
        <v>0.14424757281553399</v>
      </c>
      <c r="N610" t="str">
        <f>IF(logistics_data[[#This Row],[Orginal staus of shipment]]&lt;&gt;"Delivered","not applicabel", IF(logistics_data[[#This Row],[Transit_Days]]&gt;=5,"slow","fast"))</f>
        <v>fast</v>
      </c>
    </row>
    <row r="611" spans="1:14" x14ac:dyDescent="0.3">
      <c r="A611" t="s">
        <v>657</v>
      </c>
      <c r="B611" t="s">
        <v>12</v>
      </c>
      <c r="C611" t="s">
        <v>28</v>
      </c>
      <c r="D611" t="s">
        <v>37</v>
      </c>
      <c r="E611" s="1">
        <v>44965</v>
      </c>
      <c r="F611" s="1">
        <v>44969</v>
      </c>
      <c r="G611">
        <v>19.7</v>
      </c>
      <c r="H611">
        <v>254.01</v>
      </c>
      <c r="I611" t="s">
        <v>15</v>
      </c>
      <c r="J611">
        <v>1858</v>
      </c>
      <c r="K611">
        <v>4</v>
      </c>
      <c r="L611" t="str">
        <f>IF(logistics_data[[#This Row],[Delivery_Date]]="","In Transit",
 IF(logistics_data[[#This Row],[Status]]="Lost","Lost",
 IF(logistics_data[[#This Row],[Status]]="Returned","Returned",
 IF(logistics_data[[#This Row],[Status]]="Delayed","Delayed",
 "Delivered"))))</f>
        <v>Delivered</v>
      </c>
      <c r="M611" s="2">
        <f>logistics_data[[#This Row],[Cost]]/logistics_data[[#This Row],[Distance_miles]]</f>
        <v>0.13671151776103335</v>
      </c>
      <c r="N611" t="str">
        <f>IF(logistics_data[[#This Row],[Orginal staus of shipment]]&lt;&gt;"Delivered","not applicabel", IF(logistics_data[[#This Row],[Transit_Days]]&gt;=5,"slow","fast"))</f>
        <v>fast</v>
      </c>
    </row>
    <row r="612" spans="1:14" x14ac:dyDescent="0.3">
      <c r="A612" t="s">
        <v>658</v>
      </c>
      <c r="B612" t="s">
        <v>39</v>
      </c>
      <c r="C612" t="s">
        <v>13</v>
      </c>
      <c r="D612" t="s">
        <v>42</v>
      </c>
      <c r="E612" s="1">
        <v>45217</v>
      </c>
      <c r="F612" s="1">
        <v>45233</v>
      </c>
      <c r="G612">
        <v>24.2</v>
      </c>
      <c r="H612">
        <v>284.17</v>
      </c>
      <c r="I612" t="s">
        <v>47</v>
      </c>
      <c r="J612">
        <v>2188</v>
      </c>
      <c r="K612">
        <v>5</v>
      </c>
      <c r="L612" t="str">
        <f>IF(logistics_data[[#This Row],[Delivery_Date]]="","In Transit",
 IF(logistics_data[[#This Row],[Status]]="Lost","Lost",
 IF(logistics_data[[#This Row],[Status]]="Returned","Returned",
 IF(logistics_data[[#This Row],[Status]]="Delayed","Delayed",
 "Delivered"))))</f>
        <v>Delayed</v>
      </c>
      <c r="M612" s="2">
        <f>logistics_data[[#This Row],[Cost]]/logistics_data[[#This Row],[Distance_miles]]</f>
        <v>0.12987659963436929</v>
      </c>
      <c r="N612" t="str">
        <f>IF(logistics_data[[#This Row],[Orginal staus of shipment]]&lt;&gt;"Delivered","not applicabel", IF(logistics_data[[#This Row],[Transit_Days]]&gt;=5,"slow","fast"))</f>
        <v>not applicabel</v>
      </c>
    </row>
    <row r="613" spans="1:14" x14ac:dyDescent="0.3">
      <c r="A613" t="s">
        <v>659</v>
      </c>
      <c r="B613" t="s">
        <v>39</v>
      </c>
      <c r="C613" t="s">
        <v>28</v>
      </c>
      <c r="D613" t="s">
        <v>32</v>
      </c>
      <c r="E613" s="1">
        <v>45176</v>
      </c>
      <c r="F613" s="1">
        <v>45179</v>
      </c>
      <c r="G613">
        <v>58.1</v>
      </c>
      <c r="H613">
        <v>217.03</v>
      </c>
      <c r="I613" t="s">
        <v>15</v>
      </c>
      <c r="J613">
        <v>1113</v>
      </c>
      <c r="K613">
        <v>3</v>
      </c>
      <c r="L613" t="str">
        <f>IF(logistics_data[[#This Row],[Delivery_Date]]="","In Transit",
 IF(logistics_data[[#This Row],[Status]]="Lost","Lost",
 IF(logistics_data[[#This Row],[Status]]="Returned","Returned",
 IF(logistics_data[[#This Row],[Status]]="Delayed","Delayed",
 "Delivered"))))</f>
        <v>Delivered</v>
      </c>
      <c r="M613" s="2">
        <f>logistics_data[[#This Row],[Cost]]/logistics_data[[#This Row],[Distance_miles]]</f>
        <v>0.19499550763701706</v>
      </c>
      <c r="N613" t="str">
        <f>IF(logistics_data[[#This Row],[Orginal staus of shipment]]&lt;&gt;"Delivered","not applicabel", IF(logistics_data[[#This Row],[Transit_Days]]&gt;=5,"slow","fast"))</f>
        <v>fast</v>
      </c>
    </row>
    <row r="614" spans="1:14" x14ac:dyDescent="0.3">
      <c r="A614" t="s">
        <v>660</v>
      </c>
      <c r="B614" t="s">
        <v>39</v>
      </c>
      <c r="C614" t="s">
        <v>24</v>
      </c>
      <c r="D614" t="s">
        <v>32</v>
      </c>
      <c r="E614" s="1">
        <v>45241</v>
      </c>
      <c r="F614" s="1">
        <v>45246</v>
      </c>
      <c r="G614">
        <v>0.3</v>
      </c>
      <c r="H614">
        <v>333.92</v>
      </c>
      <c r="I614" t="s">
        <v>15</v>
      </c>
      <c r="J614">
        <v>1775</v>
      </c>
      <c r="K614">
        <v>5</v>
      </c>
      <c r="L614" t="str">
        <f>IF(logistics_data[[#This Row],[Delivery_Date]]="","In Transit",
 IF(logistics_data[[#This Row],[Status]]="Lost","Lost",
 IF(logistics_data[[#This Row],[Status]]="Returned","Returned",
 IF(logistics_data[[#This Row],[Status]]="Delayed","Delayed",
 "Delivered"))))</f>
        <v>Delivered</v>
      </c>
      <c r="M614" s="2">
        <f>logistics_data[[#This Row],[Cost]]/logistics_data[[#This Row],[Distance_miles]]</f>
        <v>0.18812394366197183</v>
      </c>
      <c r="N614" t="str">
        <f>IF(logistics_data[[#This Row],[Orginal staus of shipment]]&lt;&gt;"Delivered","not applicabel", IF(logistics_data[[#This Row],[Transit_Days]]&gt;=5,"slow","fast"))</f>
        <v>slow</v>
      </c>
    </row>
    <row r="615" spans="1:14" x14ac:dyDescent="0.3">
      <c r="A615" t="s">
        <v>661</v>
      </c>
      <c r="B615" t="s">
        <v>56</v>
      </c>
      <c r="C615" t="s">
        <v>31</v>
      </c>
      <c r="D615" t="s">
        <v>37</v>
      </c>
      <c r="E615" s="1">
        <v>45225</v>
      </c>
      <c r="F615" s="1">
        <v>45229</v>
      </c>
      <c r="G615">
        <v>39</v>
      </c>
      <c r="H615">
        <v>61.95</v>
      </c>
      <c r="I615" t="s">
        <v>15</v>
      </c>
      <c r="J615">
        <v>109</v>
      </c>
      <c r="K615">
        <v>4</v>
      </c>
      <c r="L615" t="str">
        <f>IF(logistics_data[[#This Row],[Delivery_Date]]="","In Transit",
 IF(logistics_data[[#This Row],[Status]]="Lost","Lost",
 IF(logistics_data[[#This Row],[Status]]="Returned","Returned",
 IF(logistics_data[[#This Row],[Status]]="Delayed","Delayed",
 "Delivered"))))</f>
        <v>Delivered</v>
      </c>
      <c r="M615" s="2">
        <f>logistics_data[[#This Row],[Cost]]/logistics_data[[#This Row],[Distance_miles]]</f>
        <v>0.56834862385321105</v>
      </c>
      <c r="N615" t="str">
        <f>IF(logistics_data[[#This Row],[Orginal staus of shipment]]&lt;&gt;"Delivered","not applicabel", IF(logistics_data[[#This Row],[Transit_Days]]&gt;=5,"slow","fast"))</f>
        <v>fast</v>
      </c>
    </row>
    <row r="616" spans="1:14" x14ac:dyDescent="0.3">
      <c r="A616" t="s">
        <v>662</v>
      </c>
      <c r="B616" t="s">
        <v>35</v>
      </c>
      <c r="C616" t="s">
        <v>81</v>
      </c>
      <c r="D616" t="s">
        <v>14</v>
      </c>
      <c r="E616" s="1">
        <v>45194</v>
      </c>
      <c r="F616" s="1">
        <v>45198</v>
      </c>
      <c r="G616">
        <v>16.5</v>
      </c>
      <c r="H616">
        <v>143.91</v>
      </c>
      <c r="I616" t="s">
        <v>15</v>
      </c>
      <c r="J616">
        <v>1000</v>
      </c>
      <c r="K616">
        <v>4</v>
      </c>
      <c r="L616" t="str">
        <f>IF(logistics_data[[#This Row],[Delivery_Date]]="","In Transit",
 IF(logistics_data[[#This Row],[Status]]="Lost","Lost",
 IF(logistics_data[[#This Row],[Status]]="Returned","Returned",
 IF(logistics_data[[#This Row],[Status]]="Delayed","Delayed",
 "Delivered"))))</f>
        <v>Delivered</v>
      </c>
      <c r="M616" s="2">
        <f>logistics_data[[#This Row],[Cost]]/logistics_data[[#This Row],[Distance_miles]]</f>
        <v>0.14391000000000001</v>
      </c>
      <c r="N616" t="str">
        <f>IF(logistics_data[[#This Row],[Orginal staus of shipment]]&lt;&gt;"Delivered","not applicabel", IF(logistics_data[[#This Row],[Transit_Days]]&gt;=5,"slow","fast"))</f>
        <v>fast</v>
      </c>
    </row>
    <row r="617" spans="1:14" x14ac:dyDescent="0.3">
      <c r="A617" t="s">
        <v>663</v>
      </c>
      <c r="B617" t="s">
        <v>30</v>
      </c>
      <c r="C617" t="s">
        <v>36</v>
      </c>
      <c r="D617" t="s">
        <v>14</v>
      </c>
      <c r="E617" s="1">
        <v>45032</v>
      </c>
      <c r="F617" s="1">
        <v>45038</v>
      </c>
      <c r="G617">
        <v>12.9</v>
      </c>
      <c r="H617">
        <v>56.83</v>
      </c>
      <c r="I617" t="s">
        <v>47</v>
      </c>
      <c r="J617">
        <v>354</v>
      </c>
      <c r="K617">
        <v>1</v>
      </c>
      <c r="L617" t="str">
        <f>IF(logistics_data[[#This Row],[Delivery_Date]]="","In Transit",
 IF(logistics_data[[#This Row],[Status]]="Lost","Lost",
 IF(logistics_data[[#This Row],[Status]]="Returned","Returned",
 IF(logistics_data[[#This Row],[Status]]="Delayed","Delayed",
 "Delivered"))))</f>
        <v>Delayed</v>
      </c>
      <c r="M617" s="2">
        <f>logistics_data[[#This Row],[Cost]]/logistics_data[[#This Row],[Distance_miles]]</f>
        <v>0.16053672316384179</v>
      </c>
      <c r="N617" t="str">
        <f>IF(logistics_data[[#This Row],[Orginal staus of shipment]]&lt;&gt;"Delivered","not applicabel", IF(logistics_data[[#This Row],[Transit_Days]]&gt;=5,"slow","fast"))</f>
        <v>not applicabel</v>
      </c>
    </row>
    <row r="618" spans="1:14" x14ac:dyDescent="0.3">
      <c r="A618" t="s">
        <v>664</v>
      </c>
      <c r="B618" t="s">
        <v>30</v>
      </c>
      <c r="C618" t="s">
        <v>54</v>
      </c>
      <c r="D618" t="s">
        <v>32</v>
      </c>
      <c r="E618" s="1">
        <v>45040</v>
      </c>
      <c r="F618" s="1">
        <v>45042</v>
      </c>
      <c r="G618">
        <v>11.5</v>
      </c>
      <c r="H618">
        <v>114.38</v>
      </c>
      <c r="I618" t="s">
        <v>15</v>
      </c>
      <c r="J618">
        <v>752</v>
      </c>
      <c r="K618">
        <v>2</v>
      </c>
      <c r="L618" t="str">
        <f>IF(logistics_data[[#This Row],[Delivery_Date]]="","In Transit",
 IF(logistics_data[[#This Row],[Status]]="Lost","Lost",
 IF(logistics_data[[#This Row],[Status]]="Returned","Returned",
 IF(logistics_data[[#This Row],[Status]]="Delayed","Delayed",
 "Delivered"))))</f>
        <v>Delivered</v>
      </c>
      <c r="M618" s="2">
        <f>logistics_data[[#This Row],[Cost]]/logistics_data[[#This Row],[Distance_miles]]</f>
        <v>0.15210106382978722</v>
      </c>
      <c r="N618" t="str">
        <f>IF(logistics_data[[#This Row],[Orginal staus of shipment]]&lt;&gt;"Delivered","not applicabel", IF(logistics_data[[#This Row],[Transit_Days]]&gt;=5,"slow","fast"))</f>
        <v>fast</v>
      </c>
    </row>
    <row r="619" spans="1:14" x14ac:dyDescent="0.3">
      <c r="A619" t="s">
        <v>665</v>
      </c>
      <c r="B619" t="s">
        <v>30</v>
      </c>
      <c r="C619" t="s">
        <v>81</v>
      </c>
      <c r="D619" t="s">
        <v>37</v>
      </c>
      <c r="E619" s="1">
        <v>45195</v>
      </c>
      <c r="F619" s="1">
        <v>45201</v>
      </c>
      <c r="G619">
        <v>37.700000000000003</v>
      </c>
      <c r="H619">
        <v>286.39999999999998</v>
      </c>
      <c r="I619" t="s">
        <v>15</v>
      </c>
      <c r="J619">
        <v>2253</v>
      </c>
      <c r="K619">
        <v>6</v>
      </c>
      <c r="L619" t="str">
        <f>IF(logistics_data[[#This Row],[Delivery_Date]]="","In Transit",
 IF(logistics_data[[#This Row],[Status]]="Lost","Lost",
 IF(logistics_data[[#This Row],[Status]]="Returned","Returned",
 IF(logistics_data[[#This Row],[Status]]="Delayed","Delayed",
 "Delivered"))))</f>
        <v>Delivered</v>
      </c>
      <c r="M619" s="2">
        <f>logistics_data[[#This Row],[Cost]]/logistics_data[[#This Row],[Distance_miles]]</f>
        <v>0.12711939636040834</v>
      </c>
      <c r="N619" t="str">
        <f>IF(logistics_data[[#This Row],[Orginal staus of shipment]]&lt;&gt;"Delivered","not applicabel", IF(logistics_data[[#This Row],[Transit_Days]]&gt;=5,"slow","fast"))</f>
        <v>slow</v>
      </c>
    </row>
    <row r="620" spans="1:14" x14ac:dyDescent="0.3">
      <c r="A620" t="s">
        <v>666</v>
      </c>
      <c r="B620" t="s">
        <v>35</v>
      </c>
      <c r="C620" t="s">
        <v>81</v>
      </c>
      <c r="D620" t="s">
        <v>42</v>
      </c>
      <c r="E620" s="1">
        <v>45094</v>
      </c>
      <c r="F620" s="1">
        <v>45098</v>
      </c>
      <c r="G620">
        <v>8.6</v>
      </c>
      <c r="H620">
        <v>119.7</v>
      </c>
      <c r="I620" t="s">
        <v>15</v>
      </c>
      <c r="J620">
        <v>1000</v>
      </c>
      <c r="K620">
        <v>4</v>
      </c>
      <c r="L620" t="str">
        <f>IF(logistics_data[[#This Row],[Delivery_Date]]="","In Transit",
 IF(logistics_data[[#This Row],[Status]]="Lost","Lost",
 IF(logistics_data[[#This Row],[Status]]="Returned","Returned",
 IF(logistics_data[[#This Row],[Status]]="Delayed","Delayed",
 "Delivered"))))</f>
        <v>Delivered</v>
      </c>
      <c r="M620" s="2">
        <f>logistics_data[[#This Row],[Cost]]/logistics_data[[#This Row],[Distance_miles]]</f>
        <v>0.1197</v>
      </c>
      <c r="N620" t="str">
        <f>IF(logistics_data[[#This Row],[Orginal staus of shipment]]&lt;&gt;"Delivered","not applicabel", IF(logistics_data[[#This Row],[Transit_Days]]&gt;=5,"slow","fast"))</f>
        <v>fast</v>
      </c>
    </row>
    <row r="621" spans="1:14" x14ac:dyDescent="0.3">
      <c r="A621" t="s">
        <v>667</v>
      </c>
      <c r="B621" t="s">
        <v>27</v>
      </c>
      <c r="C621" t="s">
        <v>52</v>
      </c>
      <c r="D621" t="s">
        <v>42</v>
      </c>
      <c r="E621" s="1">
        <v>45276</v>
      </c>
      <c r="F621" s="1">
        <v>45285</v>
      </c>
      <c r="G621">
        <v>43.2</v>
      </c>
      <c r="H621">
        <v>416.42</v>
      </c>
      <c r="I621" t="s">
        <v>47</v>
      </c>
      <c r="J621">
        <v>2266</v>
      </c>
      <c r="K621">
        <v>7</v>
      </c>
      <c r="L621" t="str">
        <f>IF(logistics_data[[#This Row],[Delivery_Date]]="","In Transit",
 IF(logistics_data[[#This Row],[Status]]="Lost","Lost",
 IF(logistics_data[[#This Row],[Status]]="Returned","Returned",
 IF(logistics_data[[#This Row],[Status]]="Delayed","Delayed",
 "Delivered"))))</f>
        <v>Delayed</v>
      </c>
      <c r="M621" s="2">
        <f>logistics_data[[#This Row],[Cost]]/logistics_data[[#This Row],[Distance_miles]]</f>
        <v>0.18376875551632835</v>
      </c>
      <c r="N621" t="str">
        <f>IF(logistics_data[[#This Row],[Orginal staus of shipment]]&lt;&gt;"Delivered","not applicabel", IF(logistics_data[[#This Row],[Transit_Days]]&gt;=5,"slow","fast"))</f>
        <v>not applicabel</v>
      </c>
    </row>
    <row r="622" spans="1:14" x14ac:dyDescent="0.3">
      <c r="A622" t="s">
        <v>668</v>
      </c>
      <c r="B622" t="s">
        <v>30</v>
      </c>
      <c r="C622" t="s">
        <v>57</v>
      </c>
      <c r="D622" t="s">
        <v>18</v>
      </c>
      <c r="E622" s="1">
        <v>45187</v>
      </c>
      <c r="F622" s="1">
        <v>45196</v>
      </c>
      <c r="G622">
        <v>51.8</v>
      </c>
      <c r="H622">
        <v>201.57</v>
      </c>
      <c r="I622" t="s">
        <v>47</v>
      </c>
      <c r="J622">
        <v>1014</v>
      </c>
      <c r="K622">
        <v>3</v>
      </c>
      <c r="L622" t="str">
        <f>IF(logistics_data[[#This Row],[Delivery_Date]]="","In Transit",
 IF(logistics_data[[#This Row],[Status]]="Lost","Lost",
 IF(logistics_data[[#This Row],[Status]]="Returned","Returned",
 IF(logistics_data[[#This Row],[Status]]="Delayed","Delayed",
 "Delivered"))))</f>
        <v>Delayed</v>
      </c>
      <c r="M622" s="2">
        <f>logistics_data[[#This Row],[Cost]]/logistics_data[[#This Row],[Distance_miles]]</f>
        <v>0.1987869822485207</v>
      </c>
      <c r="N622" t="str">
        <f>IF(logistics_data[[#This Row],[Orginal staus of shipment]]&lt;&gt;"Delivered","not applicabel", IF(logistics_data[[#This Row],[Transit_Days]]&gt;=5,"slow","fast"))</f>
        <v>not applicabel</v>
      </c>
    </row>
    <row r="623" spans="1:14" x14ac:dyDescent="0.3">
      <c r="A623" t="s">
        <v>669</v>
      </c>
      <c r="B623" t="s">
        <v>23</v>
      </c>
      <c r="C623" t="s">
        <v>36</v>
      </c>
      <c r="D623" t="s">
        <v>59</v>
      </c>
      <c r="E623" s="1">
        <v>45244</v>
      </c>
      <c r="F623" s="1">
        <v>45252</v>
      </c>
      <c r="G623">
        <v>21.4</v>
      </c>
      <c r="H623">
        <v>276.47000000000003</v>
      </c>
      <c r="I623" t="s">
        <v>15</v>
      </c>
      <c r="J623">
        <v>1837</v>
      </c>
      <c r="K623">
        <v>8</v>
      </c>
      <c r="L623" t="str">
        <f>IF(logistics_data[[#This Row],[Delivery_Date]]="","In Transit",
 IF(logistics_data[[#This Row],[Status]]="Lost","Lost",
 IF(logistics_data[[#This Row],[Status]]="Returned","Returned",
 IF(logistics_data[[#This Row],[Status]]="Delayed","Delayed",
 "Delivered"))))</f>
        <v>Delivered</v>
      </c>
      <c r="M623" s="2">
        <f>logistics_data[[#This Row],[Cost]]/logistics_data[[#This Row],[Distance_miles]]</f>
        <v>0.15050081654872074</v>
      </c>
      <c r="N623" t="str">
        <f>IF(logistics_data[[#This Row],[Orginal staus of shipment]]&lt;&gt;"Delivered","not applicabel", IF(logistics_data[[#This Row],[Transit_Days]]&gt;=5,"slow","fast"))</f>
        <v>slow</v>
      </c>
    </row>
    <row r="624" spans="1:14" x14ac:dyDescent="0.3">
      <c r="A624" t="s">
        <v>670</v>
      </c>
      <c r="B624" t="s">
        <v>39</v>
      </c>
      <c r="C624" t="s">
        <v>44</v>
      </c>
      <c r="D624" t="s">
        <v>25</v>
      </c>
      <c r="E624" s="1">
        <v>44974</v>
      </c>
      <c r="F624" s="1">
        <v>44977</v>
      </c>
      <c r="G624">
        <v>34.200000000000003</v>
      </c>
      <c r="H624">
        <v>73.58</v>
      </c>
      <c r="I624" t="s">
        <v>15</v>
      </c>
      <c r="J624">
        <v>264</v>
      </c>
      <c r="K624">
        <v>3</v>
      </c>
      <c r="L624" t="str">
        <f>IF(logistics_data[[#This Row],[Delivery_Date]]="","In Transit",
 IF(logistics_data[[#This Row],[Status]]="Lost","Lost",
 IF(logistics_data[[#This Row],[Status]]="Returned","Returned",
 IF(logistics_data[[#This Row],[Status]]="Delayed","Delayed",
 "Delivered"))))</f>
        <v>Delivered</v>
      </c>
      <c r="M624" s="2">
        <f>logistics_data[[#This Row],[Cost]]/logistics_data[[#This Row],[Distance_miles]]</f>
        <v>0.27871212121212119</v>
      </c>
      <c r="N624" t="str">
        <f>IF(logistics_data[[#This Row],[Orginal staus of shipment]]&lt;&gt;"Delivered","not applicabel", IF(logistics_data[[#This Row],[Transit_Days]]&gt;=5,"slow","fast"))</f>
        <v>fast</v>
      </c>
    </row>
    <row r="625" spans="1:14" x14ac:dyDescent="0.3">
      <c r="A625" t="s">
        <v>671</v>
      </c>
      <c r="B625" t="s">
        <v>20</v>
      </c>
      <c r="C625" t="s">
        <v>40</v>
      </c>
      <c r="D625" t="s">
        <v>32</v>
      </c>
      <c r="E625" s="1">
        <v>45199</v>
      </c>
      <c r="F625" s="1">
        <v>45202</v>
      </c>
      <c r="G625">
        <v>27.8</v>
      </c>
      <c r="H625">
        <v>172.58</v>
      </c>
      <c r="I625" t="s">
        <v>15</v>
      </c>
      <c r="J625">
        <v>920</v>
      </c>
      <c r="K625">
        <v>3</v>
      </c>
      <c r="L625" t="str">
        <f>IF(logistics_data[[#This Row],[Delivery_Date]]="","In Transit",
 IF(logistics_data[[#This Row],[Status]]="Lost","Lost",
 IF(logistics_data[[#This Row],[Status]]="Returned","Returned",
 IF(logistics_data[[#This Row],[Status]]="Delayed","Delayed",
 "Delivered"))))</f>
        <v>Delivered</v>
      </c>
      <c r="M625" s="2">
        <f>logistics_data[[#This Row],[Cost]]/logistics_data[[#This Row],[Distance_miles]]</f>
        <v>0.18758695652173915</v>
      </c>
      <c r="N625" t="str">
        <f>IF(logistics_data[[#This Row],[Orginal staus of shipment]]&lt;&gt;"Delivered","not applicabel", IF(logistics_data[[#This Row],[Transit_Days]]&gt;=5,"slow","fast"))</f>
        <v>fast</v>
      </c>
    </row>
    <row r="626" spans="1:14" x14ac:dyDescent="0.3">
      <c r="A626" t="s">
        <v>672</v>
      </c>
      <c r="B626" t="s">
        <v>23</v>
      </c>
      <c r="C626" t="s">
        <v>28</v>
      </c>
      <c r="D626" t="s">
        <v>32</v>
      </c>
      <c r="E626" s="1">
        <v>45021</v>
      </c>
      <c r="F626" s="1">
        <v>45025</v>
      </c>
      <c r="G626">
        <v>3.3</v>
      </c>
      <c r="H626">
        <v>52.34</v>
      </c>
      <c r="I626" t="s">
        <v>15</v>
      </c>
      <c r="J626">
        <v>385</v>
      </c>
      <c r="K626">
        <v>4</v>
      </c>
      <c r="L626" t="str">
        <f>IF(logistics_data[[#This Row],[Delivery_Date]]="","In Transit",
 IF(logistics_data[[#This Row],[Status]]="Lost","Lost",
 IF(logistics_data[[#This Row],[Status]]="Returned","Returned",
 IF(logistics_data[[#This Row],[Status]]="Delayed","Delayed",
 "Delivered"))))</f>
        <v>Delivered</v>
      </c>
      <c r="M626" s="2">
        <f>logistics_data[[#This Row],[Cost]]/logistics_data[[#This Row],[Distance_miles]]</f>
        <v>0.13594805194805196</v>
      </c>
      <c r="N626" t="str">
        <f>IF(logistics_data[[#This Row],[Orginal staus of shipment]]&lt;&gt;"Delivered","not applicabel", IF(logistics_data[[#This Row],[Transit_Days]]&gt;=5,"slow","fast"))</f>
        <v>fast</v>
      </c>
    </row>
    <row r="627" spans="1:14" x14ac:dyDescent="0.3">
      <c r="A627" t="s">
        <v>673</v>
      </c>
      <c r="B627" t="s">
        <v>35</v>
      </c>
      <c r="C627" t="s">
        <v>13</v>
      </c>
      <c r="D627" t="s">
        <v>18</v>
      </c>
      <c r="E627" s="1">
        <v>45094</v>
      </c>
      <c r="F627" s="1">
        <v>45098</v>
      </c>
      <c r="G627">
        <v>22.5</v>
      </c>
      <c r="H627">
        <v>252.88</v>
      </c>
      <c r="I627" t="s">
        <v>15</v>
      </c>
      <c r="J627">
        <v>1650</v>
      </c>
      <c r="K627">
        <v>4</v>
      </c>
      <c r="L627" t="str">
        <f>IF(logistics_data[[#This Row],[Delivery_Date]]="","In Transit",
 IF(logistics_data[[#This Row],[Status]]="Lost","Lost",
 IF(logistics_data[[#This Row],[Status]]="Returned","Returned",
 IF(logistics_data[[#This Row],[Status]]="Delayed","Delayed",
 "Delivered"))))</f>
        <v>Delivered</v>
      </c>
      <c r="M627" s="2">
        <f>logistics_data[[#This Row],[Cost]]/logistics_data[[#This Row],[Distance_miles]]</f>
        <v>0.15326060606060607</v>
      </c>
      <c r="N627" t="str">
        <f>IF(logistics_data[[#This Row],[Orginal staus of shipment]]&lt;&gt;"Delivered","not applicabel", IF(logistics_data[[#This Row],[Transit_Days]]&gt;=5,"slow","fast"))</f>
        <v>fast</v>
      </c>
    </row>
    <row r="628" spans="1:14" x14ac:dyDescent="0.3">
      <c r="A628" t="s">
        <v>674</v>
      </c>
      <c r="B628" t="s">
        <v>12</v>
      </c>
      <c r="C628" t="s">
        <v>57</v>
      </c>
      <c r="D628" t="s">
        <v>25</v>
      </c>
      <c r="E628" s="1">
        <v>45193</v>
      </c>
      <c r="F628" s="1">
        <v>45199</v>
      </c>
      <c r="G628">
        <v>16.3</v>
      </c>
      <c r="H628">
        <v>274.14999999999998</v>
      </c>
      <c r="I628" t="s">
        <v>15</v>
      </c>
      <c r="J628">
        <v>2133</v>
      </c>
      <c r="K628">
        <v>6</v>
      </c>
      <c r="L628" t="str">
        <f>IF(logistics_data[[#This Row],[Delivery_Date]]="","In Transit",
 IF(logistics_data[[#This Row],[Status]]="Lost","Lost",
 IF(logistics_data[[#This Row],[Status]]="Returned","Returned",
 IF(logistics_data[[#This Row],[Status]]="Delayed","Delayed",
 "Delivered"))))</f>
        <v>Delivered</v>
      </c>
      <c r="M628" s="2">
        <f>logistics_data[[#This Row],[Cost]]/logistics_data[[#This Row],[Distance_miles]]</f>
        <v>0.12852789498359118</v>
      </c>
      <c r="N628" t="str">
        <f>IF(logistics_data[[#This Row],[Orginal staus of shipment]]&lt;&gt;"Delivered","not applicabel", IF(logistics_data[[#This Row],[Transit_Days]]&gt;=5,"slow","fast"))</f>
        <v>slow</v>
      </c>
    </row>
    <row r="629" spans="1:14" x14ac:dyDescent="0.3">
      <c r="A629" t="s">
        <v>675</v>
      </c>
      <c r="B629" t="s">
        <v>27</v>
      </c>
      <c r="C629" t="s">
        <v>13</v>
      </c>
      <c r="D629" t="s">
        <v>32</v>
      </c>
      <c r="E629" s="1">
        <v>45245</v>
      </c>
      <c r="F629" s="1">
        <v>45250</v>
      </c>
      <c r="G629">
        <v>7</v>
      </c>
      <c r="H629">
        <v>194.75</v>
      </c>
      <c r="I629" t="s">
        <v>62</v>
      </c>
      <c r="J629">
        <v>1191</v>
      </c>
      <c r="K629">
        <v>5</v>
      </c>
      <c r="L629" t="str">
        <f>IF(logistics_data[[#This Row],[Delivery_Date]]="","In Transit",
 IF(logistics_data[[#This Row],[Status]]="Lost","Lost",
 IF(logistics_data[[#This Row],[Status]]="Returned","Returned",
 IF(logistics_data[[#This Row],[Status]]="Delayed","Delayed",
 "Delivered"))))</f>
        <v>Delivered</v>
      </c>
      <c r="M629" s="2">
        <f>logistics_data[[#This Row],[Cost]]/logistics_data[[#This Row],[Distance_miles]]</f>
        <v>0.16351805205709488</v>
      </c>
      <c r="N629" t="str">
        <f>IF(logistics_data[[#This Row],[Orginal staus of shipment]]&lt;&gt;"Delivered","not applicabel", IF(logistics_data[[#This Row],[Transit_Days]]&gt;=5,"slow","fast"))</f>
        <v>slow</v>
      </c>
    </row>
    <row r="630" spans="1:14" x14ac:dyDescent="0.3">
      <c r="A630" t="s">
        <v>676</v>
      </c>
      <c r="B630" t="s">
        <v>20</v>
      </c>
      <c r="C630" t="s">
        <v>54</v>
      </c>
      <c r="D630" t="s">
        <v>59</v>
      </c>
      <c r="E630" s="1">
        <v>44931</v>
      </c>
      <c r="F630" s="1">
        <v>44934</v>
      </c>
      <c r="G630">
        <v>27.1</v>
      </c>
      <c r="H630">
        <v>133.41999999999999</v>
      </c>
      <c r="I630" t="s">
        <v>60</v>
      </c>
      <c r="J630">
        <v>836</v>
      </c>
      <c r="K630">
        <v>3</v>
      </c>
      <c r="L630" t="str">
        <f>IF(logistics_data[[#This Row],[Delivery_Date]]="","In Transit",
 IF(logistics_data[[#This Row],[Status]]="Lost","Lost",
 IF(logistics_data[[#This Row],[Status]]="Returned","Returned",
 IF(logistics_data[[#This Row],[Status]]="Delayed","Delayed",
 "Delivered"))))</f>
        <v>Lost</v>
      </c>
      <c r="M630" s="2">
        <f>logistics_data[[#This Row],[Cost]]/logistics_data[[#This Row],[Distance_miles]]</f>
        <v>0.15959330143540668</v>
      </c>
      <c r="N630" t="str">
        <f>IF(logistics_data[[#This Row],[Orginal staus of shipment]]&lt;&gt;"Delivered","not applicabel", IF(logistics_data[[#This Row],[Transit_Days]]&gt;=5,"slow","fast"))</f>
        <v>not applicabel</v>
      </c>
    </row>
    <row r="631" spans="1:14" x14ac:dyDescent="0.3">
      <c r="A631" t="s">
        <v>677</v>
      </c>
      <c r="B631" t="s">
        <v>35</v>
      </c>
      <c r="C631" t="s">
        <v>81</v>
      </c>
      <c r="D631" t="s">
        <v>32</v>
      </c>
      <c r="E631" s="1">
        <v>45203</v>
      </c>
      <c r="F631" s="1">
        <v>45205</v>
      </c>
      <c r="G631">
        <v>11.9</v>
      </c>
      <c r="H631">
        <v>149.69999999999999</v>
      </c>
      <c r="I631" t="s">
        <v>15</v>
      </c>
      <c r="J631">
        <v>1000</v>
      </c>
      <c r="K631">
        <v>2</v>
      </c>
      <c r="L631" t="str">
        <f>IF(logistics_data[[#This Row],[Delivery_Date]]="","In Transit",
 IF(logistics_data[[#This Row],[Status]]="Lost","Lost",
 IF(logistics_data[[#This Row],[Status]]="Returned","Returned",
 IF(logistics_data[[#This Row],[Status]]="Delayed","Delayed",
 "Delivered"))))</f>
        <v>Delivered</v>
      </c>
      <c r="M631" s="2">
        <f>logistics_data[[#This Row],[Cost]]/logistics_data[[#This Row],[Distance_miles]]</f>
        <v>0.1497</v>
      </c>
      <c r="N631" t="str">
        <f>IF(logistics_data[[#This Row],[Orginal staus of shipment]]&lt;&gt;"Delivered","not applicabel", IF(logistics_data[[#This Row],[Transit_Days]]&gt;=5,"slow","fast"))</f>
        <v>fast</v>
      </c>
    </row>
    <row r="632" spans="1:14" x14ac:dyDescent="0.3">
      <c r="A632" t="s">
        <v>678</v>
      </c>
      <c r="B632" t="s">
        <v>27</v>
      </c>
      <c r="C632" t="s">
        <v>70</v>
      </c>
      <c r="D632" t="s">
        <v>18</v>
      </c>
      <c r="E632" s="1">
        <v>45150</v>
      </c>
      <c r="F632" s="1">
        <v>45152</v>
      </c>
      <c r="G632">
        <v>54.7</v>
      </c>
      <c r="H632">
        <v>191.49</v>
      </c>
      <c r="I632" t="s">
        <v>15</v>
      </c>
      <c r="J632">
        <v>723</v>
      </c>
      <c r="K632">
        <v>2</v>
      </c>
      <c r="L632" t="str">
        <f>IF(logistics_data[[#This Row],[Delivery_Date]]="","In Transit",
 IF(logistics_data[[#This Row],[Status]]="Lost","Lost",
 IF(logistics_data[[#This Row],[Status]]="Returned","Returned",
 IF(logistics_data[[#This Row],[Status]]="Delayed","Delayed",
 "Delivered"))))</f>
        <v>Delivered</v>
      </c>
      <c r="M632" s="2">
        <f>logistics_data[[#This Row],[Cost]]/logistics_data[[#This Row],[Distance_miles]]</f>
        <v>0.26485477178423239</v>
      </c>
      <c r="N632" t="str">
        <f>IF(logistics_data[[#This Row],[Orginal staus of shipment]]&lt;&gt;"Delivered","not applicabel", IF(logistics_data[[#This Row],[Transit_Days]]&gt;=5,"slow","fast"))</f>
        <v>fast</v>
      </c>
    </row>
    <row r="633" spans="1:14" x14ac:dyDescent="0.3">
      <c r="A633" t="s">
        <v>679</v>
      </c>
      <c r="B633" t="s">
        <v>12</v>
      </c>
      <c r="C633" t="s">
        <v>70</v>
      </c>
      <c r="D633" t="s">
        <v>32</v>
      </c>
      <c r="E633" s="1">
        <v>45133</v>
      </c>
      <c r="F633" s="1">
        <v>45139</v>
      </c>
      <c r="G633">
        <v>26</v>
      </c>
      <c r="H633">
        <v>304.66000000000003</v>
      </c>
      <c r="I633" t="s">
        <v>60</v>
      </c>
      <c r="J633">
        <v>1990</v>
      </c>
      <c r="K633">
        <v>6</v>
      </c>
      <c r="L633" t="str">
        <f>IF(logistics_data[[#This Row],[Delivery_Date]]="","In Transit",
 IF(logistics_data[[#This Row],[Status]]="Lost","Lost",
 IF(logistics_data[[#This Row],[Status]]="Returned","Returned",
 IF(logistics_data[[#This Row],[Status]]="Delayed","Delayed",
 "Delivered"))))</f>
        <v>Lost</v>
      </c>
      <c r="M633" s="2">
        <f>logistics_data[[#This Row],[Cost]]/logistics_data[[#This Row],[Distance_miles]]</f>
        <v>0.15309547738693469</v>
      </c>
      <c r="N633" t="str">
        <f>IF(logistics_data[[#This Row],[Orginal staus of shipment]]&lt;&gt;"Delivered","not applicabel", IF(logistics_data[[#This Row],[Transit_Days]]&gt;=5,"slow","fast"))</f>
        <v>not applicabel</v>
      </c>
    </row>
    <row r="634" spans="1:14" x14ac:dyDescent="0.3">
      <c r="A634" t="s">
        <v>680</v>
      </c>
      <c r="B634" t="s">
        <v>23</v>
      </c>
      <c r="C634" t="s">
        <v>57</v>
      </c>
      <c r="D634" t="s">
        <v>14</v>
      </c>
      <c r="E634" s="1">
        <v>45237</v>
      </c>
      <c r="F634" s="1">
        <v>45239</v>
      </c>
      <c r="G634">
        <v>6.9</v>
      </c>
      <c r="H634">
        <v>107.24</v>
      </c>
      <c r="I634" t="s">
        <v>15</v>
      </c>
      <c r="J634">
        <v>660</v>
      </c>
      <c r="K634">
        <v>2</v>
      </c>
      <c r="L634" t="str">
        <f>IF(logistics_data[[#This Row],[Delivery_Date]]="","In Transit",
 IF(logistics_data[[#This Row],[Status]]="Lost","Lost",
 IF(logistics_data[[#This Row],[Status]]="Returned","Returned",
 IF(logistics_data[[#This Row],[Status]]="Delayed","Delayed",
 "Delivered"))))</f>
        <v>Delivered</v>
      </c>
      <c r="M634" s="2">
        <f>logistics_data[[#This Row],[Cost]]/logistics_data[[#This Row],[Distance_miles]]</f>
        <v>0.16248484848484848</v>
      </c>
      <c r="N634" t="str">
        <f>IF(logistics_data[[#This Row],[Orginal staus of shipment]]&lt;&gt;"Delivered","not applicabel", IF(logistics_data[[#This Row],[Transit_Days]]&gt;=5,"slow","fast"))</f>
        <v>fast</v>
      </c>
    </row>
    <row r="635" spans="1:14" x14ac:dyDescent="0.3">
      <c r="A635" t="s">
        <v>681</v>
      </c>
      <c r="B635" t="s">
        <v>30</v>
      </c>
      <c r="C635" t="s">
        <v>21</v>
      </c>
      <c r="D635" t="s">
        <v>14</v>
      </c>
      <c r="E635" s="1">
        <v>45128</v>
      </c>
      <c r="F635" s="1">
        <v>45134</v>
      </c>
      <c r="G635">
        <v>44.1</v>
      </c>
      <c r="H635">
        <v>340.74</v>
      </c>
      <c r="I635" t="s">
        <v>15</v>
      </c>
      <c r="J635">
        <v>2174</v>
      </c>
      <c r="K635">
        <v>6</v>
      </c>
      <c r="L635" t="str">
        <f>IF(logistics_data[[#This Row],[Delivery_Date]]="","In Transit",
 IF(logistics_data[[#This Row],[Status]]="Lost","Lost",
 IF(logistics_data[[#This Row],[Status]]="Returned","Returned",
 IF(logistics_data[[#This Row],[Status]]="Delayed","Delayed",
 "Delivered"))))</f>
        <v>Delivered</v>
      </c>
      <c r="M635" s="2">
        <f>logistics_data[[#This Row],[Cost]]/logistics_data[[#This Row],[Distance_miles]]</f>
        <v>0.15673413063477462</v>
      </c>
      <c r="N635" t="str">
        <f>IF(logistics_data[[#This Row],[Orginal staus of shipment]]&lt;&gt;"Delivered","not applicabel", IF(logistics_data[[#This Row],[Transit_Days]]&gt;=5,"slow","fast"))</f>
        <v>slow</v>
      </c>
    </row>
    <row r="636" spans="1:14" x14ac:dyDescent="0.3">
      <c r="A636" t="s">
        <v>682</v>
      </c>
      <c r="B636" t="s">
        <v>30</v>
      </c>
      <c r="C636" t="s">
        <v>57</v>
      </c>
      <c r="D636" t="s">
        <v>59</v>
      </c>
      <c r="E636" s="1">
        <v>45141</v>
      </c>
      <c r="F636" s="1">
        <v>45144</v>
      </c>
      <c r="G636">
        <v>16.2</v>
      </c>
      <c r="H636">
        <v>93.12</v>
      </c>
      <c r="I636" t="s">
        <v>15</v>
      </c>
      <c r="J636">
        <v>651</v>
      </c>
      <c r="K636">
        <v>3</v>
      </c>
      <c r="L636" t="str">
        <f>IF(logistics_data[[#This Row],[Delivery_Date]]="","In Transit",
 IF(logistics_data[[#This Row],[Status]]="Lost","Lost",
 IF(logistics_data[[#This Row],[Status]]="Returned","Returned",
 IF(logistics_data[[#This Row],[Status]]="Delayed","Delayed",
 "Delivered"))))</f>
        <v>Delivered</v>
      </c>
      <c r="M636" s="2">
        <f>logistics_data[[#This Row],[Cost]]/logistics_data[[#This Row],[Distance_miles]]</f>
        <v>0.14304147465437789</v>
      </c>
      <c r="N636" t="str">
        <f>IF(logistics_data[[#This Row],[Orginal staus of shipment]]&lt;&gt;"Delivered","not applicabel", IF(logistics_data[[#This Row],[Transit_Days]]&gt;=5,"slow","fast"))</f>
        <v>fast</v>
      </c>
    </row>
    <row r="637" spans="1:14" x14ac:dyDescent="0.3">
      <c r="A637" t="s">
        <v>683</v>
      </c>
      <c r="B637" t="s">
        <v>35</v>
      </c>
      <c r="C637" t="s">
        <v>81</v>
      </c>
      <c r="D637" t="s">
        <v>32</v>
      </c>
      <c r="E637" s="1">
        <v>45241</v>
      </c>
      <c r="F637" s="1">
        <v>45244</v>
      </c>
      <c r="G637">
        <v>65.2</v>
      </c>
      <c r="H637">
        <v>264.64</v>
      </c>
      <c r="I637" t="s">
        <v>15</v>
      </c>
      <c r="J637">
        <v>1000</v>
      </c>
      <c r="K637">
        <v>3</v>
      </c>
      <c r="L637" t="str">
        <f>IF(logistics_data[[#This Row],[Delivery_Date]]="","In Transit",
 IF(logistics_data[[#This Row],[Status]]="Lost","Lost",
 IF(logistics_data[[#This Row],[Status]]="Returned","Returned",
 IF(logistics_data[[#This Row],[Status]]="Delayed","Delayed",
 "Delivered"))))</f>
        <v>Delivered</v>
      </c>
      <c r="M637" s="2">
        <f>logistics_data[[#This Row],[Cost]]/logistics_data[[#This Row],[Distance_miles]]</f>
        <v>0.26463999999999999</v>
      </c>
      <c r="N637" t="str">
        <f>IF(logistics_data[[#This Row],[Orginal staus of shipment]]&lt;&gt;"Delivered","not applicabel", IF(logistics_data[[#This Row],[Transit_Days]]&gt;=5,"slow","fast"))</f>
        <v>fast</v>
      </c>
    </row>
    <row r="638" spans="1:14" x14ac:dyDescent="0.3">
      <c r="A638" t="s">
        <v>684</v>
      </c>
      <c r="B638" t="s">
        <v>35</v>
      </c>
      <c r="C638" t="s">
        <v>57</v>
      </c>
      <c r="D638" t="s">
        <v>18</v>
      </c>
      <c r="E638" s="1">
        <v>45064</v>
      </c>
      <c r="G638">
        <v>8</v>
      </c>
      <c r="H638">
        <v>164.55</v>
      </c>
      <c r="I638" t="s">
        <v>15</v>
      </c>
      <c r="J638">
        <v>1019</v>
      </c>
      <c r="K638">
        <v>3</v>
      </c>
      <c r="L638" t="str">
        <f>IF(logistics_data[[#This Row],[Delivery_Date]]="","In Transit",
 IF(logistics_data[[#This Row],[Status]]="Lost","Lost",
 IF(logistics_data[[#This Row],[Status]]="Returned","Returned",
 IF(logistics_data[[#This Row],[Status]]="Delayed","Delayed",
 "Delivered"))))</f>
        <v>In Transit</v>
      </c>
      <c r="M638" s="2">
        <f>logistics_data[[#This Row],[Cost]]/logistics_data[[#This Row],[Distance_miles]]</f>
        <v>0.16148184494602552</v>
      </c>
      <c r="N638" t="str">
        <f>IF(logistics_data[[#This Row],[Orginal staus of shipment]]&lt;&gt;"Delivered","not applicabel", IF(logistics_data[[#This Row],[Transit_Days]]&gt;=5,"slow","fast"))</f>
        <v>not applicabel</v>
      </c>
    </row>
    <row r="639" spans="1:14" x14ac:dyDescent="0.3">
      <c r="A639" t="s">
        <v>685</v>
      </c>
      <c r="B639" t="s">
        <v>56</v>
      </c>
      <c r="C639" t="s">
        <v>46</v>
      </c>
      <c r="D639" t="s">
        <v>42</v>
      </c>
      <c r="E639" s="1">
        <v>45064</v>
      </c>
      <c r="F639" s="1">
        <v>45066</v>
      </c>
      <c r="G639">
        <v>29.9</v>
      </c>
      <c r="H639">
        <v>95.19</v>
      </c>
      <c r="I639" t="s">
        <v>15</v>
      </c>
      <c r="J639">
        <v>508</v>
      </c>
      <c r="K639">
        <v>2</v>
      </c>
      <c r="L639" t="str">
        <f>IF(logistics_data[[#This Row],[Delivery_Date]]="","In Transit",
 IF(logistics_data[[#This Row],[Status]]="Lost","Lost",
 IF(logistics_data[[#This Row],[Status]]="Returned","Returned",
 IF(logistics_data[[#This Row],[Status]]="Delayed","Delayed",
 "Delivered"))))</f>
        <v>Delivered</v>
      </c>
      <c r="M639" s="2">
        <f>logistics_data[[#This Row],[Cost]]/logistics_data[[#This Row],[Distance_miles]]</f>
        <v>0.18738188976377954</v>
      </c>
      <c r="N639" t="str">
        <f>IF(logistics_data[[#This Row],[Orginal staus of shipment]]&lt;&gt;"Delivered","not applicabel", IF(logistics_data[[#This Row],[Transit_Days]]&gt;=5,"slow","fast"))</f>
        <v>fast</v>
      </c>
    </row>
    <row r="640" spans="1:14" x14ac:dyDescent="0.3">
      <c r="A640" t="s">
        <v>686</v>
      </c>
      <c r="B640" t="s">
        <v>35</v>
      </c>
      <c r="C640" t="s">
        <v>21</v>
      </c>
      <c r="D640" t="s">
        <v>42</v>
      </c>
      <c r="E640" s="1">
        <v>45077</v>
      </c>
      <c r="F640" s="1">
        <v>45083</v>
      </c>
      <c r="G640">
        <v>22.5</v>
      </c>
      <c r="H640">
        <v>304.07</v>
      </c>
      <c r="I640" t="s">
        <v>15</v>
      </c>
      <c r="J640">
        <v>2165</v>
      </c>
      <c r="K640">
        <v>6</v>
      </c>
      <c r="L640" t="str">
        <f>IF(logistics_data[[#This Row],[Delivery_Date]]="","In Transit",
 IF(logistics_data[[#This Row],[Status]]="Lost","Lost",
 IF(logistics_data[[#This Row],[Status]]="Returned","Returned",
 IF(logistics_data[[#This Row],[Status]]="Delayed","Delayed",
 "Delivered"))))</f>
        <v>Delivered</v>
      </c>
      <c r="M640" s="2">
        <f>logistics_data[[#This Row],[Cost]]/logistics_data[[#This Row],[Distance_miles]]</f>
        <v>0.14044803695150115</v>
      </c>
      <c r="N640" t="str">
        <f>IF(logistics_data[[#This Row],[Orginal staus of shipment]]&lt;&gt;"Delivered","not applicabel", IF(logistics_data[[#This Row],[Transit_Days]]&gt;=5,"slow","fast"))</f>
        <v>slow</v>
      </c>
    </row>
    <row r="641" spans="1:14" x14ac:dyDescent="0.3">
      <c r="A641" t="s">
        <v>687</v>
      </c>
      <c r="B641" t="s">
        <v>39</v>
      </c>
      <c r="C641" t="s">
        <v>36</v>
      </c>
      <c r="D641" t="s">
        <v>59</v>
      </c>
      <c r="E641" s="1">
        <v>45194</v>
      </c>
      <c r="F641" s="1">
        <v>45199</v>
      </c>
      <c r="G641">
        <v>27.2</v>
      </c>
      <c r="H641">
        <v>158.38</v>
      </c>
      <c r="I641" t="s">
        <v>15</v>
      </c>
      <c r="J641">
        <v>1038</v>
      </c>
      <c r="K641">
        <v>5</v>
      </c>
      <c r="L641" t="str">
        <f>IF(logistics_data[[#This Row],[Delivery_Date]]="","In Transit",
 IF(logistics_data[[#This Row],[Status]]="Lost","Lost",
 IF(logistics_data[[#This Row],[Status]]="Returned","Returned",
 IF(logistics_data[[#This Row],[Status]]="Delayed","Delayed",
 "Delivered"))))</f>
        <v>Delivered</v>
      </c>
      <c r="M641" s="2">
        <f>logistics_data[[#This Row],[Cost]]/logistics_data[[#This Row],[Distance_miles]]</f>
        <v>0.15258188824662813</v>
      </c>
      <c r="N641" t="str">
        <f>IF(logistics_data[[#This Row],[Orginal staus of shipment]]&lt;&gt;"Delivered","not applicabel", IF(logistics_data[[#This Row],[Transit_Days]]&gt;=5,"slow","fast"))</f>
        <v>slow</v>
      </c>
    </row>
    <row r="642" spans="1:14" x14ac:dyDescent="0.3">
      <c r="A642" t="s">
        <v>688</v>
      </c>
      <c r="B642" t="s">
        <v>39</v>
      </c>
      <c r="C642" t="s">
        <v>57</v>
      </c>
      <c r="D642" t="s">
        <v>14</v>
      </c>
      <c r="E642" s="1">
        <v>44979</v>
      </c>
      <c r="G642">
        <v>27.7</v>
      </c>
      <c r="H642">
        <v>129.49</v>
      </c>
      <c r="I642" t="s">
        <v>15</v>
      </c>
      <c r="J642">
        <v>730</v>
      </c>
      <c r="K642">
        <v>3</v>
      </c>
      <c r="L642" t="str">
        <f>IF(logistics_data[[#This Row],[Delivery_Date]]="","In Transit",
 IF(logistics_data[[#This Row],[Status]]="Lost","Lost",
 IF(logistics_data[[#This Row],[Status]]="Returned","Returned",
 IF(logistics_data[[#This Row],[Status]]="Delayed","Delayed",
 "Delivered"))))</f>
        <v>In Transit</v>
      </c>
      <c r="M642" s="2">
        <f>logistics_data[[#This Row],[Cost]]/logistics_data[[#This Row],[Distance_miles]]</f>
        <v>0.17738356164383562</v>
      </c>
      <c r="N642" t="str">
        <f>IF(logistics_data[[#This Row],[Orginal staus of shipment]]&lt;&gt;"Delivered","not applicabel", IF(logistics_data[[#This Row],[Transit_Days]]&gt;=5,"slow","fast"))</f>
        <v>not applicabel</v>
      </c>
    </row>
    <row r="643" spans="1:14" x14ac:dyDescent="0.3">
      <c r="A643" t="s">
        <v>689</v>
      </c>
      <c r="B643" t="s">
        <v>27</v>
      </c>
      <c r="C643" t="s">
        <v>70</v>
      </c>
      <c r="D643" t="s">
        <v>37</v>
      </c>
      <c r="E643" s="1">
        <v>45004</v>
      </c>
      <c r="F643" s="1">
        <v>45011</v>
      </c>
      <c r="G643">
        <v>37.700000000000003</v>
      </c>
      <c r="H643">
        <v>339.21</v>
      </c>
      <c r="I643" t="s">
        <v>15</v>
      </c>
      <c r="J643">
        <v>2201</v>
      </c>
      <c r="K643">
        <v>7</v>
      </c>
      <c r="L643" t="str">
        <f>IF(logistics_data[[#This Row],[Delivery_Date]]="","In Transit",
 IF(logistics_data[[#This Row],[Status]]="Lost","Lost",
 IF(logistics_data[[#This Row],[Status]]="Returned","Returned",
 IF(logistics_data[[#This Row],[Status]]="Delayed","Delayed",
 "Delivered"))))</f>
        <v>Delivered</v>
      </c>
      <c r="M643" s="2">
        <f>logistics_data[[#This Row],[Cost]]/logistics_data[[#This Row],[Distance_miles]]</f>
        <v>0.1541163107678328</v>
      </c>
      <c r="N643" t="str">
        <f>IF(logistics_data[[#This Row],[Orginal staus of shipment]]&lt;&gt;"Delivered","not applicabel", IF(logistics_data[[#This Row],[Transit_Days]]&gt;=5,"slow","fast"))</f>
        <v>slow</v>
      </c>
    </row>
    <row r="644" spans="1:14" x14ac:dyDescent="0.3">
      <c r="A644" t="s">
        <v>690</v>
      </c>
      <c r="B644" t="s">
        <v>56</v>
      </c>
      <c r="C644" t="s">
        <v>40</v>
      </c>
      <c r="D644" t="s">
        <v>32</v>
      </c>
      <c r="E644" s="1">
        <v>45005</v>
      </c>
      <c r="F644" s="1">
        <v>45010</v>
      </c>
      <c r="G644">
        <v>10.199999999999999</v>
      </c>
      <c r="H644">
        <v>265.14999999999998</v>
      </c>
      <c r="I644" t="s">
        <v>15</v>
      </c>
      <c r="J644">
        <v>1808</v>
      </c>
      <c r="K644">
        <v>5</v>
      </c>
      <c r="L644" t="str">
        <f>IF(logistics_data[[#This Row],[Delivery_Date]]="","In Transit",
 IF(logistics_data[[#This Row],[Status]]="Lost","Lost",
 IF(logistics_data[[#This Row],[Status]]="Returned","Returned",
 IF(logistics_data[[#This Row],[Status]]="Delayed","Delayed",
 "Delivered"))))</f>
        <v>Delivered</v>
      </c>
      <c r="M644" s="2">
        <f>logistics_data[[#This Row],[Cost]]/logistics_data[[#This Row],[Distance_miles]]</f>
        <v>0.14665376106194689</v>
      </c>
      <c r="N644" t="str">
        <f>IF(logistics_data[[#This Row],[Orginal staus of shipment]]&lt;&gt;"Delivered","not applicabel", IF(logistics_data[[#This Row],[Transit_Days]]&gt;=5,"slow","fast"))</f>
        <v>slow</v>
      </c>
    </row>
    <row r="645" spans="1:14" x14ac:dyDescent="0.3">
      <c r="A645" t="s">
        <v>691</v>
      </c>
      <c r="B645" t="s">
        <v>49</v>
      </c>
      <c r="C645" t="s">
        <v>52</v>
      </c>
      <c r="D645" t="s">
        <v>25</v>
      </c>
      <c r="E645" s="1">
        <v>45202</v>
      </c>
      <c r="F645" s="1">
        <v>45204</v>
      </c>
      <c r="G645">
        <v>10.199999999999999</v>
      </c>
      <c r="H645">
        <v>79.739999999999995</v>
      </c>
      <c r="I645" t="s">
        <v>15</v>
      </c>
      <c r="J645">
        <v>553</v>
      </c>
      <c r="K645">
        <v>2</v>
      </c>
      <c r="L645" t="str">
        <f>IF(logistics_data[[#This Row],[Delivery_Date]]="","In Transit",
 IF(logistics_data[[#This Row],[Status]]="Lost","Lost",
 IF(logistics_data[[#This Row],[Status]]="Returned","Returned",
 IF(logistics_data[[#This Row],[Status]]="Delayed","Delayed",
 "Delivered"))))</f>
        <v>Delivered</v>
      </c>
      <c r="M645" s="2">
        <f>logistics_data[[#This Row],[Cost]]/logistics_data[[#This Row],[Distance_miles]]</f>
        <v>0.14419529837251355</v>
      </c>
      <c r="N645" t="str">
        <f>IF(logistics_data[[#This Row],[Orginal staus of shipment]]&lt;&gt;"Delivered","not applicabel", IF(logistics_data[[#This Row],[Transit_Days]]&gt;=5,"slow","fast"))</f>
        <v>fast</v>
      </c>
    </row>
    <row r="646" spans="1:14" x14ac:dyDescent="0.3">
      <c r="A646" t="s">
        <v>692</v>
      </c>
      <c r="B646" t="s">
        <v>49</v>
      </c>
      <c r="C646" t="s">
        <v>31</v>
      </c>
      <c r="D646" t="s">
        <v>18</v>
      </c>
      <c r="E646" s="1">
        <v>45003</v>
      </c>
      <c r="F646" s="1">
        <v>45007</v>
      </c>
      <c r="G646">
        <v>44.4</v>
      </c>
      <c r="H646">
        <v>151.19999999999999</v>
      </c>
      <c r="I646" t="s">
        <v>15</v>
      </c>
      <c r="J646">
        <v>560</v>
      </c>
      <c r="K646">
        <v>4</v>
      </c>
      <c r="L646" t="str">
        <f>IF(logistics_data[[#This Row],[Delivery_Date]]="","In Transit",
 IF(logistics_data[[#This Row],[Status]]="Lost","Lost",
 IF(logistics_data[[#This Row],[Status]]="Returned","Returned",
 IF(logistics_data[[#This Row],[Status]]="Delayed","Delayed",
 "Delivered"))))</f>
        <v>Delivered</v>
      </c>
      <c r="M646" s="2">
        <f>logistics_data[[#This Row],[Cost]]/logistics_data[[#This Row],[Distance_miles]]</f>
        <v>0.26999999999999996</v>
      </c>
      <c r="N646" t="str">
        <f>IF(logistics_data[[#This Row],[Orginal staus of shipment]]&lt;&gt;"Delivered","not applicabel", IF(logistics_data[[#This Row],[Transit_Days]]&gt;=5,"slow","fast"))</f>
        <v>fast</v>
      </c>
    </row>
    <row r="647" spans="1:14" x14ac:dyDescent="0.3">
      <c r="A647" t="s">
        <v>693</v>
      </c>
      <c r="B647" t="s">
        <v>12</v>
      </c>
      <c r="C647" t="s">
        <v>17</v>
      </c>
      <c r="D647" t="s">
        <v>59</v>
      </c>
      <c r="E647" s="1">
        <v>45135</v>
      </c>
      <c r="F647" s="1">
        <v>45140</v>
      </c>
      <c r="G647">
        <v>21.9</v>
      </c>
      <c r="H647">
        <v>289.79000000000002</v>
      </c>
      <c r="I647" t="s">
        <v>15</v>
      </c>
      <c r="J647">
        <v>2189</v>
      </c>
      <c r="K647">
        <v>5</v>
      </c>
      <c r="L647" t="str">
        <f>IF(logistics_data[[#This Row],[Delivery_Date]]="","In Transit",
 IF(logistics_data[[#This Row],[Status]]="Lost","Lost",
 IF(logistics_data[[#This Row],[Status]]="Returned","Returned",
 IF(logistics_data[[#This Row],[Status]]="Delayed","Delayed",
 "Delivered"))))</f>
        <v>Delivered</v>
      </c>
      <c r="M647" s="2">
        <f>logistics_data[[#This Row],[Cost]]/logistics_data[[#This Row],[Distance_miles]]</f>
        <v>0.13238465052535406</v>
      </c>
      <c r="N647" t="str">
        <f>IF(logistics_data[[#This Row],[Orginal staus of shipment]]&lt;&gt;"Delivered","not applicabel", IF(logistics_data[[#This Row],[Transit_Days]]&gt;=5,"slow","fast"))</f>
        <v>slow</v>
      </c>
    </row>
    <row r="648" spans="1:14" x14ac:dyDescent="0.3">
      <c r="A648" t="s">
        <v>694</v>
      </c>
      <c r="B648" t="s">
        <v>30</v>
      </c>
      <c r="C648" t="s">
        <v>40</v>
      </c>
      <c r="D648" t="s">
        <v>42</v>
      </c>
      <c r="E648" s="1">
        <v>45247</v>
      </c>
      <c r="F648" s="1">
        <v>45249</v>
      </c>
      <c r="G648">
        <v>23.1</v>
      </c>
      <c r="H648">
        <v>98.82</v>
      </c>
      <c r="I648" t="s">
        <v>15</v>
      </c>
      <c r="J648">
        <v>393</v>
      </c>
      <c r="K648">
        <v>2</v>
      </c>
      <c r="L648" t="str">
        <f>IF(logistics_data[[#This Row],[Delivery_Date]]="","In Transit",
 IF(logistics_data[[#This Row],[Status]]="Lost","Lost",
 IF(logistics_data[[#This Row],[Status]]="Returned","Returned",
 IF(logistics_data[[#This Row],[Status]]="Delayed","Delayed",
 "Delivered"))))</f>
        <v>Delivered</v>
      </c>
      <c r="M648" s="2">
        <f>logistics_data[[#This Row],[Cost]]/logistics_data[[#This Row],[Distance_miles]]</f>
        <v>0.25145038167938932</v>
      </c>
      <c r="N648" t="str">
        <f>IF(logistics_data[[#This Row],[Orginal staus of shipment]]&lt;&gt;"Delivered","not applicabel", IF(logistics_data[[#This Row],[Transit_Days]]&gt;=5,"slow","fast"))</f>
        <v>fast</v>
      </c>
    </row>
    <row r="649" spans="1:14" x14ac:dyDescent="0.3">
      <c r="A649" t="s">
        <v>695</v>
      </c>
      <c r="B649" t="s">
        <v>49</v>
      </c>
      <c r="C649" t="s">
        <v>57</v>
      </c>
      <c r="D649" t="s">
        <v>18</v>
      </c>
      <c r="E649" s="1">
        <v>45273</v>
      </c>
      <c r="F649" s="1">
        <v>45276</v>
      </c>
      <c r="G649">
        <v>37.700000000000003</v>
      </c>
      <c r="H649">
        <v>336.06</v>
      </c>
      <c r="I649" t="s">
        <v>15</v>
      </c>
      <c r="J649">
        <v>1505</v>
      </c>
      <c r="K649">
        <v>3</v>
      </c>
      <c r="L649" t="str">
        <f>IF(logistics_data[[#This Row],[Delivery_Date]]="","In Transit",
 IF(logistics_data[[#This Row],[Status]]="Lost","Lost",
 IF(logistics_data[[#This Row],[Status]]="Returned","Returned",
 IF(logistics_data[[#This Row],[Status]]="Delayed","Delayed",
 "Delivered"))))</f>
        <v>Delivered</v>
      </c>
      <c r="M649" s="2">
        <f>logistics_data[[#This Row],[Cost]]/logistics_data[[#This Row],[Distance_miles]]</f>
        <v>0.22329568106312292</v>
      </c>
      <c r="N649" t="str">
        <f>IF(logistics_data[[#This Row],[Orginal staus of shipment]]&lt;&gt;"Delivered","not applicabel", IF(logistics_data[[#This Row],[Transit_Days]]&gt;=5,"slow","fast"))</f>
        <v>fast</v>
      </c>
    </row>
    <row r="650" spans="1:14" x14ac:dyDescent="0.3">
      <c r="A650" t="s">
        <v>696</v>
      </c>
      <c r="B650" t="s">
        <v>56</v>
      </c>
      <c r="C650" t="s">
        <v>31</v>
      </c>
      <c r="D650" t="s">
        <v>25</v>
      </c>
      <c r="E650" s="1">
        <v>45194</v>
      </c>
      <c r="F650" s="1">
        <v>45200</v>
      </c>
      <c r="G650">
        <v>37.1</v>
      </c>
      <c r="H650">
        <v>236.03</v>
      </c>
      <c r="I650" t="s">
        <v>15</v>
      </c>
      <c r="J650">
        <v>1673</v>
      </c>
      <c r="K650">
        <v>6</v>
      </c>
      <c r="L650" t="str">
        <f>IF(logistics_data[[#This Row],[Delivery_Date]]="","In Transit",
 IF(logistics_data[[#This Row],[Status]]="Lost","Lost",
 IF(logistics_data[[#This Row],[Status]]="Returned","Returned",
 IF(logistics_data[[#This Row],[Status]]="Delayed","Delayed",
 "Delivered"))))</f>
        <v>Delivered</v>
      </c>
      <c r="M650" s="2">
        <f>logistics_data[[#This Row],[Cost]]/logistics_data[[#This Row],[Distance_miles]]</f>
        <v>0.1410818888224746</v>
      </c>
      <c r="N650" t="str">
        <f>IF(logistics_data[[#This Row],[Orginal staus of shipment]]&lt;&gt;"Delivered","not applicabel", IF(logistics_data[[#This Row],[Transit_Days]]&gt;=5,"slow","fast"))</f>
        <v>slow</v>
      </c>
    </row>
    <row r="651" spans="1:14" x14ac:dyDescent="0.3">
      <c r="A651" t="s">
        <v>697</v>
      </c>
      <c r="B651" t="s">
        <v>20</v>
      </c>
      <c r="C651" t="s">
        <v>36</v>
      </c>
      <c r="D651" t="s">
        <v>25</v>
      </c>
      <c r="E651" s="1">
        <v>45142</v>
      </c>
      <c r="F651" s="1">
        <v>45146</v>
      </c>
      <c r="G651">
        <v>12.1</v>
      </c>
      <c r="H651">
        <v>144.44</v>
      </c>
      <c r="I651" t="s">
        <v>15</v>
      </c>
      <c r="J651">
        <v>1029</v>
      </c>
      <c r="K651">
        <v>4</v>
      </c>
      <c r="L651" t="str">
        <f>IF(logistics_data[[#This Row],[Delivery_Date]]="","In Transit",
 IF(logistics_data[[#This Row],[Status]]="Lost","Lost",
 IF(logistics_data[[#This Row],[Status]]="Returned","Returned",
 IF(logistics_data[[#This Row],[Status]]="Delayed","Delayed",
 "Delivered"))))</f>
        <v>Delivered</v>
      </c>
      <c r="M651" s="2">
        <f>logistics_data[[#This Row],[Cost]]/logistics_data[[#This Row],[Distance_miles]]</f>
        <v>0.14036929057337219</v>
      </c>
      <c r="N651" t="str">
        <f>IF(logistics_data[[#This Row],[Orginal staus of shipment]]&lt;&gt;"Delivered","not applicabel", IF(logistics_data[[#This Row],[Transit_Days]]&gt;=5,"slow","fast"))</f>
        <v>fast</v>
      </c>
    </row>
    <row r="652" spans="1:14" x14ac:dyDescent="0.3">
      <c r="A652" t="s">
        <v>698</v>
      </c>
      <c r="B652" t="s">
        <v>27</v>
      </c>
      <c r="C652" t="s">
        <v>54</v>
      </c>
      <c r="D652" t="s">
        <v>37</v>
      </c>
      <c r="E652" s="1">
        <v>45198</v>
      </c>
      <c r="F652" s="1">
        <v>45205</v>
      </c>
      <c r="G652">
        <v>6.9</v>
      </c>
      <c r="H652">
        <v>294.86</v>
      </c>
      <c r="I652" t="s">
        <v>15</v>
      </c>
      <c r="J652">
        <v>2487</v>
      </c>
      <c r="K652">
        <v>7</v>
      </c>
      <c r="L652" t="str">
        <f>IF(logistics_data[[#This Row],[Delivery_Date]]="","In Transit",
 IF(logistics_data[[#This Row],[Status]]="Lost","Lost",
 IF(logistics_data[[#This Row],[Status]]="Returned","Returned",
 IF(logistics_data[[#This Row],[Status]]="Delayed","Delayed",
 "Delivered"))))</f>
        <v>Delivered</v>
      </c>
      <c r="M652" s="2">
        <f>logistics_data[[#This Row],[Cost]]/logistics_data[[#This Row],[Distance_miles]]</f>
        <v>0.11856051467631686</v>
      </c>
      <c r="N652" t="str">
        <f>IF(logistics_data[[#This Row],[Orginal staus of shipment]]&lt;&gt;"Delivered","not applicabel", IF(logistics_data[[#This Row],[Transit_Days]]&gt;=5,"slow","fast"))</f>
        <v>slow</v>
      </c>
    </row>
    <row r="653" spans="1:14" x14ac:dyDescent="0.3">
      <c r="A653" t="s">
        <v>699</v>
      </c>
      <c r="B653" t="s">
        <v>49</v>
      </c>
      <c r="C653" t="s">
        <v>70</v>
      </c>
      <c r="D653" t="s">
        <v>25</v>
      </c>
      <c r="E653" s="1">
        <v>45111</v>
      </c>
      <c r="F653" s="1">
        <v>45115</v>
      </c>
      <c r="G653">
        <v>14.6</v>
      </c>
      <c r="H653">
        <v>204.47</v>
      </c>
      <c r="I653" t="s">
        <v>15</v>
      </c>
      <c r="J653">
        <v>1495</v>
      </c>
      <c r="K653">
        <v>4</v>
      </c>
      <c r="L653" t="str">
        <f>IF(logistics_data[[#This Row],[Delivery_Date]]="","In Transit",
 IF(logistics_data[[#This Row],[Status]]="Lost","Lost",
 IF(logistics_data[[#This Row],[Status]]="Returned","Returned",
 IF(logistics_data[[#This Row],[Status]]="Delayed","Delayed",
 "Delivered"))))</f>
        <v>Delivered</v>
      </c>
      <c r="M653" s="2">
        <f>logistics_data[[#This Row],[Cost]]/logistics_data[[#This Row],[Distance_miles]]</f>
        <v>0.13676923076923078</v>
      </c>
      <c r="N653" t="str">
        <f>IF(logistics_data[[#This Row],[Orginal staus of shipment]]&lt;&gt;"Delivered","not applicabel", IF(logistics_data[[#This Row],[Transit_Days]]&gt;=5,"slow","fast"))</f>
        <v>fast</v>
      </c>
    </row>
    <row r="654" spans="1:14" x14ac:dyDescent="0.3">
      <c r="A654" t="s">
        <v>700</v>
      </c>
      <c r="B654" t="s">
        <v>23</v>
      </c>
      <c r="C654" t="s">
        <v>44</v>
      </c>
      <c r="D654" t="s">
        <v>18</v>
      </c>
      <c r="E654" s="1">
        <v>45108</v>
      </c>
      <c r="F654" s="1">
        <v>45113</v>
      </c>
      <c r="G654">
        <v>54.9</v>
      </c>
      <c r="H654">
        <v>243.58</v>
      </c>
      <c r="I654" t="s">
        <v>15</v>
      </c>
      <c r="J654">
        <v>1121</v>
      </c>
      <c r="K654">
        <v>5</v>
      </c>
      <c r="L654" t="str">
        <f>IF(logistics_data[[#This Row],[Delivery_Date]]="","In Transit",
 IF(logistics_data[[#This Row],[Status]]="Lost","Lost",
 IF(logistics_data[[#This Row],[Status]]="Returned","Returned",
 IF(logistics_data[[#This Row],[Status]]="Delayed","Delayed",
 "Delivered"))))</f>
        <v>Delivered</v>
      </c>
      <c r="M654" s="2">
        <f>logistics_data[[#This Row],[Cost]]/logistics_data[[#This Row],[Distance_miles]]</f>
        <v>0.21728813559322036</v>
      </c>
      <c r="N654" t="str">
        <f>IF(logistics_data[[#This Row],[Orginal staus of shipment]]&lt;&gt;"Delivered","not applicabel", IF(logistics_data[[#This Row],[Transit_Days]]&gt;=5,"slow","fast"))</f>
        <v>slow</v>
      </c>
    </row>
    <row r="655" spans="1:14" x14ac:dyDescent="0.3">
      <c r="A655" t="s">
        <v>701</v>
      </c>
      <c r="B655" t="s">
        <v>51</v>
      </c>
      <c r="C655" t="s">
        <v>44</v>
      </c>
      <c r="D655" t="s">
        <v>18</v>
      </c>
      <c r="E655" s="1">
        <v>45160</v>
      </c>
      <c r="F655" s="1">
        <v>45162</v>
      </c>
      <c r="G655">
        <v>31.7</v>
      </c>
      <c r="H655">
        <v>163.47999999999999</v>
      </c>
      <c r="I655" t="s">
        <v>15</v>
      </c>
      <c r="J655">
        <v>790</v>
      </c>
      <c r="K655">
        <v>2</v>
      </c>
      <c r="L655" t="str">
        <f>IF(logistics_data[[#This Row],[Delivery_Date]]="","In Transit",
 IF(logistics_data[[#This Row],[Status]]="Lost","Lost",
 IF(logistics_data[[#This Row],[Status]]="Returned","Returned",
 IF(logistics_data[[#This Row],[Status]]="Delayed","Delayed",
 "Delivered"))))</f>
        <v>Delivered</v>
      </c>
      <c r="M655" s="2">
        <f>logistics_data[[#This Row],[Cost]]/logistics_data[[#This Row],[Distance_miles]]</f>
        <v>0.20693670886075949</v>
      </c>
      <c r="N655" t="str">
        <f>IF(logistics_data[[#This Row],[Orginal staus of shipment]]&lt;&gt;"Delivered","not applicabel", IF(logistics_data[[#This Row],[Transit_Days]]&gt;=5,"slow","fast"))</f>
        <v>fast</v>
      </c>
    </row>
    <row r="656" spans="1:14" x14ac:dyDescent="0.3">
      <c r="A656" t="s">
        <v>702</v>
      </c>
      <c r="B656" t="s">
        <v>23</v>
      </c>
      <c r="C656" t="s">
        <v>57</v>
      </c>
      <c r="D656" t="s">
        <v>25</v>
      </c>
      <c r="E656" s="1">
        <v>45203</v>
      </c>
      <c r="F656" s="1">
        <v>45207</v>
      </c>
      <c r="G656">
        <v>15.7</v>
      </c>
      <c r="H656">
        <v>191.45</v>
      </c>
      <c r="I656" t="s">
        <v>15</v>
      </c>
      <c r="J656">
        <v>1457</v>
      </c>
      <c r="K656">
        <v>4</v>
      </c>
      <c r="L656" t="str">
        <f>IF(logistics_data[[#This Row],[Delivery_Date]]="","In Transit",
 IF(logistics_data[[#This Row],[Status]]="Lost","Lost",
 IF(logistics_data[[#This Row],[Status]]="Returned","Returned",
 IF(logistics_data[[#This Row],[Status]]="Delayed","Delayed",
 "Delivered"))))</f>
        <v>Delivered</v>
      </c>
      <c r="M656" s="2">
        <f>logistics_data[[#This Row],[Cost]]/logistics_data[[#This Row],[Distance_miles]]</f>
        <v>0.13140013726835964</v>
      </c>
      <c r="N656" t="str">
        <f>IF(logistics_data[[#This Row],[Orginal staus of shipment]]&lt;&gt;"Delivered","not applicabel", IF(logistics_data[[#This Row],[Transit_Days]]&gt;=5,"slow","fast"))</f>
        <v>fast</v>
      </c>
    </row>
    <row r="657" spans="1:14" x14ac:dyDescent="0.3">
      <c r="A657" t="s">
        <v>703</v>
      </c>
      <c r="B657" t="s">
        <v>39</v>
      </c>
      <c r="C657" t="s">
        <v>54</v>
      </c>
      <c r="D657" t="s">
        <v>14</v>
      </c>
      <c r="E657" s="1">
        <v>44933</v>
      </c>
      <c r="F657" s="1">
        <v>44938</v>
      </c>
      <c r="G657">
        <v>6.6</v>
      </c>
      <c r="H657">
        <v>261.19</v>
      </c>
      <c r="I657" t="s">
        <v>15</v>
      </c>
      <c r="J657">
        <v>1832</v>
      </c>
      <c r="K657">
        <v>5</v>
      </c>
      <c r="L657" t="str">
        <f>IF(logistics_data[[#This Row],[Delivery_Date]]="","In Transit",
 IF(logistics_data[[#This Row],[Status]]="Lost","Lost",
 IF(logistics_data[[#This Row],[Status]]="Returned","Returned",
 IF(logistics_data[[#This Row],[Status]]="Delayed","Delayed",
 "Delivered"))))</f>
        <v>Delivered</v>
      </c>
      <c r="M657" s="2">
        <f>logistics_data[[#This Row],[Cost]]/logistics_data[[#This Row],[Distance_miles]]</f>
        <v>0.14257096069868996</v>
      </c>
      <c r="N657" t="str">
        <f>IF(logistics_data[[#This Row],[Orginal staus of shipment]]&lt;&gt;"Delivered","not applicabel", IF(logistics_data[[#This Row],[Transit_Days]]&gt;=5,"slow","fast"))</f>
        <v>slow</v>
      </c>
    </row>
    <row r="658" spans="1:14" x14ac:dyDescent="0.3">
      <c r="A658" t="s">
        <v>704</v>
      </c>
      <c r="B658" t="s">
        <v>27</v>
      </c>
      <c r="C658" t="s">
        <v>70</v>
      </c>
      <c r="D658" t="s">
        <v>42</v>
      </c>
      <c r="E658" s="1">
        <v>45132</v>
      </c>
      <c r="F658" s="1">
        <v>45135</v>
      </c>
      <c r="G658">
        <v>53.1</v>
      </c>
      <c r="H658">
        <v>197.62</v>
      </c>
      <c r="I658" t="s">
        <v>15</v>
      </c>
      <c r="J658">
        <v>1208</v>
      </c>
      <c r="K658">
        <v>3</v>
      </c>
      <c r="L658" t="str">
        <f>IF(logistics_data[[#This Row],[Delivery_Date]]="","In Transit",
 IF(logistics_data[[#This Row],[Status]]="Lost","Lost",
 IF(logistics_data[[#This Row],[Status]]="Returned","Returned",
 IF(logistics_data[[#This Row],[Status]]="Delayed","Delayed",
 "Delivered"))))</f>
        <v>Delivered</v>
      </c>
      <c r="M658" s="2">
        <f>logistics_data[[#This Row],[Cost]]/logistics_data[[#This Row],[Distance_miles]]</f>
        <v>0.16359271523178809</v>
      </c>
      <c r="N658" t="str">
        <f>IF(logistics_data[[#This Row],[Orginal staus of shipment]]&lt;&gt;"Delivered","not applicabel", IF(logistics_data[[#This Row],[Transit_Days]]&gt;=5,"slow","fast"))</f>
        <v>fast</v>
      </c>
    </row>
    <row r="659" spans="1:14" x14ac:dyDescent="0.3">
      <c r="A659" t="s">
        <v>705</v>
      </c>
      <c r="B659" t="s">
        <v>27</v>
      </c>
      <c r="C659" t="s">
        <v>81</v>
      </c>
      <c r="D659" t="s">
        <v>42</v>
      </c>
      <c r="E659" s="1">
        <v>45276</v>
      </c>
      <c r="F659" s="1">
        <v>45277</v>
      </c>
      <c r="G659">
        <v>32.299999999999997</v>
      </c>
      <c r="H659">
        <v>115.94</v>
      </c>
      <c r="I659" t="s">
        <v>15</v>
      </c>
      <c r="J659">
        <v>531</v>
      </c>
      <c r="K659">
        <v>1</v>
      </c>
      <c r="L659" t="str">
        <f>IF(logistics_data[[#This Row],[Delivery_Date]]="","In Transit",
 IF(logistics_data[[#This Row],[Status]]="Lost","Lost",
 IF(logistics_data[[#This Row],[Status]]="Returned","Returned",
 IF(logistics_data[[#This Row],[Status]]="Delayed","Delayed",
 "Delivered"))))</f>
        <v>Delivered</v>
      </c>
      <c r="M659" s="2">
        <f>logistics_data[[#This Row],[Cost]]/logistics_data[[#This Row],[Distance_miles]]</f>
        <v>0.21834274952919019</v>
      </c>
      <c r="N659" t="str">
        <f>IF(logistics_data[[#This Row],[Orginal staus of shipment]]&lt;&gt;"Delivered","not applicabel", IF(logistics_data[[#This Row],[Transit_Days]]&gt;=5,"slow","fast"))</f>
        <v>fast</v>
      </c>
    </row>
    <row r="660" spans="1:14" x14ac:dyDescent="0.3">
      <c r="A660" t="s">
        <v>706</v>
      </c>
      <c r="B660" t="s">
        <v>20</v>
      </c>
      <c r="C660" t="s">
        <v>28</v>
      </c>
      <c r="D660" t="s">
        <v>37</v>
      </c>
      <c r="E660" s="1">
        <v>45283</v>
      </c>
      <c r="F660" s="1">
        <v>45290</v>
      </c>
      <c r="G660">
        <v>67.3</v>
      </c>
      <c r="H660">
        <v>275.70999999999998</v>
      </c>
      <c r="I660" t="s">
        <v>15</v>
      </c>
      <c r="J660">
        <v>1435</v>
      </c>
      <c r="K660">
        <v>7</v>
      </c>
      <c r="L660" t="str">
        <f>IF(logistics_data[[#This Row],[Delivery_Date]]="","In Transit",
 IF(logistics_data[[#This Row],[Status]]="Lost","Lost",
 IF(logistics_data[[#This Row],[Status]]="Returned","Returned",
 IF(logistics_data[[#This Row],[Status]]="Delayed","Delayed",
 "Delivered"))))</f>
        <v>Delivered</v>
      </c>
      <c r="M660" s="2">
        <f>logistics_data[[#This Row],[Cost]]/logistics_data[[#This Row],[Distance_miles]]</f>
        <v>0.19213240418118466</v>
      </c>
      <c r="N660" t="str">
        <f>IF(logistics_data[[#This Row],[Orginal staus of shipment]]&lt;&gt;"Delivered","not applicabel", IF(logistics_data[[#This Row],[Transit_Days]]&gt;=5,"slow","fast"))</f>
        <v>slow</v>
      </c>
    </row>
    <row r="661" spans="1:14" x14ac:dyDescent="0.3">
      <c r="A661" t="s">
        <v>707</v>
      </c>
      <c r="B661" t="s">
        <v>27</v>
      </c>
      <c r="C661" t="s">
        <v>36</v>
      </c>
      <c r="D661" t="s">
        <v>14</v>
      </c>
      <c r="E661" s="1">
        <v>45186</v>
      </c>
      <c r="F661" s="1">
        <v>45191</v>
      </c>
      <c r="G661">
        <v>11.7</v>
      </c>
      <c r="H661">
        <v>241.13</v>
      </c>
      <c r="I661" t="s">
        <v>15</v>
      </c>
      <c r="J661">
        <v>1803</v>
      </c>
      <c r="K661">
        <v>5</v>
      </c>
      <c r="L661" t="str">
        <f>IF(logistics_data[[#This Row],[Delivery_Date]]="","In Transit",
 IF(logistics_data[[#This Row],[Status]]="Lost","Lost",
 IF(logistics_data[[#This Row],[Status]]="Returned","Returned",
 IF(logistics_data[[#This Row],[Status]]="Delayed","Delayed",
 "Delivered"))))</f>
        <v>Delivered</v>
      </c>
      <c r="M661" s="2">
        <f>logistics_data[[#This Row],[Cost]]/logistics_data[[#This Row],[Distance_miles]]</f>
        <v>0.13373821408763173</v>
      </c>
      <c r="N661" t="str">
        <f>IF(logistics_data[[#This Row],[Orginal staus of shipment]]&lt;&gt;"Delivered","not applicabel", IF(logistics_data[[#This Row],[Transit_Days]]&gt;=5,"slow","fast"))</f>
        <v>slow</v>
      </c>
    </row>
    <row r="662" spans="1:14" x14ac:dyDescent="0.3">
      <c r="A662" t="s">
        <v>708</v>
      </c>
      <c r="B662" t="s">
        <v>49</v>
      </c>
      <c r="C662" t="s">
        <v>70</v>
      </c>
      <c r="D662" t="s">
        <v>37</v>
      </c>
      <c r="E662" s="1">
        <v>45155</v>
      </c>
      <c r="F662" s="1">
        <v>45160</v>
      </c>
      <c r="G662">
        <v>6.3</v>
      </c>
      <c r="H662">
        <v>315.26</v>
      </c>
      <c r="I662" t="s">
        <v>15</v>
      </c>
      <c r="J662">
        <v>2363</v>
      </c>
      <c r="K662">
        <v>5</v>
      </c>
      <c r="L662" t="str">
        <f>IF(logistics_data[[#This Row],[Delivery_Date]]="","In Transit",
 IF(logistics_data[[#This Row],[Status]]="Lost","Lost",
 IF(logistics_data[[#This Row],[Status]]="Returned","Returned",
 IF(logistics_data[[#This Row],[Status]]="Delayed","Delayed",
 "Delivered"))))</f>
        <v>Delivered</v>
      </c>
      <c r="M662" s="2">
        <f>logistics_data[[#This Row],[Cost]]/logistics_data[[#This Row],[Distance_miles]]</f>
        <v>0.13341515023275496</v>
      </c>
      <c r="N662" t="str">
        <f>IF(logistics_data[[#This Row],[Orginal staus of shipment]]&lt;&gt;"Delivered","not applicabel", IF(logistics_data[[#This Row],[Transit_Days]]&gt;=5,"slow","fast"))</f>
        <v>slow</v>
      </c>
    </row>
    <row r="663" spans="1:14" x14ac:dyDescent="0.3">
      <c r="A663" t="s">
        <v>709</v>
      </c>
      <c r="B663" t="s">
        <v>30</v>
      </c>
      <c r="C663" t="s">
        <v>44</v>
      </c>
      <c r="D663" t="s">
        <v>37</v>
      </c>
      <c r="E663" s="1">
        <v>45204</v>
      </c>
      <c r="F663" s="1">
        <v>45207</v>
      </c>
      <c r="G663">
        <v>57.7</v>
      </c>
      <c r="H663">
        <v>243.19</v>
      </c>
      <c r="I663" t="s">
        <v>15</v>
      </c>
      <c r="J663">
        <v>1274</v>
      </c>
      <c r="K663">
        <v>3</v>
      </c>
      <c r="L663" t="str">
        <f>IF(logistics_data[[#This Row],[Delivery_Date]]="","In Transit",
 IF(logistics_data[[#This Row],[Status]]="Lost","Lost",
 IF(logistics_data[[#This Row],[Status]]="Returned","Returned",
 IF(logistics_data[[#This Row],[Status]]="Delayed","Delayed",
 "Delivered"))))</f>
        <v>Delivered</v>
      </c>
      <c r="M663" s="2">
        <f>logistics_data[[#This Row],[Cost]]/logistics_data[[#This Row],[Distance_miles]]</f>
        <v>0.19088697017268447</v>
      </c>
      <c r="N663" t="str">
        <f>IF(logistics_data[[#This Row],[Orginal staus of shipment]]&lt;&gt;"Delivered","not applicabel", IF(logistics_data[[#This Row],[Transit_Days]]&gt;=5,"slow","fast"))</f>
        <v>fast</v>
      </c>
    </row>
    <row r="664" spans="1:14" x14ac:dyDescent="0.3">
      <c r="A664" t="s">
        <v>710</v>
      </c>
      <c r="B664" t="s">
        <v>35</v>
      </c>
      <c r="C664" t="s">
        <v>31</v>
      </c>
      <c r="D664" t="s">
        <v>25</v>
      </c>
      <c r="E664" s="1">
        <v>44966</v>
      </c>
      <c r="F664" s="1">
        <v>44971</v>
      </c>
      <c r="G664">
        <v>5.9</v>
      </c>
      <c r="H664">
        <v>199.78</v>
      </c>
      <c r="I664" t="s">
        <v>15</v>
      </c>
      <c r="J664">
        <v>1678</v>
      </c>
      <c r="K664">
        <v>5</v>
      </c>
      <c r="L664" t="str">
        <f>IF(logistics_data[[#This Row],[Delivery_Date]]="","In Transit",
 IF(logistics_data[[#This Row],[Status]]="Lost","Lost",
 IF(logistics_data[[#This Row],[Status]]="Returned","Returned",
 IF(logistics_data[[#This Row],[Status]]="Delayed","Delayed",
 "Delivered"))))</f>
        <v>Delivered</v>
      </c>
      <c r="M664" s="2">
        <f>logistics_data[[#This Row],[Cost]]/logistics_data[[#This Row],[Distance_miles]]</f>
        <v>0.11905840286054828</v>
      </c>
      <c r="N664" t="str">
        <f>IF(logistics_data[[#This Row],[Orginal staus of shipment]]&lt;&gt;"Delivered","not applicabel", IF(logistics_data[[#This Row],[Transit_Days]]&gt;=5,"slow","fast"))</f>
        <v>slow</v>
      </c>
    </row>
    <row r="665" spans="1:14" x14ac:dyDescent="0.3">
      <c r="A665" t="s">
        <v>711</v>
      </c>
      <c r="B665" t="s">
        <v>35</v>
      </c>
      <c r="C665" t="s">
        <v>24</v>
      </c>
      <c r="D665" t="s">
        <v>18</v>
      </c>
      <c r="E665" s="1">
        <v>45216</v>
      </c>
      <c r="F665" s="1">
        <v>45233</v>
      </c>
      <c r="G665">
        <v>38</v>
      </c>
      <c r="H665">
        <v>416.88</v>
      </c>
      <c r="I665" t="s">
        <v>47</v>
      </c>
      <c r="J665">
        <v>2447</v>
      </c>
      <c r="K665">
        <v>6</v>
      </c>
      <c r="L665" t="str">
        <f>IF(logistics_data[[#This Row],[Delivery_Date]]="","In Transit",
 IF(logistics_data[[#This Row],[Status]]="Lost","Lost",
 IF(logistics_data[[#This Row],[Status]]="Returned","Returned",
 IF(logistics_data[[#This Row],[Status]]="Delayed","Delayed",
 "Delivered"))))</f>
        <v>Delayed</v>
      </c>
      <c r="M665" s="2">
        <f>logistics_data[[#This Row],[Cost]]/logistics_data[[#This Row],[Distance_miles]]</f>
        <v>0.17036371066612177</v>
      </c>
      <c r="N665" t="str">
        <f>IF(logistics_data[[#This Row],[Orginal staus of shipment]]&lt;&gt;"Delivered","not applicabel", IF(logistics_data[[#This Row],[Transit_Days]]&gt;=5,"slow","fast"))</f>
        <v>not applicabel</v>
      </c>
    </row>
    <row r="666" spans="1:14" x14ac:dyDescent="0.3">
      <c r="A666" t="s">
        <v>712</v>
      </c>
      <c r="B666" t="s">
        <v>27</v>
      </c>
      <c r="C666" t="s">
        <v>57</v>
      </c>
      <c r="D666" t="s">
        <v>37</v>
      </c>
      <c r="E666" s="1">
        <v>44988</v>
      </c>
      <c r="F666" s="1">
        <v>44993</v>
      </c>
      <c r="G666">
        <v>9.6999999999999993</v>
      </c>
      <c r="H666">
        <v>230.69</v>
      </c>
      <c r="I666" t="s">
        <v>15</v>
      </c>
      <c r="J666">
        <v>1667</v>
      </c>
      <c r="K666">
        <v>5</v>
      </c>
      <c r="L666" t="str">
        <f>IF(logistics_data[[#This Row],[Delivery_Date]]="","In Transit",
 IF(logistics_data[[#This Row],[Status]]="Lost","Lost",
 IF(logistics_data[[#This Row],[Status]]="Returned","Returned",
 IF(logistics_data[[#This Row],[Status]]="Delayed","Delayed",
 "Delivered"))))</f>
        <v>Delivered</v>
      </c>
      <c r="M666" s="2">
        <f>logistics_data[[#This Row],[Cost]]/logistics_data[[#This Row],[Distance_miles]]</f>
        <v>0.1383863227354529</v>
      </c>
      <c r="N666" t="str">
        <f>IF(logistics_data[[#This Row],[Orginal staus of shipment]]&lt;&gt;"Delivered","not applicabel", IF(logistics_data[[#This Row],[Transit_Days]]&gt;=5,"slow","fast"))</f>
        <v>slow</v>
      </c>
    </row>
    <row r="667" spans="1:14" x14ac:dyDescent="0.3">
      <c r="A667" t="s">
        <v>713</v>
      </c>
      <c r="B667" t="s">
        <v>20</v>
      </c>
      <c r="C667" t="s">
        <v>28</v>
      </c>
      <c r="D667" t="s">
        <v>37</v>
      </c>
      <c r="E667" s="1">
        <v>45079</v>
      </c>
      <c r="F667" s="1">
        <v>45083</v>
      </c>
      <c r="G667">
        <v>25</v>
      </c>
      <c r="H667">
        <v>220.62</v>
      </c>
      <c r="I667" t="s">
        <v>15</v>
      </c>
      <c r="J667">
        <v>1435</v>
      </c>
      <c r="K667">
        <v>4</v>
      </c>
      <c r="L667" t="str">
        <f>IF(logistics_data[[#This Row],[Delivery_Date]]="","In Transit",
 IF(logistics_data[[#This Row],[Status]]="Lost","Lost",
 IF(logistics_data[[#This Row],[Status]]="Returned","Returned",
 IF(logistics_data[[#This Row],[Status]]="Delayed","Delayed",
 "Delivered"))))</f>
        <v>Delivered</v>
      </c>
      <c r="M667" s="2">
        <f>logistics_data[[#This Row],[Cost]]/logistics_data[[#This Row],[Distance_miles]]</f>
        <v>0.15374216027874565</v>
      </c>
      <c r="N667" t="str">
        <f>IF(logistics_data[[#This Row],[Orginal staus of shipment]]&lt;&gt;"Delivered","not applicabel", IF(logistics_data[[#This Row],[Transit_Days]]&gt;=5,"slow","fast"))</f>
        <v>fast</v>
      </c>
    </row>
    <row r="668" spans="1:14" x14ac:dyDescent="0.3">
      <c r="A668" t="s">
        <v>714</v>
      </c>
      <c r="B668" t="s">
        <v>56</v>
      </c>
      <c r="C668" t="s">
        <v>21</v>
      </c>
      <c r="D668" t="s">
        <v>25</v>
      </c>
      <c r="E668" s="1">
        <v>44933</v>
      </c>
      <c r="F668" s="1">
        <v>44938</v>
      </c>
      <c r="G668">
        <v>9.6999999999999993</v>
      </c>
      <c r="H668">
        <v>260.86</v>
      </c>
      <c r="I668" t="s">
        <v>15</v>
      </c>
      <c r="J668">
        <v>1937</v>
      </c>
      <c r="K668">
        <v>5</v>
      </c>
      <c r="L668" t="str">
        <f>IF(logistics_data[[#This Row],[Delivery_Date]]="","In Transit",
 IF(logistics_data[[#This Row],[Status]]="Lost","Lost",
 IF(logistics_data[[#This Row],[Status]]="Returned","Returned",
 IF(logistics_data[[#This Row],[Status]]="Delayed","Delayed",
 "Delivered"))))</f>
        <v>Delivered</v>
      </c>
      <c r="M668" s="2">
        <f>logistics_data[[#This Row],[Cost]]/logistics_data[[#This Row],[Distance_miles]]</f>
        <v>0.13467217346411978</v>
      </c>
      <c r="N668" t="str">
        <f>IF(logistics_data[[#This Row],[Orginal staus of shipment]]&lt;&gt;"Delivered","not applicabel", IF(logistics_data[[#This Row],[Transit_Days]]&gt;=5,"slow","fast"))</f>
        <v>slow</v>
      </c>
    </row>
    <row r="669" spans="1:14" x14ac:dyDescent="0.3">
      <c r="A669" t="s">
        <v>715</v>
      </c>
      <c r="B669" t="s">
        <v>30</v>
      </c>
      <c r="C669" t="s">
        <v>28</v>
      </c>
      <c r="D669" t="s">
        <v>14</v>
      </c>
      <c r="E669" s="1">
        <v>45013</v>
      </c>
      <c r="F669" s="1">
        <v>45016</v>
      </c>
      <c r="G669">
        <v>5.6</v>
      </c>
      <c r="H669">
        <v>94.63</v>
      </c>
      <c r="I669" t="s">
        <v>67</v>
      </c>
      <c r="J669">
        <v>659</v>
      </c>
      <c r="K669">
        <v>3</v>
      </c>
      <c r="L669" t="str">
        <f>IF(logistics_data[[#This Row],[Delivery_Date]]="","In Transit",
 IF(logistics_data[[#This Row],[Status]]="Lost","Lost",
 IF(logistics_data[[#This Row],[Status]]="Returned","Returned",
 IF(logistics_data[[#This Row],[Status]]="Delayed","Delayed",
 "Delivered"))))</f>
        <v>Returned</v>
      </c>
      <c r="M669" s="2">
        <f>logistics_data[[#This Row],[Cost]]/logistics_data[[#This Row],[Distance_miles]]</f>
        <v>0.14359635811836113</v>
      </c>
      <c r="N669" t="str">
        <f>IF(logistics_data[[#This Row],[Orginal staus of shipment]]&lt;&gt;"Delivered","not applicabel", IF(logistics_data[[#This Row],[Transit_Days]]&gt;=5,"slow","fast"))</f>
        <v>not applicabel</v>
      </c>
    </row>
    <row r="670" spans="1:14" x14ac:dyDescent="0.3">
      <c r="A670" t="s">
        <v>716</v>
      </c>
      <c r="B670" t="s">
        <v>49</v>
      </c>
      <c r="C670" t="s">
        <v>54</v>
      </c>
      <c r="D670" t="s">
        <v>14</v>
      </c>
      <c r="E670" s="1">
        <v>44988</v>
      </c>
      <c r="F670" s="1">
        <v>44993</v>
      </c>
      <c r="G670">
        <v>18.100000000000001</v>
      </c>
      <c r="H670">
        <v>102.98</v>
      </c>
      <c r="I670" t="s">
        <v>15</v>
      </c>
      <c r="J670">
        <v>663</v>
      </c>
      <c r="K670">
        <v>5</v>
      </c>
      <c r="L670" t="str">
        <f>IF(logistics_data[[#This Row],[Delivery_Date]]="","In Transit",
 IF(logistics_data[[#This Row],[Status]]="Lost","Lost",
 IF(logistics_data[[#This Row],[Status]]="Returned","Returned",
 IF(logistics_data[[#This Row],[Status]]="Delayed","Delayed",
 "Delivered"))))</f>
        <v>Delivered</v>
      </c>
      <c r="M670" s="2">
        <f>logistics_data[[#This Row],[Cost]]/logistics_data[[#This Row],[Distance_miles]]</f>
        <v>0.15532428355957767</v>
      </c>
      <c r="N670" t="str">
        <f>IF(logistics_data[[#This Row],[Orginal staus of shipment]]&lt;&gt;"Delivered","not applicabel", IF(logistics_data[[#This Row],[Transit_Days]]&gt;=5,"slow","fast"))</f>
        <v>slow</v>
      </c>
    </row>
    <row r="671" spans="1:14" x14ac:dyDescent="0.3">
      <c r="A671" t="s">
        <v>717</v>
      </c>
      <c r="B671" t="s">
        <v>20</v>
      </c>
      <c r="C671" t="s">
        <v>28</v>
      </c>
      <c r="D671" t="s">
        <v>42</v>
      </c>
      <c r="E671" s="1">
        <v>45246</v>
      </c>
      <c r="F671" s="1">
        <v>45251</v>
      </c>
      <c r="G671">
        <v>39</v>
      </c>
      <c r="H671">
        <v>280.22000000000003</v>
      </c>
      <c r="I671" t="s">
        <v>15</v>
      </c>
      <c r="J671">
        <v>1435</v>
      </c>
      <c r="K671">
        <v>5</v>
      </c>
      <c r="L671" t="str">
        <f>IF(logistics_data[[#This Row],[Delivery_Date]]="","In Transit",
 IF(logistics_data[[#This Row],[Status]]="Lost","Lost",
 IF(logistics_data[[#This Row],[Status]]="Returned","Returned",
 IF(logistics_data[[#This Row],[Status]]="Delayed","Delayed",
 "Delivered"))))</f>
        <v>Delivered</v>
      </c>
      <c r="M671" s="2">
        <f>logistics_data[[#This Row],[Cost]]/logistics_data[[#This Row],[Distance_miles]]</f>
        <v>0.19527526132404183</v>
      </c>
      <c r="N671" t="str">
        <f>IF(logistics_data[[#This Row],[Orginal staus of shipment]]&lt;&gt;"Delivered","not applicabel", IF(logistics_data[[#This Row],[Transit_Days]]&gt;=5,"slow","fast"))</f>
        <v>slow</v>
      </c>
    </row>
    <row r="672" spans="1:14" x14ac:dyDescent="0.3">
      <c r="A672" t="s">
        <v>718</v>
      </c>
      <c r="B672" t="s">
        <v>23</v>
      </c>
      <c r="C672" t="s">
        <v>31</v>
      </c>
      <c r="D672" t="s">
        <v>42</v>
      </c>
      <c r="E672" s="1">
        <v>45005</v>
      </c>
      <c r="F672" s="1">
        <v>45013</v>
      </c>
      <c r="G672">
        <v>28.1</v>
      </c>
      <c r="H672">
        <v>192.15</v>
      </c>
      <c r="I672" t="s">
        <v>15</v>
      </c>
      <c r="J672">
        <v>1431</v>
      </c>
      <c r="K672">
        <v>8</v>
      </c>
      <c r="L672" t="str">
        <f>IF(logistics_data[[#This Row],[Delivery_Date]]="","In Transit",
 IF(logistics_data[[#This Row],[Status]]="Lost","Lost",
 IF(logistics_data[[#This Row],[Status]]="Returned","Returned",
 IF(logistics_data[[#This Row],[Status]]="Delayed","Delayed",
 "Delivered"))))</f>
        <v>Delivered</v>
      </c>
      <c r="M672" s="2">
        <f>logistics_data[[#This Row],[Cost]]/logistics_data[[#This Row],[Distance_miles]]</f>
        <v>0.13427672955974843</v>
      </c>
      <c r="N672" t="str">
        <f>IF(logistics_data[[#This Row],[Orginal staus of shipment]]&lt;&gt;"Delivered","not applicabel", IF(logistics_data[[#This Row],[Transit_Days]]&gt;=5,"slow","fast"))</f>
        <v>slow</v>
      </c>
    </row>
    <row r="673" spans="1:14" x14ac:dyDescent="0.3">
      <c r="A673" t="s">
        <v>719</v>
      </c>
      <c r="B673" t="s">
        <v>12</v>
      </c>
      <c r="C673" t="s">
        <v>57</v>
      </c>
      <c r="D673" t="s">
        <v>18</v>
      </c>
      <c r="E673" s="1">
        <v>45219</v>
      </c>
      <c r="F673" s="1">
        <v>45233</v>
      </c>
      <c r="G673">
        <v>22.8</v>
      </c>
      <c r="H673">
        <v>362.33</v>
      </c>
      <c r="I673" t="s">
        <v>47</v>
      </c>
      <c r="J673">
        <v>2452</v>
      </c>
      <c r="K673">
        <v>5</v>
      </c>
      <c r="L673" t="str">
        <f>IF(logistics_data[[#This Row],[Delivery_Date]]="","In Transit",
 IF(logistics_data[[#This Row],[Status]]="Lost","Lost",
 IF(logistics_data[[#This Row],[Status]]="Returned","Returned",
 IF(logistics_data[[#This Row],[Status]]="Delayed","Delayed",
 "Delivered"))))</f>
        <v>Delayed</v>
      </c>
      <c r="M673" s="2">
        <f>logistics_data[[#This Row],[Cost]]/logistics_data[[#This Row],[Distance_miles]]</f>
        <v>0.14776916802610113</v>
      </c>
      <c r="N673" t="str">
        <f>IF(logistics_data[[#This Row],[Orginal staus of shipment]]&lt;&gt;"Delivered","not applicabel", IF(logistics_data[[#This Row],[Transit_Days]]&gt;=5,"slow","fast"))</f>
        <v>not applicabel</v>
      </c>
    </row>
    <row r="674" spans="1:14" x14ac:dyDescent="0.3">
      <c r="A674" t="s">
        <v>720</v>
      </c>
      <c r="B674" t="s">
        <v>39</v>
      </c>
      <c r="C674" t="s">
        <v>40</v>
      </c>
      <c r="D674" t="s">
        <v>42</v>
      </c>
      <c r="E674" s="1">
        <v>45116</v>
      </c>
      <c r="F674" s="1">
        <v>45130</v>
      </c>
      <c r="G674">
        <v>25.5</v>
      </c>
      <c r="H674">
        <v>298.33</v>
      </c>
      <c r="I674" t="s">
        <v>47</v>
      </c>
      <c r="J674">
        <v>2427</v>
      </c>
      <c r="K674">
        <v>6</v>
      </c>
      <c r="L674" t="str">
        <f>IF(logistics_data[[#This Row],[Delivery_Date]]="","In Transit",
 IF(logistics_data[[#This Row],[Status]]="Lost","Lost",
 IF(logistics_data[[#This Row],[Status]]="Returned","Returned",
 IF(logistics_data[[#This Row],[Status]]="Delayed","Delayed",
 "Delivered"))))</f>
        <v>Delayed</v>
      </c>
      <c r="M674" s="2">
        <f>logistics_data[[#This Row],[Cost]]/logistics_data[[#This Row],[Distance_miles]]</f>
        <v>0.12292130201895343</v>
      </c>
      <c r="N674" t="str">
        <f>IF(logistics_data[[#This Row],[Orginal staus of shipment]]&lt;&gt;"Delivered","not applicabel", IF(logistics_data[[#This Row],[Transit_Days]]&gt;=5,"slow","fast"))</f>
        <v>not applicabel</v>
      </c>
    </row>
    <row r="675" spans="1:14" x14ac:dyDescent="0.3">
      <c r="A675" t="s">
        <v>721</v>
      </c>
      <c r="B675" t="s">
        <v>51</v>
      </c>
      <c r="C675" t="s">
        <v>24</v>
      </c>
      <c r="D675" t="s">
        <v>42</v>
      </c>
      <c r="E675" s="1">
        <v>45089</v>
      </c>
      <c r="F675" s="1">
        <v>45094</v>
      </c>
      <c r="G675">
        <v>13.9</v>
      </c>
      <c r="H675">
        <v>131.13</v>
      </c>
      <c r="I675" t="s">
        <v>15</v>
      </c>
      <c r="J675">
        <v>872</v>
      </c>
      <c r="K675">
        <v>5</v>
      </c>
      <c r="L675" t="str">
        <f>IF(logistics_data[[#This Row],[Delivery_Date]]="","In Transit",
 IF(logistics_data[[#This Row],[Status]]="Lost","Lost",
 IF(logistics_data[[#This Row],[Status]]="Returned","Returned",
 IF(logistics_data[[#This Row],[Status]]="Delayed","Delayed",
 "Delivered"))))</f>
        <v>Delivered</v>
      </c>
      <c r="M675" s="2">
        <f>logistics_data[[#This Row],[Cost]]/logistics_data[[#This Row],[Distance_miles]]</f>
        <v>0.15037844036697248</v>
      </c>
      <c r="N675" t="str">
        <f>IF(logistics_data[[#This Row],[Orginal staus of shipment]]&lt;&gt;"Delivered","not applicabel", IF(logistics_data[[#This Row],[Transit_Days]]&gt;=5,"slow","fast"))</f>
        <v>slow</v>
      </c>
    </row>
    <row r="676" spans="1:14" x14ac:dyDescent="0.3">
      <c r="A676" t="s">
        <v>722</v>
      </c>
      <c r="B676" t="s">
        <v>30</v>
      </c>
      <c r="C676" t="s">
        <v>21</v>
      </c>
      <c r="D676" t="s">
        <v>18</v>
      </c>
      <c r="E676" s="1">
        <v>45031</v>
      </c>
      <c r="F676" s="1">
        <v>45037</v>
      </c>
      <c r="G676">
        <v>7.7</v>
      </c>
      <c r="H676">
        <v>234.65</v>
      </c>
      <c r="I676" t="s">
        <v>15</v>
      </c>
      <c r="J676">
        <v>1747</v>
      </c>
      <c r="K676">
        <v>6</v>
      </c>
      <c r="L676" t="str">
        <f>IF(logistics_data[[#This Row],[Delivery_Date]]="","In Transit",
 IF(logistics_data[[#This Row],[Status]]="Lost","Lost",
 IF(logistics_data[[#This Row],[Status]]="Returned","Returned",
 IF(logistics_data[[#This Row],[Status]]="Delayed","Delayed",
 "Delivered"))))</f>
        <v>Delivered</v>
      </c>
      <c r="M676" s="2">
        <f>logistics_data[[#This Row],[Cost]]/logistics_data[[#This Row],[Distance_miles]]</f>
        <v>0.13431597023468805</v>
      </c>
      <c r="N676" t="str">
        <f>IF(logistics_data[[#This Row],[Orginal staus of shipment]]&lt;&gt;"Delivered","not applicabel", IF(logistics_data[[#This Row],[Transit_Days]]&gt;=5,"slow","fast"))</f>
        <v>slow</v>
      </c>
    </row>
    <row r="677" spans="1:14" x14ac:dyDescent="0.3">
      <c r="A677" t="s">
        <v>723</v>
      </c>
      <c r="B677" t="s">
        <v>20</v>
      </c>
      <c r="C677" t="s">
        <v>21</v>
      </c>
      <c r="D677" t="s">
        <v>42</v>
      </c>
      <c r="E677" s="1">
        <v>45041</v>
      </c>
      <c r="F677" s="1">
        <v>45045</v>
      </c>
      <c r="G677">
        <v>37.799999999999997</v>
      </c>
      <c r="H677">
        <v>199.44</v>
      </c>
      <c r="I677" t="s">
        <v>15</v>
      </c>
      <c r="J677">
        <v>1314</v>
      </c>
      <c r="K677">
        <v>4</v>
      </c>
      <c r="L677" t="str">
        <f>IF(logistics_data[[#This Row],[Delivery_Date]]="","In Transit",
 IF(logistics_data[[#This Row],[Status]]="Lost","Lost",
 IF(logistics_data[[#This Row],[Status]]="Returned","Returned",
 IF(logistics_data[[#This Row],[Status]]="Delayed","Delayed",
 "Delivered"))))</f>
        <v>Delivered</v>
      </c>
      <c r="M677" s="2">
        <f>logistics_data[[#This Row],[Cost]]/logistics_data[[#This Row],[Distance_miles]]</f>
        <v>0.15178082191780823</v>
      </c>
      <c r="N677" t="str">
        <f>IF(logistics_data[[#This Row],[Orginal staus of shipment]]&lt;&gt;"Delivered","not applicabel", IF(logistics_data[[#This Row],[Transit_Days]]&gt;=5,"slow","fast"))</f>
        <v>fast</v>
      </c>
    </row>
    <row r="678" spans="1:14" x14ac:dyDescent="0.3">
      <c r="A678" t="s">
        <v>724</v>
      </c>
      <c r="B678" t="s">
        <v>12</v>
      </c>
      <c r="C678" t="s">
        <v>70</v>
      </c>
      <c r="D678" t="s">
        <v>18</v>
      </c>
      <c r="E678" s="1">
        <v>45226</v>
      </c>
      <c r="F678" s="1">
        <v>45231</v>
      </c>
      <c r="G678">
        <v>43.7</v>
      </c>
      <c r="H678">
        <v>401.12</v>
      </c>
      <c r="I678" t="s">
        <v>15</v>
      </c>
      <c r="J678">
        <v>2460</v>
      </c>
      <c r="K678">
        <v>5</v>
      </c>
      <c r="L678" t="str">
        <f>IF(logistics_data[[#This Row],[Delivery_Date]]="","In Transit",
 IF(logistics_data[[#This Row],[Status]]="Lost","Lost",
 IF(logistics_data[[#This Row],[Status]]="Returned","Returned",
 IF(logistics_data[[#This Row],[Status]]="Delayed","Delayed",
 "Delivered"))))</f>
        <v>Delivered</v>
      </c>
      <c r="M678" s="2">
        <f>logistics_data[[#This Row],[Cost]]/logistics_data[[#This Row],[Distance_miles]]</f>
        <v>0.16305691056910571</v>
      </c>
      <c r="N678" t="str">
        <f>IF(logistics_data[[#This Row],[Orginal staus of shipment]]&lt;&gt;"Delivered","not applicabel", IF(logistics_data[[#This Row],[Transit_Days]]&gt;=5,"slow","fast"))</f>
        <v>slow</v>
      </c>
    </row>
    <row r="679" spans="1:14" x14ac:dyDescent="0.3">
      <c r="A679" t="s">
        <v>725</v>
      </c>
      <c r="B679" t="s">
        <v>12</v>
      </c>
      <c r="C679" t="s">
        <v>31</v>
      </c>
      <c r="D679" t="s">
        <v>25</v>
      </c>
      <c r="E679" s="1">
        <v>45177</v>
      </c>
      <c r="F679" s="1">
        <v>45182</v>
      </c>
      <c r="G679">
        <v>20.6</v>
      </c>
      <c r="H679">
        <v>259.44</v>
      </c>
      <c r="I679" t="s">
        <v>15</v>
      </c>
      <c r="J679">
        <v>2189</v>
      </c>
      <c r="K679">
        <v>5</v>
      </c>
      <c r="L679" t="str">
        <f>IF(logistics_data[[#This Row],[Delivery_Date]]="","In Transit",
 IF(logistics_data[[#This Row],[Status]]="Lost","Lost",
 IF(logistics_data[[#This Row],[Status]]="Returned","Returned",
 IF(logistics_data[[#This Row],[Status]]="Delayed","Delayed",
 "Delivered"))))</f>
        <v>Delivered</v>
      </c>
      <c r="M679" s="2">
        <f>logistics_data[[#This Row],[Cost]]/logistics_data[[#This Row],[Distance_miles]]</f>
        <v>0.11851987208771128</v>
      </c>
      <c r="N679" t="str">
        <f>IF(logistics_data[[#This Row],[Orginal staus of shipment]]&lt;&gt;"Delivered","not applicabel", IF(logistics_data[[#This Row],[Transit_Days]]&gt;=5,"slow","fast"))</f>
        <v>slow</v>
      </c>
    </row>
    <row r="680" spans="1:14" x14ac:dyDescent="0.3">
      <c r="A680" t="s">
        <v>726</v>
      </c>
      <c r="B680" t="s">
        <v>49</v>
      </c>
      <c r="C680" t="s">
        <v>81</v>
      </c>
      <c r="D680" t="s">
        <v>32</v>
      </c>
      <c r="E680" s="1">
        <v>45201</v>
      </c>
      <c r="F680" s="1">
        <v>45207</v>
      </c>
      <c r="G680">
        <v>14</v>
      </c>
      <c r="H680">
        <v>295.69</v>
      </c>
      <c r="I680" t="s">
        <v>15</v>
      </c>
      <c r="J680">
        <v>2105</v>
      </c>
      <c r="K680">
        <v>6</v>
      </c>
      <c r="L680" t="str">
        <f>IF(logistics_data[[#This Row],[Delivery_Date]]="","In Transit",
 IF(logistics_data[[#This Row],[Status]]="Lost","Lost",
 IF(logistics_data[[#This Row],[Status]]="Returned","Returned",
 IF(logistics_data[[#This Row],[Status]]="Delayed","Delayed",
 "Delivered"))))</f>
        <v>Delivered</v>
      </c>
      <c r="M680" s="2">
        <f>logistics_data[[#This Row],[Cost]]/logistics_data[[#This Row],[Distance_miles]]</f>
        <v>0.14047030878859856</v>
      </c>
      <c r="N680" t="str">
        <f>IF(logistics_data[[#This Row],[Orginal staus of shipment]]&lt;&gt;"Delivered","not applicabel", IF(logistics_data[[#This Row],[Transit_Days]]&gt;=5,"slow","fast"))</f>
        <v>slow</v>
      </c>
    </row>
    <row r="681" spans="1:14" x14ac:dyDescent="0.3">
      <c r="A681" t="s">
        <v>727</v>
      </c>
      <c r="B681" t="s">
        <v>23</v>
      </c>
      <c r="C681" t="s">
        <v>54</v>
      </c>
      <c r="D681" t="s">
        <v>32</v>
      </c>
      <c r="E681" s="1">
        <v>44988</v>
      </c>
      <c r="F681" s="1">
        <v>44994</v>
      </c>
      <c r="G681">
        <v>6.5</v>
      </c>
      <c r="H681">
        <v>297.79000000000002</v>
      </c>
      <c r="I681" t="s">
        <v>15</v>
      </c>
      <c r="J681">
        <v>2185</v>
      </c>
      <c r="K681">
        <v>6</v>
      </c>
      <c r="L681" t="str">
        <f>IF(logistics_data[[#This Row],[Delivery_Date]]="","In Transit",
 IF(logistics_data[[#This Row],[Status]]="Lost","Lost",
 IF(logistics_data[[#This Row],[Status]]="Returned","Returned",
 IF(logistics_data[[#This Row],[Status]]="Delayed","Delayed",
 "Delivered"))))</f>
        <v>Delivered</v>
      </c>
      <c r="M681" s="2">
        <f>logistics_data[[#This Row],[Cost]]/logistics_data[[#This Row],[Distance_miles]]</f>
        <v>0.1362883295194508</v>
      </c>
      <c r="N681" t="str">
        <f>IF(logistics_data[[#This Row],[Orginal staus of shipment]]&lt;&gt;"Delivered","not applicabel", IF(logistics_data[[#This Row],[Transit_Days]]&gt;=5,"slow","fast"))</f>
        <v>slow</v>
      </c>
    </row>
    <row r="682" spans="1:14" x14ac:dyDescent="0.3">
      <c r="A682" t="s">
        <v>728</v>
      </c>
      <c r="B682" t="s">
        <v>30</v>
      </c>
      <c r="C682" t="s">
        <v>21</v>
      </c>
      <c r="D682" t="s">
        <v>32</v>
      </c>
      <c r="E682" s="1">
        <v>45153</v>
      </c>
      <c r="F682" s="1">
        <v>45158</v>
      </c>
      <c r="G682">
        <v>122.7</v>
      </c>
      <c r="H682">
        <v>432.92</v>
      </c>
      <c r="I682" t="s">
        <v>15</v>
      </c>
      <c r="J682">
        <v>1984</v>
      </c>
      <c r="K682">
        <v>5</v>
      </c>
      <c r="L682" t="str">
        <f>IF(logistics_data[[#This Row],[Delivery_Date]]="","In Transit",
 IF(logistics_data[[#This Row],[Status]]="Lost","Lost",
 IF(logistics_data[[#This Row],[Status]]="Returned","Returned",
 IF(logistics_data[[#This Row],[Status]]="Delayed","Delayed",
 "Delivered"))))</f>
        <v>Delivered</v>
      </c>
      <c r="M682" s="2">
        <f>logistics_data[[#This Row],[Cost]]/logistics_data[[#This Row],[Distance_miles]]</f>
        <v>0.21820564516129032</v>
      </c>
      <c r="N682" t="str">
        <f>IF(logistics_data[[#This Row],[Orginal staus of shipment]]&lt;&gt;"Delivered","not applicabel", IF(logistics_data[[#This Row],[Transit_Days]]&gt;=5,"slow","fast"))</f>
        <v>slow</v>
      </c>
    </row>
    <row r="683" spans="1:14" x14ac:dyDescent="0.3">
      <c r="A683" t="s">
        <v>729</v>
      </c>
      <c r="B683" t="s">
        <v>23</v>
      </c>
      <c r="C683" t="s">
        <v>52</v>
      </c>
      <c r="D683" t="s">
        <v>25</v>
      </c>
      <c r="E683" s="1">
        <v>45218</v>
      </c>
      <c r="F683" s="1">
        <v>45221</v>
      </c>
      <c r="G683">
        <v>13.6</v>
      </c>
      <c r="H683">
        <v>141.30000000000001</v>
      </c>
      <c r="I683" t="s">
        <v>15</v>
      </c>
      <c r="J683">
        <v>1123</v>
      </c>
      <c r="K683">
        <v>3</v>
      </c>
      <c r="L683" t="str">
        <f>IF(logistics_data[[#This Row],[Delivery_Date]]="","In Transit",
 IF(logistics_data[[#This Row],[Status]]="Lost","Lost",
 IF(logistics_data[[#This Row],[Status]]="Returned","Returned",
 IF(logistics_data[[#This Row],[Status]]="Delayed","Delayed",
 "Delivered"))))</f>
        <v>Delivered</v>
      </c>
      <c r="M683" s="2">
        <f>logistics_data[[#This Row],[Cost]]/logistics_data[[#This Row],[Distance_miles]]</f>
        <v>0.12582368655387358</v>
      </c>
      <c r="N683" t="str">
        <f>IF(logistics_data[[#This Row],[Orginal staus of shipment]]&lt;&gt;"Delivered","not applicabel", IF(logistics_data[[#This Row],[Transit_Days]]&gt;=5,"slow","fast"))</f>
        <v>fast</v>
      </c>
    </row>
    <row r="684" spans="1:14" x14ac:dyDescent="0.3">
      <c r="A684" t="s">
        <v>730</v>
      </c>
      <c r="B684" t="s">
        <v>30</v>
      </c>
      <c r="C684" t="s">
        <v>13</v>
      </c>
      <c r="D684" t="s">
        <v>25</v>
      </c>
      <c r="E684" s="1">
        <v>45050</v>
      </c>
      <c r="F684" s="1">
        <v>45052</v>
      </c>
      <c r="G684">
        <v>35.9</v>
      </c>
      <c r="H684">
        <v>89.84</v>
      </c>
      <c r="I684" t="s">
        <v>15</v>
      </c>
      <c r="J684">
        <v>348</v>
      </c>
      <c r="K684">
        <v>2</v>
      </c>
      <c r="L684" t="str">
        <f>IF(logistics_data[[#This Row],[Delivery_Date]]="","In Transit",
 IF(logistics_data[[#This Row],[Status]]="Lost","Lost",
 IF(logistics_data[[#This Row],[Status]]="Returned","Returned",
 IF(logistics_data[[#This Row],[Status]]="Delayed","Delayed",
 "Delivered"))))</f>
        <v>Delivered</v>
      </c>
      <c r="M684" s="2">
        <f>logistics_data[[#This Row],[Cost]]/logistics_data[[#This Row],[Distance_miles]]</f>
        <v>0.25816091954022991</v>
      </c>
      <c r="N684" t="str">
        <f>IF(logistics_data[[#This Row],[Orginal staus of shipment]]&lt;&gt;"Delivered","not applicabel", IF(logistics_data[[#This Row],[Transit_Days]]&gt;=5,"slow","fast"))</f>
        <v>fast</v>
      </c>
    </row>
    <row r="685" spans="1:14" x14ac:dyDescent="0.3">
      <c r="A685" t="s">
        <v>731</v>
      </c>
      <c r="B685" t="s">
        <v>20</v>
      </c>
      <c r="C685" t="s">
        <v>28</v>
      </c>
      <c r="D685" t="s">
        <v>37</v>
      </c>
      <c r="E685" s="1">
        <v>44928</v>
      </c>
      <c r="F685" s="1">
        <v>44931</v>
      </c>
      <c r="G685">
        <v>52.3</v>
      </c>
      <c r="H685">
        <v>222.33</v>
      </c>
      <c r="I685" t="s">
        <v>15</v>
      </c>
      <c r="J685">
        <v>1435</v>
      </c>
      <c r="K685">
        <v>3</v>
      </c>
      <c r="L685" t="str">
        <f>IF(logistics_data[[#This Row],[Delivery_Date]]="","In Transit",
 IF(logistics_data[[#This Row],[Status]]="Lost","Lost",
 IF(logistics_data[[#This Row],[Status]]="Returned","Returned",
 IF(logistics_data[[#This Row],[Status]]="Delayed","Delayed",
 "Delivered"))))</f>
        <v>Delivered</v>
      </c>
      <c r="M685" s="2">
        <f>logistics_data[[#This Row],[Cost]]/logistics_data[[#This Row],[Distance_miles]]</f>
        <v>0.15493379790940767</v>
      </c>
      <c r="N685" t="str">
        <f>IF(logistics_data[[#This Row],[Orginal staus of shipment]]&lt;&gt;"Delivered","not applicabel", IF(logistics_data[[#This Row],[Transit_Days]]&gt;=5,"slow","fast"))</f>
        <v>fast</v>
      </c>
    </row>
    <row r="686" spans="1:14" x14ac:dyDescent="0.3">
      <c r="A686" t="s">
        <v>732</v>
      </c>
      <c r="B686" t="s">
        <v>39</v>
      </c>
      <c r="C686" t="s">
        <v>40</v>
      </c>
      <c r="D686" t="s">
        <v>18</v>
      </c>
      <c r="E686" s="1">
        <v>44985</v>
      </c>
      <c r="F686" s="1">
        <v>44986</v>
      </c>
      <c r="G686">
        <v>14.6</v>
      </c>
      <c r="H686">
        <v>58.01</v>
      </c>
      <c r="I686" t="s">
        <v>15</v>
      </c>
      <c r="J686">
        <v>265</v>
      </c>
      <c r="K686">
        <v>1</v>
      </c>
      <c r="L686" t="str">
        <f>IF(logistics_data[[#This Row],[Delivery_Date]]="","In Transit",
 IF(logistics_data[[#This Row],[Status]]="Lost","Lost",
 IF(logistics_data[[#This Row],[Status]]="Returned","Returned",
 IF(logistics_data[[#This Row],[Status]]="Delayed","Delayed",
 "Delivered"))))</f>
        <v>Delivered</v>
      </c>
      <c r="M686" s="2">
        <f>logistics_data[[#This Row],[Cost]]/logistics_data[[#This Row],[Distance_miles]]</f>
        <v>0.21890566037735848</v>
      </c>
      <c r="N686" t="str">
        <f>IF(logistics_data[[#This Row],[Orginal staus of shipment]]&lt;&gt;"Delivered","not applicabel", IF(logistics_data[[#This Row],[Transit_Days]]&gt;=5,"slow","fast"))</f>
        <v>fast</v>
      </c>
    </row>
    <row r="687" spans="1:14" x14ac:dyDescent="0.3">
      <c r="A687" t="s">
        <v>733</v>
      </c>
      <c r="B687" t="s">
        <v>51</v>
      </c>
      <c r="C687" t="s">
        <v>17</v>
      </c>
      <c r="D687" t="s">
        <v>32</v>
      </c>
      <c r="E687" s="1">
        <v>44999</v>
      </c>
      <c r="F687" s="1">
        <v>45002</v>
      </c>
      <c r="G687">
        <v>36.799999999999997</v>
      </c>
      <c r="H687">
        <v>166.16</v>
      </c>
      <c r="I687" t="s">
        <v>15</v>
      </c>
      <c r="J687">
        <v>870</v>
      </c>
      <c r="K687">
        <v>3</v>
      </c>
      <c r="L687" t="str">
        <f>IF(logistics_data[[#This Row],[Delivery_Date]]="","In Transit",
 IF(logistics_data[[#This Row],[Status]]="Lost","Lost",
 IF(logistics_data[[#This Row],[Status]]="Returned","Returned",
 IF(logistics_data[[#This Row],[Status]]="Delayed","Delayed",
 "Delivered"))))</f>
        <v>Delivered</v>
      </c>
      <c r="M687" s="2">
        <f>logistics_data[[#This Row],[Cost]]/logistics_data[[#This Row],[Distance_miles]]</f>
        <v>0.19098850574712642</v>
      </c>
      <c r="N687" t="str">
        <f>IF(logistics_data[[#This Row],[Orginal staus of shipment]]&lt;&gt;"Delivered","not applicabel", IF(logistics_data[[#This Row],[Transit_Days]]&gt;=5,"slow","fast"))</f>
        <v>fast</v>
      </c>
    </row>
    <row r="688" spans="1:14" x14ac:dyDescent="0.3">
      <c r="A688" t="s">
        <v>734</v>
      </c>
      <c r="B688" t="s">
        <v>23</v>
      </c>
      <c r="C688" t="s">
        <v>36</v>
      </c>
      <c r="D688" t="s">
        <v>42</v>
      </c>
      <c r="E688" s="1">
        <v>45255</v>
      </c>
      <c r="F688" s="1">
        <v>45261</v>
      </c>
      <c r="G688">
        <v>25.8</v>
      </c>
      <c r="H688">
        <v>319.08999999999997</v>
      </c>
      <c r="I688" t="s">
        <v>60</v>
      </c>
      <c r="J688">
        <v>2008</v>
      </c>
      <c r="K688">
        <v>6</v>
      </c>
      <c r="L688" t="str">
        <f>IF(logistics_data[[#This Row],[Delivery_Date]]="","In Transit",
 IF(logistics_data[[#This Row],[Status]]="Lost","Lost",
 IF(logistics_data[[#This Row],[Status]]="Returned","Returned",
 IF(logistics_data[[#This Row],[Status]]="Delayed","Delayed",
 "Delivered"))))</f>
        <v>Lost</v>
      </c>
      <c r="M688" s="2">
        <f>logistics_data[[#This Row],[Cost]]/logistics_data[[#This Row],[Distance_miles]]</f>
        <v>0.15890936254980079</v>
      </c>
      <c r="N688" t="str">
        <f>IF(logistics_data[[#This Row],[Orginal staus of shipment]]&lt;&gt;"Delivered","not applicabel", IF(logistics_data[[#This Row],[Transit_Days]]&gt;=5,"slow","fast"))</f>
        <v>not applicabel</v>
      </c>
    </row>
    <row r="689" spans="1:14" x14ac:dyDescent="0.3">
      <c r="A689" t="s">
        <v>735</v>
      </c>
      <c r="B689" t="s">
        <v>20</v>
      </c>
      <c r="C689" t="s">
        <v>44</v>
      </c>
      <c r="D689" t="s">
        <v>59</v>
      </c>
      <c r="E689" s="1">
        <v>45096</v>
      </c>
      <c r="F689" s="1">
        <v>45099</v>
      </c>
      <c r="G689">
        <v>17.5</v>
      </c>
      <c r="H689">
        <v>165.72</v>
      </c>
      <c r="I689" t="s">
        <v>15</v>
      </c>
      <c r="J689">
        <v>1305</v>
      </c>
      <c r="K689">
        <v>3</v>
      </c>
      <c r="L689" t="str">
        <f>IF(logistics_data[[#This Row],[Delivery_Date]]="","In Transit",
 IF(logistics_data[[#This Row],[Status]]="Lost","Lost",
 IF(logistics_data[[#This Row],[Status]]="Returned","Returned",
 IF(logistics_data[[#This Row],[Status]]="Delayed","Delayed",
 "Delivered"))))</f>
        <v>Delivered</v>
      </c>
      <c r="M689" s="2">
        <f>logistics_data[[#This Row],[Cost]]/logistics_data[[#This Row],[Distance_miles]]</f>
        <v>0.12698850574712645</v>
      </c>
      <c r="N689" t="str">
        <f>IF(logistics_data[[#This Row],[Orginal staus of shipment]]&lt;&gt;"Delivered","not applicabel", IF(logistics_data[[#This Row],[Transit_Days]]&gt;=5,"slow","fast"))</f>
        <v>fast</v>
      </c>
    </row>
    <row r="690" spans="1:14" x14ac:dyDescent="0.3">
      <c r="A690" t="s">
        <v>736</v>
      </c>
      <c r="B690" t="s">
        <v>27</v>
      </c>
      <c r="C690" t="s">
        <v>36</v>
      </c>
      <c r="D690" t="s">
        <v>25</v>
      </c>
      <c r="E690" s="1">
        <v>45225</v>
      </c>
      <c r="F690" s="1">
        <v>45229</v>
      </c>
      <c r="G690">
        <v>50.1</v>
      </c>
      <c r="H690">
        <v>282.69</v>
      </c>
      <c r="I690" t="s">
        <v>15</v>
      </c>
      <c r="J690">
        <v>1646</v>
      </c>
      <c r="K690">
        <v>4</v>
      </c>
      <c r="L690" t="str">
        <f>IF(logistics_data[[#This Row],[Delivery_Date]]="","In Transit",
 IF(logistics_data[[#This Row],[Status]]="Lost","Lost",
 IF(logistics_data[[#This Row],[Status]]="Returned","Returned",
 IF(logistics_data[[#This Row],[Status]]="Delayed","Delayed",
 "Delivered"))))</f>
        <v>Delivered</v>
      </c>
      <c r="M690" s="2">
        <f>logistics_data[[#This Row],[Cost]]/logistics_data[[#This Row],[Distance_miles]]</f>
        <v>0.17174362089914946</v>
      </c>
      <c r="N690" t="str">
        <f>IF(logistics_data[[#This Row],[Orginal staus of shipment]]&lt;&gt;"Delivered","not applicabel", IF(logistics_data[[#This Row],[Transit_Days]]&gt;=5,"slow","fast"))</f>
        <v>fast</v>
      </c>
    </row>
    <row r="691" spans="1:14" x14ac:dyDescent="0.3">
      <c r="A691" t="s">
        <v>737</v>
      </c>
      <c r="B691" t="s">
        <v>35</v>
      </c>
      <c r="C691" t="s">
        <v>17</v>
      </c>
      <c r="D691" t="s">
        <v>42</v>
      </c>
      <c r="E691" s="1">
        <v>45001</v>
      </c>
      <c r="F691" s="1">
        <v>45006</v>
      </c>
      <c r="G691">
        <v>54</v>
      </c>
      <c r="H691">
        <v>326.08</v>
      </c>
      <c r="I691" t="s">
        <v>15</v>
      </c>
      <c r="J691">
        <v>2448</v>
      </c>
      <c r="K691">
        <v>5</v>
      </c>
      <c r="L691" t="str">
        <f>IF(logistics_data[[#This Row],[Delivery_Date]]="","In Transit",
 IF(logistics_data[[#This Row],[Status]]="Lost","Lost",
 IF(logistics_data[[#This Row],[Status]]="Returned","Returned",
 IF(logistics_data[[#This Row],[Status]]="Delayed","Delayed",
 "Delivered"))))</f>
        <v>Delivered</v>
      </c>
      <c r="M691" s="2">
        <f>logistics_data[[#This Row],[Cost]]/logistics_data[[#This Row],[Distance_miles]]</f>
        <v>0.13320261437908495</v>
      </c>
      <c r="N691" t="str">
        <f>IF(logistics_data[[#This Row],[Orginal staus of shipment]]&lt;&gt;"Delivered","not applicabel", IF(logistics_data[[#This Row],[Transit_Days]]&gt;=5,"slow","fast"))</f>
        <v>slow</v>
      </c>
    </row>
    <row r="692" spans="1:14" x14ac:dyDescent="0.3">
      <c r="A692" t="s">
        <v>738</v>
      </c>
      <c r="B692" t="s">
        <v>23</v>
      </c>
      <c r="C692" t="s">
        <v>28</v>
      </c>
      <c r="D692" t="s">
        <v>18</v>
      </c>
      <c r="E692" s="1">
        <v>44940</v>
      </c>
      <c r="F692" s="1">
        <v>44944</v>
      </c>
      <c r="G692">
        <v>9.6</v>
      </c>
      <c r="H692">
        <v>243.91</v>
      </c>
      <c r="I692" t="s">
        <v>15</v>
      </c>
      <c r="J692">
        <v>1854</v>
      </c>
      <c r="K692">
        <v>4</v>
      </c>
      <c r="L692" t="str">
        <f>IF(logistics_data[[#This Row],[Delivery_Date]]="","In Transit",
 IF(logistics_data[[#This Row],[Status]]="Lost","Lost",
 IF(logistics_data[[#This Row],[Status]]="Returned","Returned",
 IF(logistics_data[[#This Row],[Status]]="Delayed","Delayed",
 "Delivered"))))</f>
        <v>Delivered</v>
      </c>
      <c r="M692" s="2">
        <f>logistics_data[[#This Row],[Cost]]/logistics_data[[#This Row],[Distance_miles]]</f>
        <v>0.13155879180151026</v>
      </c>
      <c r="N692" t="str">
        <f>IF(logistics_data[[#This Row],[Orginal staus of shipment]]&lt;&gt;"Delivered","not applicabel", IF(logistics_data[[#This Row],[Transit_Days]]&gt;=5,"slow","fast"))</f>
        <v>fast</v>
      </c>
    </row>
    <row r="693" spans="1:14" x14ac:dyDescent="0.3">
      <c r="A693" t="s">
        <v>739</v>
      </c>
      <c r="B693" t="s">
        <v>23</v>
      </c>
      <c r="C693" t="s">
        <v>57</v>
      </c>
      <c r="D693" t="s">
        <v>37</v>
      </c>
      <c r="E693" s="1">
        <v>45084</v>
      </c>
      <c r="F693" s="1">
        <v>45087</v>
      </c>
      <c r="G693">
        <v>14.5</v>
      </c>
      <c r="H693">
        <v>174.22</v>
      </c>
      <c r="I693" t="s">
        <v>15</v>
      </c>
      <c r="J693">
        <v>1208</v>
      </c>
      <c r="K693">
        <v>3</v>
      </c>
      <c r="L693" t="str">
        <f>IF(logistics_data[[#This Row],[Delivery_Date]]="","In Transit",
 IF(logistics_data[[#This Row],[Status]]="Lost","Lost",
 IF(logistics_data[[#This Row],[Status]]="Returned","Returned",
 IF(logistics_data[[#This Row],[Status]]="Delayed","Delayed",
 "Delivered"))))</f>
        <v>Delivered</v>
      </c>
      <c r="M693" s="2">
        <f>logistics_data[[#This Row],[Cost]]/logistics_data[[#This Row],[Distance_miles]]</f>
        <v>0.14422185430463577</v>
      </c>
      <c r="N693" t="str">
        <f>IF(logistics_data[[#This Row],[Orginal staus of shipment]]&lt;&gt;"Delivered","not applicabel", IF(logistics_data[[#This Row],[Transit_Days]]&gt;=5,"slow","fast"))</f>
        <v>fast</v>
      </c>
    </row>
    <row r="694" spans="1:14" x14ac:dyDescent="0.3">
      <c r="A694" t="s">
        <v>740</v>
      </c>
      <c r="B694" t="s">
        <v>12</v>
      </c>
      <c r="C694" t="s">
        <v>28</v>
      </c>
      <c r="D694" t="s">
        <v>59</v>
      </c>
      <c r="E694" s="1">
        <v>44941</v>
      </c>
      <c r="F694" s="1">
        <v>44945</v>
      </c>
      <c r="G694">
        <v>14.5</v>
      </c>
      <c r="H694">
        <v>230.05</v>
      </c>
      <c r="I694" t="s">
        <v>15</v>
      </c>
      <c r="J694">
        <v>1753</v>
      </c>
      <c r="K694">
        <v>4</v>
      </c>
      <c r="L694" t="str">
        <f>IF(logistics_data[[#This Row],[Delivery_Date]]="","In Transit",
 IF(logistics_data[[#This Row],[Status]]="Lost","Lost",
 IF(logistics_data[[#This Row],[Status]]="Returned","Returned",
 IF(logistics_data[[#This Row],[Status]]="Delayed","Delayed",
 "Delivered"))))</f>
        <v>Delivered</v>
      </c>
      <c r="M694" s="2">
        <f>logistics_data[[#This Row],[Cost]]/logistics_data[[#This Row],[Distance_miles]]</f>
        <v>0.13123217341699944</v>
      </c>
      <c r="N694" t="str">
        <f>IF(logistics_data[[#This Row],[Orginal staus of shipment]]&lt;&gt;"Delivered","not applicabel", IF(logistics_data[[#This Row],[Transit_Days]]&gt;=5,"slow","fast"))</f>
        <v>fast</v>
      </c>
    </row>
    <row r="695" spans="1:14" x14ac:dyDescent="0.3">
      <c r="A695" t="s">
        <v>741</v>
      </c>
      <c r="B695" t="s">
        <v>12</v>
      </c>
      <c r="C695" t="s">
        <v>44</v>
      </c>
      <c r="D695" t="s">
        <v>59</v>
      </c>
      <c r="E695" s="1">
        <v>45002</v>
      </c>
      <c r="F695" s="1">
        <v>45019</v>
      </c>
      <c r="G695">
        <v>3.1</v>
      </c>
      <c r="H695">
        <v>124.09</v>
      </c>
      <c r="I695" t="s">
        <v>47</v>
      </c>
      <c r="J695">
        <v>1098</v>
      </c>
      <c r="K695">
        <v>6</v>
      </c>
      <c r="L695" t="str">
        <f>IF(logistics_data[[#This Row],[Delivery_Date]]="","In Transit",
 IF(logistics_data[[#This Row],[Status]]="Lost","Lost",
 IF(logistics_data[[#This Row],[Status]]="Returned","Returned",
 IF(logistics_data[[#This Row],[Status]]="Delayed","Delayed",
 "Delivered"))))</f>
        <v>Delayed</v>
      </c>
      <c r="M695" s="2">
        <f>logistics_data[[#This Row],[Cost]]/logistics_data[[#This Row],[Distance_miles]]</f>
        <v>0.11301457194899818</v>
      </c>
      <c r="N695" t="str">
        <f>IF(logistics_data[[#This Row],[Orginal staus of shipment]]&lt;&gt;"Delivered","not applicabel", IF(logistics_data[[#This Row],[Transit_Days]]&gt;=5,"slow","fast"))</f>
        <v>not applicabel</v>
      </c>
    </row>
    <row r="696" spans="1:14" x14ac:dyDescent="0.3">
      <c r="A696" t="s">
        <v>742</v>
      </c>
      <c r="B696" t="s">
        <v>56</v>
      </c>
      <c r="C696" t="s">
        <v>81</v>
      </c>
      <c r="D696" t="s">
        <v>32</v>
      </c>
      <c r="E696" s="1">
        <v>44973</v>
      </c>
      <c r="F696" s="1">
        <v>44978</v>
      </c>
      <c r="G696">
        <v>108.4</v>
      </c>
      <c r="H696">
        <v>397.96</v>
      </c>
      <c r="I696" t="s">
        <v>15</v>
      </c>
      <c r="J696">
        <v>1964</v>
      </c>
      <c r="K696">
        <v>5</v>
      </c>
      <c r="L696" t="str">
        <f>IF(logistics_data[[#This Row],[Delivery_Date]]="","In Transit",
 IF(logistics_data[[#This Row],[Status]]="Lost","Lost",
 IF(logistics_data[[#This Row],[Status]]="Returned","Returned",
 IF(logistics_data[[#This Row],[Status]]="Delayed","Delayed",
 "Delivered"))))</f>
        <v>Delivered</v>
      </c>
      <c r="M696" s="2">
        <f>logistics_data[[#This Row],[Cost]]/logistics_data[[#This Row],[Distance_miles]]</f>
        <v>0.20262729124236251</v>
      </c>
      <c r="N696" t="str">
        <f>IF(logistics_data[[#This Row],[Orginal staus of shipment]]&lt;&gt;"Delivered","not applicabel", IF(logistics_data[[#This Row],[Transit_Days]]&gt;=5,"slow","fast"))</f>
        <v>slow</v>
      </c>
    </row>
    <row r="697" spans="1:14" x14ac:dyDescent="0.3">
      <c r="A697" t="s">
        <v>743</v>
      </c>
      <c r="B697" t="s">
        <v>56</v>
      </c>
      <c r="C697" t="s">
        <v>21</v>
      </c>
      <c r="D697" t="s">
        <v>37</v>
      </c>
      <c r="E697" s="1">
        <v>45092</v>
      </c>
      <c r="F697" s="1">
        <v>45097</v>
      </c>
      <c r="G697">
        <v>26.6</v>
      </c>
      <c r="H697">
        <v>231.19</v>
      </c>
      <c r="I697" t="s">
        <v>15</v>
      </c>
      <c r="J697">
        <v>1615</v>
      </c>
      <c r="K697">
        <v>5</v>
      </c>
      <c r="L697" t="str">
        <f>IF(logistics_data[[#This Row],[Delivery_Date]]="","In Transit",
 IF(logistics_data[[#This Row],[Status]]="Lost","Lost",
 IF(logistics_data[[#This Row],[Status]]="Returned","Returned",
 IF(logistics_data[[#This Row],[Status]]="Delayed","Delayed",
 "Delivered"))))</f>
        <v>Delivered</v>
      </c>
      <c r="M697" s="2">
        <f>logistics_data[[#This Row],[Cost]]/logistics_data[[#This Row],[Distance_miles]]</f>
        <v>0.1431517027863777</v>
      </c>
      <c r="N697" t="str">
        <f>IF(logistics_data[[#This Row],[Orginal staus of shipment]]&lt;&gt;"Delivered","not applicabel", IF(logistics_data[[#This Row],[Transit_Days]]&gt;=5,"slow","fast"))</f>
        <v>slow</v>
      </c>
    </row>
    <row r="698" spans="1:14" x14ac:dyDescent="0.3">
      <c r="A698" t="s">
        <v>744</v>
      </c>
      <c r="B698" t="s">
        <v>51</v>
      </c>
      <c r="C698" t="s">
        <v>17</v>
      </c>
      <c r="D698" t="s">
        <v>32</v>
      </c>
      <c r="E698" s="1">
        <v>45249</v>
      </c>
      <c r="F698" s="1">
        <v>45252</v>
      </c>
      <c r="G698">
        <v>7.2</v>
      </c>
      <c r="H698">
        <v>158.85</v>
      </c>
      <c r="I698" t="s">
        <v>15</v>
      </c>
      <c r="J698">
        <v>870</v>
      </c>
      <c r="K698">
        <v>3</v>
      </c>
      <c r="L698" t="str">
        <f>IF(logistics_data[[#This Row],[Delivery_Date]]="","In Transit",
 IF(logistics_data[[#This Row],[Status]]="Lost","Lost",
 IF(logistics_data[[#This Row],[Status]]="Returned","Returned",
 IF(logistics_data[[#This Row],[Status]]="Delayed","Delayed",
 "Delivered"))))</f>
        <v>Delivered</v>
      </c>
      <c r="M698" s="2">
        <f>logistics_data[[#This Row],[Cost]]/logistics_data[[#This Row],[Distance_miles]]</f>
        <v>0.18258620689655172</v>
      </c>
      <c r="N698" t="str">
        <f>IF(logistics_data[[#This Row],[Orginal staus of shipment]]&lt;&gt;"Delivered","not applicabel", IF(logistics_data[[#This Row],[Transit_Days]]&gt;=5,"slow","fast"))</f>
        <v>fast</v>
      </c>
    </row>
    <row r="699" spans="1:14" x14ac:dyDescent="0.3">
      <c r="A699" t="s">
        <v>745</v>
      </c>
      <c r="B699" t="s">
        <v>27</v>
      </c>
      <c r="C699" t="s">
        <v>40</v>
      </c>
      <c r="D699" t="s">
        <v>18</v>
      </c>
      <c r="E699" s="1">
        <v>45016</v>
      </c>
      <c r="F699" s="1">
        <v>45017</v>
      </c>
      <c r="G699">
        <v>17.100000000000001</v>
      </c>
      <c r="H699">
        <v>34.450000000000003</v>
      </c>
      <c r="I699" t="s">
        <v>15</v>
      </c>
      <c r="J699">
        <v>105</v>
      </c>
      <c r="K699">
        <v>1</v>
      </c>
      <c r="L699" t="str">
        <f>IF(logistics_data[[#This Row],[Delivery_Date]]="","In Transit",
 IF(logistics_data[[#This Row],[Status]]="Lost","Lost",
 IF(logistics_data[[#This Row],[Status]]="Returned","Returned",
 IF(logistics_data[[#This Row],[Status]]="Delayed","Delayed",
 "Delivered"))))</f>
        <v>Delivered</v>
      </c>
      <c r="M699" s="2">
        <f>logistics_data[[#This Row],[Cost]]/logistics_data[[#This Row],[Distance_miles]]</f>
        <v>0.32809523809523811</v>
      </c>
      <c r="N699" t="str">
        <f>IF(logistics_data[[#This Row],[Orginal staus of shipment]]&lt;&gt;"Delivered","not applicabel", IF(logistics_data[[#This Row],[Transit_Days]]&gt;=5,"slow","fast"))</f>
        <v>fast</v>
      </c>
    </row>
    <row r="700" spans="1:14" x14ac:dyDescent="0.3">
      <c r="A700" t="s">
        <v>746</v>
      </c>
      <c r="B700" t="s">
        <v>27</v>
      </c>
      <c r="C700" t="s">
        <v>17</v>
      </c>
      <c r="D700" t="s">
        <v>14</v>
      </c>
      <c r="E700" s="1">
        <v>44944</v>
      </c>
      <c r="F700" s="1">
        <v>44946</v>
      </c>
      <c r="G700">
        <v>21.9</v>
      </c>
      <c r="H700">
        <v>83.7</v>
      </c>
      <c r="I700" t="s">
        <v>15</v>
      </c>
      <c r="J700">
        <v>472</v>
      </c>
      <c r="K700">
        <v>2</v>
      </c>
      <c r="L700" t="str">
        <f>IF(logistics_data[[#This Row],[Delivery_Date]]="","In Transit",
 IF(logistics_data[[#This Row],[Status]]="Lost","Lost",
 IF(logistics_data[[#This Row],[Status]]="Returned","Returned",
 IF(logistics_data[[#This Row],[Status]]="Delayed","Delayed",
 "Delivered"))))</f>
        <v>Delivered</v>
      </c>
      <c r="M700" s="2">
        <f>logistics_data[[#This Row],[Cost]]/logistics_data[[#This Row],[Distance_miles]]</f>
        <v>0.17733050847457626</v>
      </c>
      <c r="N700" t="str">
        <f>IF(logistics_data[[#This Row],[Orginal staus of shipment]]&lt;&gt;"Delivered","not applicabel", IF(logistics_data[[#This Row],[Transit_Days]]&gt;=5,"slow","fast"))</f>
        <v>fast</v>
      </c>
    </row>
    <row r="701" spans="1:14" x14ac:dyDescent="0.3">
      <c r="A701" t="s">
        <v>747</v>
      </c>
      <c r="B701" t="s">
        <v>39</v>
      </c>
      <c r="C701" t="s">
        <v>28</v>
      </c>
      <c r="D701" t="s">
        <v>14</v>
      </c>
      <c r="E701" s="1">
        <v>44985</v>
      </c>
      <c r="F701" s="1">
        <v>44990</v>
      </c>
      <c r="G701">
        <v>78.2</v>
      </c>
      <c r="H701">
        <v>195.05</v>
      </c>
      <c r="I701" t="s">
        <v>47</v>
      </c>
      <c r="J701">
        <v>860</v>
      </c>
      <c r="K701">
        <v>3</v>
      </c>
      <c r="L701" t="str">
        <f>IF(logistics_data[[#This Row],[Delivery_Date]]="","In Transit",
 IF(logistics_data[[#This Row],[Status]]="Lost","Lost",
 IF(logistics_data[[#This Row],[Status]]="Returned","Returned",
 IF(logistics_data[[#This Row],[Status]]="Delayed","Delayed",
 "Delivered"))))</f>
        <v>Delayed</v>
      </c>
      <c r="M701" s="2">
        <f>logistics_data[[#This Row],[Cost]]/logistics_data[[#This Row],[Distance_miles]]</f>
        <v>0.22680232558139538</v>
      </c>
      <c r="N701" t="str">
        <f>IF(logistics_data[[#This Row],[Orginal staus of shipment]]&lt;&gt;"Delivered","not applicabel", IF(logistics_data[[#This Row],[Transit_Days]]&gt;=5,"slow","fast"))</f>
        <v>not applicabel</v>
      </c>
    </row>
    <row r="702" spans="1:14" x14ac:dyDescent="0.3">
      <c r="A702" t="s">
        <v>748</v>
      </c>
      <c r="B702" t="s">
        <v>30</v>
      </c>
      <c r="C702" t="s">
        <v>24</v>
      </c>
      <c r="D702" t="s">
        <v>42</v>
      </c>
      <c r="E702" s="1">
        <v>44930</v>
      </c>
      <c r="F702" s="1">
        <v>44933</v>
      </c>
      <c r="G702">
        <v>14.5</v>
      </c>
      <c r="H702">
        <v>83.98</v>
      </c>
      <c r="I702" t="s">
        <v>15</v>
      </c>
      <c r="J702">
        <v>530</v>
      </c>
      <c r="K702">
        <v>3</v>
      </c>
      <c r="L702" t="str">
        <f>IF(logistics_data[[#This Row],[Delivery_Date]]="","In Transit",
 IF(logistics_data[[#This Row],[Status]]="Lost","Lost",
 IF(logistics_data[[#This Row],[Status]]="Returned","Returned",
 IF(logistics_data[[#This Row],[Status]]="Delayed","Delayed",
 "Delivered"))))</f>
        <v>Delivered</v>
      </c>
      <c r="M702" s="2">
        <f>logistics_data[[#This Row],[Cost]]/logistics_data[[#This Row],[Distance_miles]]</f>
        <v>0.15845283018867926</v>
      </c>
      <c r="N702" t="str">
        <f>IF(logistics_data[[#This Row],[Orginal staus of shipment]]&lt;&gt;"Delivered","not applicabel", IF(logistics_data[[#This Row],[Transit_Days]]&gt;=5,"slow","fast"))</f>
        <v>fast</v>
      </c>
    </row>
    <row r="703" spans="1:14" x14ac:dyDescent="0.3">
      <c r="A703" t="s">
        <v>749</v>
      </c>
      <c r="B703" t="s">
        <v>49</v>
      </c>
      <c r="C703" t="s">
        <v>24</v>
      </c>
      <c r="D703" t="s">
        <v>14</v>
      </c>
      <c r="E703" s="1">
        <v>45185</v>
      </c>
      <c r="F703" s="1">
        <v>45189</v>
      </c>
      <c r="G703">
        <v>17.7</v>
      </c>
      <c r="H703">
        <v>198.87</v>
      </c>
      <c r="I703" t="s">
        <v>15</v>
      </c>
      <c r="J703">
        <v>1498</v>
      </c>
      <c r="K703">
        <v>4</v>
      </c>
      <c r="L703" t="str">
        <f>IF(logistics_data[[#This Row],[Delivery_Date]]="","In Transit",
 IF(logistics_data[[#This Row],[Status]]="Lost","Lost",
 IF(logistics_data[[#This Row],[Status]]="Returned","Returned",
 IF(logistics_data[[#This Row],[Status]]="Delayed","Delayed",
 "Delivered"))))</f>
        <v>Delivered</v>
      </c>
      <c r="M703" s="2">
        <f>logistics_data[[#This Row],[Cost]]/logistics_data[[#This Row],[Distance_miles]]</f>
        <v>0.1327570093457944</v>
      </c>
      <c r="N703" t="str">
        <f>IF(logistics_data[[#This Row],[Orginal staus of shipment]]&lt;&gt;"Delivered","not applicabel", IF(logistics_data[[#This Row],[Transit_Days]]&gt;=5,"slow","fast"))</f>
        <v>fast</v>
      </c>
    </row>
    <row r="704" spans="1:14" x14ac:dyDescent="0.3">
      <c r="A704" t="s">
        <v>750</v>
      </c>
      <c r="B704" t="s">
        <v>35</v>
      </c>
      <c r="C704" t="s">
        <v>36</v>
      </c>
      <c r="D704" t="s">
        <v>25</v>
      </c>
      <c r="E704" s="1">
        <v>44962</v>
      </c>
      <c r="F704" s="1">
        <v>44963</v>
      </c>
      <c r="G704">
        <v>14.1</v>
      </c>
      <c r="H704">
        <v>33.49</v>
      </c>
      <c r="I704" t="s">
        <v>15</v>
      </c>
      <c r="J704">
        <v>154</v>
      </c>
      <c r="K704">
        <v>1</v>
      </c>
      <c r="L704" t="str">
        <f>IF(logistics_data[[#This Row],[Delivery_Date]]="","In Transit",
 IF(logistics_data[[#This Row],[Status]]="Lost","Lost",
 IF(logistics_data[[#This Row],[Status]]="Returned","Returned",
 IF(logistics_data[[#This Row],[Status]]="Delayed","Delayed",
 "Delivered"))))</f>
        <v>Delivered</v>
      </c>
      <c r="M704" s="2">
        <f>logistics_data[[#This Row],[Cost]]/logistics_data[[#This Row],[Distance_miles]]</f>
        <v>0.21746753246753248</v>
      </c>
      <c r="N704" t="str">
        <f>IF(logistics_data[[#This Row],[Orginal staus of shipment]]&lt;&gt;"Delivered","not applicabel", IF(logistics_data[[#This Row],[Transit_Days]]&gt;=5,"slow","fast"))</f>
        <v>fast</v>
      </c>
    </row>
    <row r="705" spans="1:14" x14ac:dyDescent="0.3">
      <c r="A705" t="s">
        <v>751</v>
      </c>
      <c r="B705" t="s">
        <v>30</v>
      </c>
      <c r="C705" t="s">
        <v>44</v>
      </c>
      <c r="D705" t="s">
        <v>59</v>
      </c>
      <c r="E705" s="1">
        <v>45165</v>
      </c>
      <c r="F705" s="1">
        <v>45166</v>
      </c>
      <c r="G705">
        <v>6.7</v>
      </c>
      <c r="H705">
        <v>52</v>
      </c>
      <c r="I705" t="s">
        <v>15</v>
      </c>
      <c r="J705">
        <v>357</v>
      </c>
      <c r="K705">
        <v>1</v>
      </c>
      <c r="L705" t="str">
        <f>IF(logistics_data[[#This Row],[Delivery_Date]]="","In Transit",
 IF(logistics_data[[#This Row],[Status]]="Lost","Lost",
 IF(logistics_data[[#This Row],[Status]]="Returned","Returned",
 IF(logistics_data[[#This Row],[Status]]="Delayed","Delayed",
 "Delivered"))))</f>
        <v>Delivered</v>
      </c>
      <c r="M705" s="2">
        <f>logistics_data[[#This Row],[Cost]]/logistics_data[[#This Row],[Distance_miles]]</f>
        <v>0.14565826330532214</v>
      </c>
      <c r="N705" t="str">
        <f>IF(logistics_data[[#This Row],[Orginal staus of shipment]]&lt;&gt;"Delivered","not applicabel", IF(logistics_data[[#This Row],[Transit_Days]]&gt;=5,"slow","fast"))</f>
        <v>fast</v>
      </c>
    </row>
    <row r="706" spans="1:14" x14ac:dyDescent="0.3">
      <c r="A706" t="s">
        <v>752</v>
      </c>
      <c r="B706" t="s">
        <v>23</v>
      </c>
      <c r="C706" t="s">
        <v>13</v>
      </c>
      <c r="D706" t="s">
        <v>32</v>
      </c>
      <c r="E706" s="1">
        <v>45063</v>
      </c>
      <c r="F706" s="1">
        <v>45068</v>
      </c>
      <c r="G706">
        <v>11.9</v>
      </c>
      <c r="H706">
        <v>34.31</v>
      </c>
      <c r="I706" t="s">
        <v>15</v>
      </c>
      <c r="J706">
        <v>2440</v>
      </c>
      <c r="K706">
        <v>5</v>
      </c>
      <c r="L706" t="str">
        <f>IF(logistics_data[[#This Row],[Delivery_Date]]="","In Transit",
 IF(logistics_data[[#This Row],[Status]]="Lost","Lost",
 IF(logistics_data[[#This Row],[Status]]="Returned","Returned",
 IF(logistics_data[[#This Row],[Status]]="Delayed","Delayed",
 "Delivered"))))</f>
        <v>Delivered</v>
      </c>
      <c r="M706" s="2">
        <f>logistics_data[[#This Row],[Cost]]/logistics_data[[#This Row],[Distance_miles]]</f>
        <v>1.4061475409836066E-2</v>
      </c>
      <c r="N706" t="str">
        <f>IF(logistics_data[[#This Row],[Orginal staus of shipment]]&lt;&gt;"Delivered","not applicabel", IF(logistics_data[[#This Row],[Transit_Days]]&gt;=5,"slow","fast"))</f>
        <v>slow</v>
      </c>
    </row>
    <row r="707" spans="1:14" x14ac:dyDescent="0.3">
      <c r="A707" t="s">
        <v>753</v>
      </c>
      <c r="B707" t="s">
        <v>51</v>
      </c>
      <c r="C707" t="s">
        <v>36</v>
      </c>
      <c r="D707" t="s">
        <v>14</v>
      </c>
      <c r="E707" s="1">
        <v>45245</v>
      </c>
      <c r="F707" s="1">
        <v>45250</v>
      </c>
      <c r="G707">
        <v>60.4</v>
      </c>
      <c r="H707">
        <v>370.75</v>
      </c>
      <c r="I707" t="s">
        <v>15</v>
      </c>
      <c r="J707">
        <v>1846</v>
      </c>
      <c r="K707">
        <v>5</v>
      </c>
      <c r="L707" t="str">
        <f>IF(logistics_data[[#This Row],[Delivery_Date]]="","In Transit",
 IF(logistics_data[[#This Row],[Status]]="Lost","Lost",
 IF(logistics_data[[#This Row],[Status]]="Returned","Returned",
 IF(logistics_data[[#This Row],[Status]]="Delayed","Delayed",
 "Delivered"))))</f>
        <v>Delivered</v>
      </c>
      <c r="M707" s="2">
        <f>logistics_data[[#This Row],[Cost]]/logistics_data[[#This Row],[Distance_miles]]</f>
        <v>0.20083965330444203</v>
      </c>
      <c r="N707" t="str">
        <f>IF(logistics_data[[#This Row],[Orginal staus of shipment]]&lt;&gt;"Delivered","not applicabel", IF(logistics_data[[#This Row],[Transit_Days]]&gt;=5,"slow","fast"))</f>
        <v>slow</v>
      </c>
    </row>
    <row r="708" spans="1:14" x14ac:dyDescent="0.3">
      <c r="A708" t="s">
        <v>754</v>
      </c>
      <c r="B708" t="s">
        <v>51</v>
      </c>
      <c r="C708" t="s">
        <v>40</v>
      </c>
      <c r="D708" t="s">
        <v>59</v>
      </c>
      <c r="E708" s="1">
        <v>45129</v>
      </c>
      <c r="F708" s="1">
        <v>45132</v>
      </c>
      <c r="G708">
        <v>12.6</v>
      </c>
      <c r="H708">
        <v>75.73</v>
      </c>
      <c r="I708" t="s">
        <v>15</v>
      </c>
      <c r="J708">
        <v>497</v>
      </c>
      <c r="K708">
        <v>3</v>
      </c>
      <c r="L708" t="str">
        <f>IF(logistics_data[[#This Row],[Delivery_Date]]="","In Transit",
 IF(logistics_data[[#This Row],[Status]]="Lost","Lost",
 IF(logistics_data[[#This Row],[Status]]="Returned","Returned",
 IF(logistics_data[[#This Row],[Status]]="Delayed","Delayed",
 "Delivered"))))</f>
        <v>Delivered</v>
      </c>
      <c r="M708" s="2">
        <f>logistics_data[[#This Row],[Cost]]/logistics_data[[#This Row],[Distance_miles]]</f>
        <v>0.15237424547283704</v>
      </c>
      <c r="N708" t="str">
        <f>IF(logistics_data[[#This Row],[Orginal staus of shipment]]&lt;&gt;"Delivered","not applicabel", IF(logistics_data[[#This Row],[Transit_Days]]&gt;=5,"slow","fast"))</f>
        <v>fast</v>
      </c>
    </row>
    <row r="709" spans="1:14" x14ac:dyDescent="0.3">
      <c r="A709" t="s">
        <v>755</v>
      </c>
      <c r="B709" t="s">
        <v>23</v>
      </c>
      <c r="C709" t="s">
        <v>21</v>
      </c>
      <c r="D709" t="s">
        <v>18</v>
      </c>
      <c r="E709" s="1">
        <v>45044</v>
      </c>
      <c r="F709" s="1">
        <v>45047</v>
      </c>
      <c r="G709">
        <v>43.8</v>
      </c>
      <c r="H709">
        <v>143.51</v>
      </c>
      <c r="I709" t="s">
        <v>15</v>
      </c>
      <c r="J709">
        <v>632</v>
      </c>
      <c r="K709">
        <v>3</v>
      </c>
      <c r="L709" t="str">
        <f>IF(logistics_data[[#This Row],[Delivery_Date]]="","In Transit",
 IF(logistics_data[[#This Row],[Status]]="Lost","Lost",
 IF(logistics_data[[#This Row],[Status]]="Returned","Returned",
 IF(logistics_data[[#This Row],[Status]]="Delayed","Delayed",
 "Delivered"))))</f>
        <v>Delivered</v>
      </c>
      <c r="M709" s="2">
        <f>logistics_data[[#This Row],[Cost]]/logistics_data[[#This Row],[Distance_miles]]</f>
        <v>0.22707278481012658</v>
      </c>
      <c r="N709" t="str">
        <f>IF(logistics_data[[#This Row],[Orginal staus of shipment]]&lt;&gt;"Delivered","not applicabel", IF(logistics_data[[#This Row],[Transit_Days]]&gt;=5,"slow","fast"))</f>
        <v>fast</v>
      </c>
    </row>
    <row r="710" spans="1:14" x14ac:dyDescent="0.3">
      <c r="A710" t="s">
        <v>756</v>
      </c>
      <c r="B710" t="s">
        <v>49</v>
      </c>
      <c r="C710" t="s">
        <v>81</v>
      </c>
      <c r="D710" t="s">
        <v>25</v>
      </c>
      <c r="E710" s="1">
        <v>45260</v>
      </c>
      <c r="G710">
        <v>17</v>
      </c>
      <c r="H710">
        <v>174.48</v>
      </c>
      <c r="I710" t="s">
        <v>15</v>
      </c>
      <c r="J710">
        <v>1143</v>
      </c>
      <c r="K710">
        <v>5</v>
      </c>
      <c r="L710" t="str">
        <f>IF(logistics_data[[#This Row],[Delivery_Date]]="","In Transit",
 IF(logistics_data[[#This Row],[Status]]="Lost","Lost",
 IF(logistics_data[[#This Row],[Status]]="Returned","Returned",
 IF(logistics_data[[#This Row],[Status]]="Delayed","Delayed",
 "Delivered"))))</f>
        <v>In Transit</v>
      </c>
      <c r="M710" s="2">
        <f>logistics_data[[#This Row],[Cost]]/logistics_data[[#This Row],[Distance_miles]]</f>
        <v>0.15265091863517061</v>
      </c>
      <c r="N710" t="str">
        <f>IF(logistics_data[[#This Row],[Orginal staus of shipment]]&lt;&gt;"Delivered","not applicabel", IF(logistics_data[[#This Row],[Transit_Days]]&gt;=5,"slow","fast"))</f>
        <v>not applicabel</v>
      </c>
    </row>
    <row r="711" spans="1:14" x14ac:dyDescent="0.3">
      <c r="A711" t="s">
        <v>757</v>
      </c>
      <c r="B711" t="s">
        <v>56</v>
      </c>
      <c r="C711" t="s">
        <v>46</v>
      </c>
      <c r="D711" t="s">
        <v>42</v>
      </c>
      <c r="E711" s="1">
        <v>45152</v>
      </c>
      <c r="F711" s="1">
        <v>45156</v>
      </c>
      <c r="G711">
        <v>27.5</v>
      </c>
      <c r="H711">
        <v>172.21</v>
      </c>
      <c r="I711" t="s">
        <v>15</v>
      </c>
      <c r="J711">
        <v>1086</v>
      </c>
      <c r="K711">
        <v>4</v>
      </c>
      <c r="L711" t="str">
        <f>IF(logistics_data[[#This Row],[Delivery_Date]]="","In Transit",
 IF(logistics_data[[#This Row],[Status]]="Lost","Lost",
 IF(logistics_data[[#This Row],[Status]]="Returned","Returned",
 IF(logistics_data[[#This Row],[Status]]="Delayed","Delayed",
 "Delivered"))))</f>
        <v>Delivered</v>
      </c>
      <c r="M711" s="2">
        <f>logistics_data[[#This Row],[Cost]]/logistics_data[[#This Row],[Distance_miles]]</f>
        <v>0.15857274401473298</v>
      </c>
      <c r="N711" t="str">
        <f>IF(logistics_data[[#This Row],[Orginal staus of shipment]]&lt;&gt;"Delivered","not applicabel", IF(logistics_data[[#This Row],[Transit_Days]]&gt;=5,"slow","fast"))</f>
        <v>fast</v>
      </c>
    </row>
    <row r="712" spans="1:14" x14ac:dyDescent="0.3">
      <c r="A712" t="s">
        <v>758</v>
      </c>
      <c r="B712" t="s">
        <v>30</v>
      </c>
      <c r="C712" t="s">
        <v>44</v>
      </c>
      <c r="D712" t="s">
        <v>14</v>
      </c>
      <c r="E712" s="1">
        <v>45260</v>
      </c>
      <c r="F712" s="1">
        <v>45262</v>
      </c>
      <c r="G712">
        <v>30.6</v>
      </c>
      <c r="H712">
        <v>89.12</v>
      </c>
      <c r="I712" t="s">
        <v>15</v>
      </c>
      <c r="J712">
        <v>284</v>
      </c>
      <c r="K712">
        <v>2</v>
      </c>
      <c r="L712" t="str">
        <f>IF(logistics_data[[#This Row],[Delivery_Date]]="","In Transit",
 IF(logistics_data[[#This Row],[Status]]="Lost","Lost",
 IF(logistics_data[[#This Row],[Status]]="Returned","Returned",
 IF(logistics_data[[#This Row],[Status]]="Delayed","Delayed",
 "Delivered"))))</f>
        <v>Delivered</v>
      </c>
      <c r="M712" s="2">
        <f>logistics_data[[#This Row],[Cost]]/logistics_data[[#This Row],[Distance_miles]]</f>
        <v>0.31380281690140849</v>
      </c>
      <c r="N712" t="str">
        <f>IF(logistics_data[[#This Row],[Orginal staus of shipment]]&lt;&gt;"Delivered","not applicabel", IF(logistics_data[[#This Row],[Transit_Days]]&gt;=5,"slow","fast"))</f>
        <v>fast</v>
      </c>
    </row>
    <row r="713" spans="1:14" x14ac:dyDescent="0.3">
      <c r="A713" t="s">
        <v>759</v>
      </c>
      <c r="B713" t="s">
        <v>51</v>
      </c>
      <c r="C713" t="s">
        <v>70</v>
      </c>
      <c r="D713" t="s">
        <v>42</v>
      </c>
      <c r="E713" s="1">
        <v>45229</v>
      </c>
      <c r="F713" s="1">
        <v>45233</v>
      </c>
      <c r="G713">
        <v>139.4</v>
      </c>
      <c r="H713">
        <v>415.94</v>
      </c>
      <c r="I713" t="s">
        <v>15</v>
      </c>
      <c r="J713">
        <v>1881</v>
      </c>
      <c r="K713">
        <v>4</v>
      </c>
      <c r="L713" t="str">
        <f>IF(logistics_data[[#This Row],[Delivery_Date]]="","In Transit",
 IF(logistics_data[[#This Row],[Status]]="Lost","Lost",
 IF(logistics_data[[#This Row],[Status]]="Returned","Returned",
 IF(logistics_data[[#This Row],[Status]]="Delayed","Delayed",
 "Delivered"))))</f>
        <v>Delivered</v>
      </c>
      <c r="M713" s="2">
        <f>logistics_data[[#This Row],[Cost]]/logistics_data[[#This Row],[Distance_miles]]</f>
        <v>0.22112706007442851</v>
      </c>
      <c r="N713" t="str">
        <f>IF(logistics_data[[#This Row],[Orginal staus of shipment]]&lt;&gt;"Delivered","not applicabel", IF(logistics_data[[#This Row],[Transit_Days]]&gt;=5,"slow","fast"))</f>
        <v>fast</v>
      </c>
    </row>
    <row r="714" spans="1:14" x14ac:dyDescent="0.3">
      <c r="A714" t="s">
        <v>760</v>
      </c>
      <c r="B714" t="s">
        <v>20</v>
      </c>
      <c r="C714" t="s">
        <v>40</v>
      </c>
      <c r="D714" t="s">
        <v>59</v>
      </c>
      <c r="E714" s="1">
        <v>45249</v>
      </c>
      <c r="F714" s="1">
        <v>45256</v>
      </c>
      <c r="G714">
        <v>3.8</v>
      </c>
      <c r="H714">
        <v>206.23</v>
      </c>
      <c r="I714" t="s">
        <v>15</v>
      </c>
      <c r="J714">
        <v>1465</v>
      </c>
      <c r="K714">
        <v>7</v>
      </c>
      <c r="L714" t="str">
        <f>IF(logistics_data[[#This Row],[Delivery_Date]]="","In Transit",
 IF(logistics_data[[#This Row],[Status]]="Lost","Lost",
 IF(logistics_data[[#This Row],[Status]]="Returned","Returned",
 IF(logistics_data[[#This Row],[Status]]="Delayed","Delayed",
 "Delivered"))))</f>
        <v>Delivered</v>
      </c>
      <c r="M714" s="2">
        <f>logistics_data[[#This Row],[Cost]]/logistics_data[[#This Row],[Distance_miles]]</f>
        <v>0.14077133105802048</v>
      </c>
      <c r="N714" t="str">
        <f>IF(logistics_data[[#This Row],[Orginal staus of shipment]]&lt;&gt;"Delivered","not applicabel", IF(logistics_data[[#This Row],[Transit_Days]]&gt;=5,"slow","fast"))</f>
        <v>slow</v>
      </c>
    </row>
    <row r="715" spans="1:14" x14ac:dyDescent="0.3">
      <c r="A715" t="s">
        <v>761</v>
      </c>
      <c r="B715" t="s">
        <v>49</v>
      </c>
      <c r="C715" t="s">
        <v>81</v>
      </c>
      <c r="D715" t="s">
        <v>14</v>
      </c>
      <c r="E715" s="1">
        <v>44980</v>
      </c>
      <c r="F715" s="1">
        <v>44984</v>
      </c>
      <c r="G715">
        <v>24.1</v>
      </c>
      <c r="H715">
        <v>148.09</v>
      </c>
      <c r="I715" t="s">
        <v>15</v>
      </c>
      <c r="J715">
        <v>1000</v>
      </c>
      <c r="K715">
        <v>4</v>
      </c>
      <c r="L715" t="str">
        <f>IF(logistics_data[[#This Row],[Delivery_Date]]="","In Transit",
 IF(logistics_data[[#This Row],[Status]]="Lost","Lost",
 IF(logistics_data[[#This Row],[Status]]="Returned","Returned",
 IF(logistics_data[[#This Row],[Status]]="Delayed","Delayed",
 "Delivered"))))</f>
        <v>Delivered</v>
      </c>
      <c r="M715" s="2">
        <f>logistics_data[[#This Row],[Cost]]/logistics_data[[#This Row],[Distance_miles]]</f>
        <v>0.14809</v>
      </c>
      <c r="N715" t="str">
        <f>IF(logistics_data[[#This Row],[Orginal staus of shipment]]&lt;&gt;"Delivered","not applicabel", IF(logistics_data[[#This Row],[Transit_Days]]&gt;=5,"slow","fast"))</f>
        <v>fast</v>
      </c>
    </row>
    <row r="716" spans="1:14" x14ac:dyDescent="0.3">
      <c r="A716" t="s">
        <v>762</v>
      </c>
      <c r="B716" t="s">
        <v>39</v>
      </c>
      <c r="C716" t="s">
        <v>31</v>
      </c>
      <c r="D716" t="s">
        <v>42</v>
      </c>
      <c r="E716" s="1">
        <v>44954</v>
      </c>
      <c r="F716" s="1">
        <v>44963</v>
      </c>
      <c r="G716">
        <v>66.5</v>
      </c>
      <c r="H716">
        <v>345.16</v>
      </c>
      <c r="I716" t="s">
        <v>47</v>
      </c>
      <c r="J716">
        <v>2301</v>
      </c>
      <c r="K716">
        <v>7</v>
      </c>
      <c r="L716" t="str">
        <f>IF(logistics_data[[#This Row],[Delivery_Date]]="","In Transit",
 IF(logistics_data[[#This Row],[Status]]="Lost","Lost",
 IF(logistics_data[[#This Row],[Status]]="Returned","Returned",
 IF(logistics_data[[#This Row],[Status]]="Delayed","Delayed",
 "Delivered"))))</f>
        <v>Delayed</v>
      </c>
      <c r="M716" s="2">
        <f>logistics_data[[#This Row],[Cost]]/logistics_data[[#This Row],[Distance_miles]]</f>
        <v>0.15000434593654935</v>
      </c>
      <c r="N716" t="str">
        <f>IF(logistics_data[[#This Row],[Orginal staus of shipment]]&lt;&gt;"Delivered","not applicabel", IF(logistics_data[[#This Row],[Transit_Days]]&gt;=5,"slow","fast"))</f>
        <v>not applicabel</v>
      </c>
    </row>
    <row r="717" spans="1:14" x14ac:dyDescent="0.3">
      <c r="A717" t="s">
        <v>763</v>
      </c>
      <c r="B717" t="s">
        <v>20</v>
      </c>
      <c r="C717" t="s">
        <v>57</v>
      </c>
      <c r="D717" t="s">
        <v>42</v>
      </c>
      <c r="E717" s="1">
        <v>44997</v>
      </c>
      <c r="F717" s="1">
        <v>45003</v>
      </c>
      <c r="G717">
        <v>21.4</v>
      </c>
      <c r="H717">
        <v>92.29</v>
      </c>
      <c r="I717" t="s">
        <v>15</v>
      </c>
      <c r="J717">
        <v>623</v>
      </c>
      <c r="K717">
        <v>6</v>
      </c>
      <c r="L717" t="str">
        <f>IF(logistics_data[[#This Row],[Delivery_Date]]="","In Transit",
 IF(logistics_data[[#This Row],[Status]]="Lost","Lost",
 IF(logistics_data[[#This Row],[Status]]="Returned","Returned",
 IF(logistics_data[[#This Row],[Status]]="Delayed","Delayed",
 "Delivered"))))</f>
        <v>Delivered</v>
      </c>
      <c r="M717" s="2">
        <f>logistics_data[[#This Row],[Cost]]/logistics_data[[#This Row],[Distance_miles]]</f>
        <v>0.14813804173354736</v>
      </c>
      <c r="N717" t="str">
        <f>IF(logistics_data[[#This Row],[Orginal staus of shipment]]&lt;&gt;"Delivered","not applicabel", IF(logistics_data[[#This Row],[Transit_Days]]&gt;=5,"slow","fast"))</f>
        <v>slow</v>
      </c>
    </row>
    <row r="718" spans="1:14" x14ac:dyDescent="0.3">
      <c r="A718" t="s">
        <v>764</v>
      </c>
      <c r="B718" t="s">
        <v>35</v>
      </c>
      <c r="C718" t="s">
        <v>21</v>
      </c>
      <c r="D718" t="s">
        <v>42</v>
      </c>
      <c r="E718" s="1">
        <v>45169</v>
      </c>
      <c r="F718" s="1">
        <v>45177</v>
      </c>
      <c r="G718">
        <v>12</v>
      </c>
      <c r="H718">
        <v>321.79000000000002</v>
      </c>
      <c r="I718" t="s">
        <v>15</v>
      </c>
      <c r="J718">
        <v>2422</v>
      </c>
      <c r="K718">
        <v>8</v>
      </c>
      <c r="L718" t="str">
        <f>IF(logistics_data[[#This Row],[Delivery_Date]]="","In Transit",
 IF(logistics_data[[#This Row],[Status]]="Lost","Lost",
 IF(logistics_data[[#This Row],[Status]]="Returned","Returned",
 IF(logistics_data[[#This Row],[Status]]="Delayed","Delayed",
 "Delivered"))))</f>
        <v>Delivered</v>
      </c>
      <c r="M718" s="2">
        <f>logistics_data[[#This Row],[Cost]]/logistics_data[[#This Row],[Distance_miles]]</f>
        <v>0.13286127167630057</v>
      </c>
      <c r="N718" t="str">
        <f>IF(logistics_data[[#This Row],[Orginal staus of shipment]]&lt;&gt;"Delivered","not applicabel", IF(logistics_data[[#This Row],[Transit_Days]]&gt;=5,"slow","fast"))</f>
        <v>slow</v>
      </c>
    </row>
    <row r="719" spans="1:14" x14ac:dyDescent="0.3">
      <c r="A719" t="s">
        <v>765</v>
      </c>
      <c r="B719" t="s">
        <v>30</v>
      </c>
      <c r="C719" t="s">
        <v>40</v>
      </c>
      <c r="D719" t="s">
        <v>32</v>
      </c>
      <c r="E719" s="1">
        <v>45100</v>
      </c>
      <c r="F719" s="1">
        <v>45105</v>
      </c>
      <c r="G719">
        <v>19.7</v>
      </c>
      <c r="H719">
        <v>201.01</v>
      </c>
      <c r="I719" t="s">
        <v>15</v>
      </c>
      <c r="J719">
        <v>1284</v>
      </c>
      <c r="K719">
        <v>5</v>
      </c>
      <c r="L719" t="str">
        <f>IF(logistics_data[[#This Row],[Delivery_Date]]="","In Transit",
 IF(logistics_data[[#This Row],[Status]]="Lost","Lost",
 IF(logistics_data[[#This Row],[Status]]="Returned","Returned",
 IF(logistics_data[[#This Row],[Status]]="Delayed","Delayed",
 "Delivered"))))</f>
        <v>Delivered</v>
      </c>
      <c r="M719" s="2">
        <f>logistics_data[[#This Row],[Cost]]/logistics_data[[#This Row],[Distance_miles]]</f>
        <v>0.15654984423676011</v>
      </c>
      <c r="N719" t="str">
        <f>IF(logistics_data[[#This Row],[Orginal staus of shipment]]&lt;&gt;"Delivered","not applicabel", IF(logistics_data[[#This Row],[Transit_Days]]&gt;=5,"slow","fast"))</f>
        <v>slow</v>
      </c>
    </row>
    <row r="720" spans="1:14" x14ac:dyDescent="0.3">
      <c r="A720" t="s">
        <v>766</v>
      </c>
      <c r="B720" t="s">
        <v>20</v>
      </c>
      <c r="C720" t="s">
        <v>24</v>
      </c>
      <c r="D720" t="s">
        <v>37</v>
      </c>
      <c r="E720" s="1">
        <v>45143</v>
      </c>
      <c r="F720" s="1">
        <v>45113</v>
      </c>
      <c r="G720">
        <v>35</v>
      </c>
      <c r="I720" t="s">
        <v>15</v>
      </c>
      <c r="J720">
        <v>1135</v>
      </c>
      <c r="K720">
        <v>3</v>
      </c>
      <c r="L720" t="str">
        <f>IF(logistics_data[[#This Row],[Delivery_Date]]="","In Transit",
 IF(logistics_data[[#This Row],[Status]]="Lost","Lost",
 IF(logistics_data[[#This Row],[Status]]="Returned","Returned",
 IF(logistics_data[[#This Row],[Status]]="Delayed","Delayed",
 "Delivered"))))</f>
        <v>Delivered</v>
      </c>
      <c r="M720" s="2">
        <f>logistics_data[[#This Row],[Cost]]/logistics_data[[#This Row],[Distance_miles]]</f>
        <v>0</v>
      </c>
      <c r="N720" t="str">
        <f>IF(logistics_data[[#This Row],[Orginal staus of shipment]]&lt;&gt;"Delivered","not applicabel", IF(logistics_data[[#This Row],[Transit_Days]]&gt;=5,"slow","fast"))</f>
        <v>fast</v>
      </c>
    </row>
    <row r="721" spans="1:14" x14ac:dyDescent="0.3">
      <c r="A721" t="s">
        <v>767</v>
      </c>
      <c r="B721" t="s">
        <v>56</v>
      </c>
      <c r="C721" t="s">
        <v>44</v>
      </c>
      <c r="D721" t="s">
        <v>18</v>
      </c>
      <c r="E721" s="1">
        <v>45186</v>
      </c>
      <c r="F721" s="1">
        <v>45192</v>
      </c>
      <c r="G721">
        <v>21.9</v>
      </c>
      <c r="I721" t="s">
        <v>15</v>
      </c>
      <c r="J721">
        <v>2344</v>
      </c>
      <c r="K721">
        <v>6</v>
      </c>
      <c r="L721" t="str">
        <f>IF(logistics_data[[#This Row],[Delivery_Date]]="","In Transit",
 IF(logistics_data[[#This Row],[Status]]="Lost","Lost",
 IF(logistics_data[[#This Row],[Status]]="Returned","Returned",
 IF(logistics_data[[#This Row],[Status]]="Delayed","Delayed",
 "Delivered"))))</f>
        <v>Delivered</v>
      </c>
      <c r="M721" s="2">
        <f>logistics_data[[#This Row],[Cost]]/logistics_data[[#This Row],[Distance_miles]]</f>
        <v>0</v>
      </c>
      <c r="N721" t="str">
        <f>IF(logistics_data[[#This Row],[Orginal staus of shipment]]&lt;&gt;"Delivered","not applicabel", IF(logistics_data[[#This Row],[Transit_Days]]&gt;=5,"slow","fast"))</f>
        <v>slow</v>
      </c>
    </row>
    <row r="722" spans="1:14" x14ac:dyDescent="0.3">
      <c r="A722" t="s">
        <v>768</v>
      </c>
      <c r="B722" t="s">
        <v>49</v>
      </c>
      <c r="C722" t="s">
        <v>44</v>
      </c>
      <c r="D722" t="s">
        <v>18</v>
      </c>
      <c r="E722" s="1">
        <v>44930</v>
      </c>
      <c r="F722" s="1">
        <v>44936</v>
      </c>
      <c r="G722">
        <v>19</v>
      </c>
      <c r="H722">
        <v>117.94</v>
      </c>
      <c r="I722" t="s">
        <v>47</v>
      </c>
      <c r="J722">
        <v>593</v>
      </c>
      <c r="K722">
        <v>5</v>
      </c>
      <c r="L722" t="str">
        <f>IF(logistics_data[[#This Row],[Delivery_Date]]="","In Transit",
 IF(logistics_data[[#This Row],[Status]]="Lost","Lost",
 IF(logistics_data[[#This Row],[Status]]="Returned","Returned",
 IF(logistics_data[[#This Row],[Status]]="Delayed","Delayed",
 "Delivered"))))</f>
        <v>Delayed</v>
      </c>
      <c r="M722" s="2">
        <f>logistics_data[[#This Row],[Cost]]/logistics_data[[#This Row],[Distance_miles]]</f>
        <v>0.19888701517706575</v>
      </c>
      <c r="N722" t="str">
        <f>IF(logistics_data[[#This Row],[Orginal staus of shipment]]&lt;&gt;"Delivered","not applicabel", IF(logistics_data[[#This Row],[Transit_Days]]&gt;=5,"slow","fast"))</f>
        <v>not applicabel</v>
      </c>
    </row>
    <row r="723" spans="1:14" x14ac:dyDescent="0.3">
      <c r="A723" t="s">
        <v>769</v>
      </c>
      <c r="B723" t="s">
        <v>51</v>
      </c>
      <c r="C723" t="s">
        <v>52</v>
      </c>
      <c r="D723" t="s">
        <v>18</v>
      </c>
      <c r="E723" s="1">
        <v>44979</v>
      </c>
      <c r="F723" s="1">
        <v>44984</v>
      </c>
      <c r="G723">
        <v>66.099999999999994</v>
      </c>
      <c r="H723">
        <v>181.39</v>
      </c>
      <c r="I723" t="s">
        <v>15</v>
      </c>
      <c r="J723">
        <v>796</v>
      </c>
      <c r="K723">
        <v>5</v>
      </c>
      <c r="L723" t="str">
        <f>IF(logistics_data[[#This Row],[Delivery_Date]]="","In Transit",
 IF(logistics_data[[#This Row],[Status]]="Lost","Lost",
 IF(logistics_data[[#This Row],[Status]]="Returned","Returned",
 IF(logistics_data[[#This Row],[Status]]="Delayed","Delayed",
 "Delivered"))))</f>
        <v>Delivered</v>
      </c>
      <c r="M723" s="2">
        <f>logistics_data[[#This Row],[Cost]]/logistics_data[[#This Row],[Distance_miles]]</f>
        <v>0.22787688442211054</v>
      </c>
      <c r="N723" t="str">
        <f>IF(logistics_data[[#This Row],[Orginal staus of shipment]]&lt;&gt;"Delivered","not applicabel", IF(logistics_data[[#This Row],[Transit_Days]]&gt;=5,"slow","fast"))</f>
        <v>slow</v>
      </c>
    </row>
    <row r="724" spans="1:14" x14ac:dyDescent="0.3">
      <c r="A724" t="s">
        <v>770</v>
      </c>
      <c r="B724" t="s">
        <v>27</v>
      </c>
      <c r="C724" t="s">
        <v>13</v>
      </c>
      <c r="D724" t="s">
        <v>59</v>
      </c>
      <c r="E724" s="1">
        <v>45291</v>
      </c>
      <c r="F724" s="1">
        <v>45296</v>
      </c>
      <c r="G724">
        <v>23.2</v>
      </c>
      <c r="H724">
        <v>295.97000000000003</v>
      </c>
      <c r="I724" t="s">
        <v>15</v>
      </c>
      <c r="J724">
        <v>2164</v>
      </c>
      <c r="K724">
        <v>5</v>
      </c>
      <c r="L724" t="str">
        <f>IF(logistics_data[[#This Row],[Delivery_Date]]="","In Transit",
 IF(logistics_data[[#This Row],[Status]]="Lost","Lost",
 IF(logistics_data[[#This Row],[Status]]="Returned","Returned",
 IF(logistics_data[[#This Row],[Status]]="Delayed","Delayed",
 "Delivered"))))</f>
        <v>Delivered</v>
      </c>
      <c r="M724" s="2">
        <f>logistics_data[[#This Row],[Cost]]/logistics_data[[#This Row],[Distance_miles]]</f>
        <v>0.13676987060998153</v>
      </c>
      <c r="N724" t="str">
        <f>IF(logistics_data[[#This Row],[Orginal staus of shipment]]&lt;&gt;"Delivered","not applicabel", IF(logistics_data[[#This Row],[Transit_Days]]&gt;=5,"slow","fast"))</f>
        <v>slow</v>
      </c>
    </row>
    <row r="725" spans="1:14" x14ac:dyDescent="0.3">
      <c r="A725" t="s">
        <v>771</v>
      </c>
      <c r="B725" t="s">
        <v>35</v>
      </c>
      <c r="C725" t="s">
        <v>46</v>
      </c>
      <c r="D725" t="s">
        <v>14</v>
      </c>
      <c r="E725" s="1">
        <v>45203</v>
      </c>
      <c r="F725" s="1">
        <v>45206</v>
      </c>
      <c r="G725">
        <v>16.2</v>
      </c>
      <c r="H725">
        <v>157.6</v>
      </c>
      <c r="I725" t="s">
        <v>15</v>
      </c>
      <c r="J725">
        <v>1217</v>
      </c>
      <c r="K725">
        <v>3</v>
      </c>
      <c r="L725" t="str">
        <f>IF(logistics_data[[#This Row],[Delivery_Date]]="","In Transit",
 IF(logistics_data[[#This Row],[Status]]="Lost","Lost",
 IF(logistics_data[[#This Row],[Status]]="Returned","Returned",
 IF(logistics_data[[#This Row],[Status]]="Delayed","Delayed",
 "Delivered"))))</f>
        <v>Delivered</v>
      </c>
      <c r="M725" s="2">
        <f>logistics_data[[#This Row],[Cost]]/logistics_data[[#This Row],[Distance_miles]]</f>
        <v>0.12949876746096958</v>
      </c>
      <c r="N725" t="str">
        <f>IF(logistics_data[[#This Row],[Orginal staus of shipment]]&lt;&gt;"Delivered","not applicabel", IF(logistics_data[[#This Row],[Transit_Days]]&gt;=5,"slow","fast"))</f>
        <v>fast</v>
      </c>
    </row>
    <row r="726" spans="1:14" x14ac:dyDescent="0.3">
      <c r="A726" t="s">
        <v>772</v>
      </c>
      <c r="B726" t="s">
        <v>35</v>
      </c>
      <c r="C726" t="s">
        <v>13</v>
      </c>
      <c r="D726" t="s">
        <v>59</v>
      </c>
      <c r="E726" s="1">
        <v>44934</v>
      </c>
      <c r="F726" s="1">
        <v>44936</v>
      </c>
      <c r="G726">
        <v>14.4</v>
      </c>
      <c r="H726">
        <v>34.450000000000003</v>
      </c>
      <c r="I726" t="s">
        <v>15</v>
      </c>
      <c r="J726">
        <v>140</v>
      </c>
      <c r="K726">
        <v>2</v>
      </c>
      <c r="L726" t="str">
        <f>IF(logistics_data[[#This Row],[Delivery_Date]]="","In Transit",
 IF(logistics_data[[#This Row],[Status]]="Lost","Lost",
 IF(logistics_data[[#This Row],[Status]]="Returned","Returned",
 IF(logistics_data[[#This Row],[Status]]="Delayed","Delayed",
 "Delivered"))))</f>
        <v>Delivered</v>
      </c>
      <c r="M726" s="2">
        <f>logistics_data[[#This Row],[Cost]]/logistics_data[[#This Row],[Distance_miles]]</f>
        <v>0.24607142857142858</v>
      </c>
      <c r="N726" t="str">
        <f>IF(logistics_data[[#This Row],[Orginal staus of shipment]]&lt;&gt;"Delivered","not applicabel", IF(logistics_data[[#This Row],[Transit_Days]]&gt;=5,"slow","fast"))</f>
        <v>fast</v>
      </c>
    </row>
    <row r="727" spans="1:14" x14ac:dyDescent="0.3">
      <c r="A727" t="s">
        <v>773</v>
      </c>
      <c r="B727" t="s">
        <v>51</v>
      </c>
      <c r="C727" t="s">
        <v>57</v>
      </c>
      <c r="D727" t="s">
        <v>59</v>
      </c>
      <c r="E727" s="1">
        <v>45121</v>
      </c>
      <c r="F727" s="1">
        <v>45126</v>
      </c>
      <c r="G727">
        <v>27.4</v>
      </c>
      <c r="H727">
        <v>178.29</v>
      </c>
      <c r="I727" t="s">
        <v>15</v>
      </c>
      <c r="J727">
        <v>1367</v>
      </c>
      <c r="K727">
        <v>5</v>
      </c>
      <c r="L727" t="str">
        <f>IF(logistics_data[[#This Row],[Delivery_Date]]="","In Transit",
 IF(logistics_data[[#This Row],[Status]]="Lost","Lost",
 IF(logistics_data[[#This Row],[Status]]="Returned","Returned",
 IF(logistics_data[[#This Row],[Status]]="Delayed","Delayed",
 "Delivered"))))</f>
        <v>Delivered</v>
      </c>
      <c r="M727" s="2">
        <f>logistics_data[[#This Row],[Cost]]/logistics_data[[#This Row],[Distance_miles]]</f>
        <v>0.13042428675932699</v>
      </c>
      <c r="N727" t="str">
        <f>IF(logistics_data[[#This Row],[Orginal staus of shipment]]&lt;&gt;"Delivered","not applicabel", IF(logistics_data[[#This Row],[Transit_Days]]&gt;=5,"slow","fast"))</f>
        <v>slow</v>
      </c>
    </row>
    <row r="728" spans="1:14" x14ac:dyDescent="0.3">
      <c r="A728" t="s">
        <v>774</v>
      </c>
      <c r="B728" t="s">
        <v>20</v>
      </c>
      <c r="C728" t="s">
        <v>44</v>
      </c>
      <c r="D728" t="s">
        <v>14</v>
      </c>
      <c r="E728" s="1">
        <v>45123</v>
      </c>
      <c r="F728" s="1">
        <v>45130</v>
      </c>
      <c r="G728">
        <v>27.4</v>
      </c>
      <c r="H728">
        <v>286.48</v>
      </c>
      <c r="I728" t="s">
        <v>15</v>
      </c>
      <c r="J728">
        <v>2072</v>
      </c>
      <c r="K728">
        <v>7</v>
      </c>
      <c r="L728" t="str">
        <f>IF(logistics_data[[#This Row],[Delivery_Date]]="","In Transit",
 IF(logistics_data[[#This Row],[Status]]="Lost","Lost",
 IF(logistics_data[[#This Row],[Status]]="Returned","Returned",
 IF(logistics_data[[#This Row],[Status]]="Delayed","Delayed",
 "Delivered"))))</f>
        <v>Delivered</v>
      </c>
      <c r="M728" s="2">
        <f>logistics_data[[#This Row],[Cost]]/logistics_data[[#This Row],[Distance_miles]]</f>
        <v>0.13826254826254827</v>
      </c>
      <c r="N728" t="str">
        <f>IF(logistics_data[[#This Row],[Orginal staus of shipment]]&lt;&gt;"Delivered","not applicabel", IF(logistics_data[[#This Row],[Transit_Days]]&gt;=5,"slow","fast"))</f>
        <v>slow</v>
      </c>
    </row>
    <row r="729" spans="1:14" x14ac:dyDescent="0.3">
      <c r="A729" t="s">
        <v>775</v>
      </c>
      <c r="B729" t="s">
        <v>56</v>
      </c>
      <c r="C729" t="s">
        <v>17</v>
      </c>
      <c r="D729" t="s">
        <v>59</v>
      </c>
      <c r="E729" s="1">
        <v>45053</v>
      </c>
      <c r="F729" s="1">
        <v>45058</v>
      </c>
      <c r="G729">
        <v>6.2</v>
      </c>
      <c r="H729">
        <v>25.02</v>
      </c>
      <c r="I729" t="s">
        <v>15</v>
      </c>
      <c r="J729">
        <v>150</v>
      </c>
      <c r="K729">
        <v>5</v>
      </c>
      <c r="L729" t="str">
        <f>IF(logistics_data[[#This Row],[Delivery_Date]]="","In Transit",
 IF(logistics_data[[#This Row],[Status]]="Lost","Lost",
 IF(logistics_data[[#This Row],[Status]]="Returned","Returned",
 IF(logistics_data[[#This Row],[Status]]="Delayed","Delayed",
 "Delivered"))))</f>
        <v>Delivered</v>
      </c>
      <c r="M729" s="2">
        <f>logistics_data[[#This Row],[Cost]]/logistics_data[[#This Row],[Distance_miles]]</f>
        <v>0.1668</v>
      </c>
      <c r="N729" t="str">
        <f>IF(logistics_data[[#This Row],[Orginal staus of shipment]]&lt;&gt;"Delivered","not applicabel", IF(logistics_data[[#This Row],[Transit_Days]]&gt;=5,"slow","fast"))</f>
        <v>slow</v>
      </c>
    </row>
    <row r="730" spans="1:14" x14ac:dyDescent="0.3">
      <c r="A730" t="s">
        <v>776</v>
      </c>
      <c r="B730" t="s">
        <v>23</v>
      </c>
      <c r="C730" t="s">
        <v>52</v>
      </c>
      <c r="D730" t="s">
        <v>18</v>
      </c>
      <c r="E730" s="1">
        <v>45211</v>
      </c>
      <c r="F730" s="1">
        <v>45214</v>
      </c>
      <c r="G730">
        <v>24.1</v>
      </c>
      <c r="H730">
        <v>204.04</v>
      </c>
      <c r="I730" t="s">
        <v>15</v>
      </c>
      <c r="J730">
        <v>1168</v>
      </c>
      <c r="K730">
        <v>3</v>
      </c>
      <c r="L730" t="str">
        <f>IF(logistics_data[[#This Row],[Delivery_Date]]="","In Transit",
 IF(logistics_data[[#This Row],[Status]]="Lost","Lost",
 IF(logistics_data[[#This Row],[Status]]="Returned","Returned",
 IF(logistics_data[[#This Row],[Status]]="Delayed","Delayed",
 "Delivered"))))</f>
        <v>Delivered</v>
      </c>
      <c r="M730" s="2">
        <f>logistics_data[[#This Row],[Cost]]/logistics_data[[#This Row],[Distance_miles]]</f>
        <v>0.1746917808219178</v>
      </c>
      <c r="N730" t="str">
        <f>IF(logistics_data[[#This Row],[Orginal staus of shipment]]&lt;&gt;"Delivered","not applicabel", IF(logistics_data[[#This Row],[Transit_Days]]&gt;=5,"slow","fast"))</f>
        <v>fast</v>
      </c>
    </row>
    <row r="731" spans="1:14" x14ac:dyDescent="0.3">
      <c r="A731" t="s">
        <v>777</v>
      </c>
      <c r="B731" t="s">
        <v>12</v>
      </c>
      <c r="C731" t="s">
        <v>81</v>
      </c>
      <c r="D731" t="s">
        <v>25</v>
      </c>
      <c r="E731" s="1">
        <v>45212</v>
      </c>
      <c r="F731" s="1">
        <v>45213</v>
      </c>
      <c r="G731">
        <v>28.8</v>
      </c>
      <c r="H731">
        <v>54.72</v>
      </c>
      <c r="I731" t="s">
        <v>15</v>
      </c>
      <c r="J731">
        <v>147</v>
      </c>
      <c r="K731">
        <v>1</v>
      </c>
      <c r="L731" t="str">
        <f>IF(logistics_data[[#This Row],[Delivery_Date]]="","In Transit",
 IF(logistics_data[[#This Row],[Status]]="Lost","Lost",
 IF(logistics_data[[#This Row],[Status]]="Returned","Returned",
 IF(logistics_data[[#This Row],[Status]]="Delayed","Delayed",
 "Delivered"))))</f>
        <v>Delivered</v>
      </c>
      <c r="M731" s="2">
        <f>logistics_data[[#This Row],[Cost]]/logistics_data[[#This Row],[Distance_miles]]</f>
        <v>0.37224489795918364</v>
      </c>
      <c r="N731" t="str">
        <f>IF(logistics_data[[#This Row],[Orginal staus of shipment]]&lt;&gt;"Delivered","not applicabel", IF(logistics_data[[#This Row],[Transit_Days]]&gt;=5,"slow","fast"))</f>
        <v>fast</v>
      </c>
    </row>
    <row r="732" spans="1:14" x14ac:dyDescent="0.3">
      <c r="A732" t="s">
        <v>778</v>
      </c>
      <c r="B732" t="s">
        <v>51</v>
      </c>
      <c r="C732" t="s">
        <v>44</v>
      </c>
      <c r="D732" t="s">
        <v>42</v>
      </c>
      <c r="E732" s="1">
        <v>45175</v>
      </c>
      <c r="F732" s="1">
        <v>45178</v>
      </c>
      <c r="G732">
        <v>12.5</v>
      </c>
      <c r="H732">
        <v>106.43</v>
      </c>
      <c r="I732" t="s">
        <v>15</v>
      </c>
      <c r="J732">
        <v>790</v>
      </c>
      <c r="K732">
        <v>3</v>
      </c>
      <c r="L732" t="str">
        <f>IF(logistics_data[[#This Row],[Delivery_Date]]="","In Transit",
 IF(logistics_data[[#This Row],[Status]]="Lost","Lost",
 IF(logistics_data[[#This Row],[Status]]="Returned","Returned",
 IF(logistics_data[[#This Row],[Status]]="Delayed","Delayed",
 "Delivered"))))</f>
        <v>Delivered</v>
      </c>
      <c r="M732" s="2">
        <f>logistics_data[[#This Row],[Cost]]/logistics_data[[#This Row],[Distance_miles]]</f>
        <v>0.13472151898734178</v>
      </c>
      <c r="N732" t="str">
        <f>IF(logistics_data[[#This Row],[Orginal staus of shipment]]&lt;&gt;"Delivered","not applicabel", IF(logistics_data[[#This Row],[Transit_Days]]&gt;=5,"slow","fast"))</f>
        <v>fast</v>
      </c>
    </row>
    <row r="733" spans="1:14" x14ac:dyDescent="0.3">
      <c r="A733" t="s">
        <v>779</v>
      </c>
      <c r="B733" t="s">
        <v>20</v>
      </c>
      <c r="C733" t="s">
        <v>70</v>
      </c>
      <c r="D733" t="s">
        <v>18</v>
      </c>
      <c r="E733" s="1">
        <v>44985</v>
      </c>
      <c r="F733" s="1">
        <v>44987</v>
      </c>
      <c r="G733">
        <v>48.5</v>
      </c>
      <c r="H733">
        <v>84.38</v>
      </c>
      <c r="I733" t="s">
        <v>15</v>
      </c>
      <c r="J733">
        <v>159</v>
      </c>
      <c r="K733">
        <v>2</v>
      </c>
      <c r="L733" t="str">
        <f>IF(logistics_data[[#This Row],[Delivery_Date]]="","In Transit",
 IF(logistics_data[[#This Row],[Status]]="Lost","Lost",
 IF(logistics_data[[#This Row],[Status]]="Returned","Returned",
 IF(logistics_data[[#This Row],[Status]]="Delayed","Delayed",
 "Delivered"))))</f>
        <v>Delivered</v>
      </c>
      <c r="M733" s="2">
        <f>logistics_data[[#This Row],[Cost]]/logistics_data[[#This Row],[Distance_miles]]</f>
        <v>0.53069182389937108</v>
      </c>
      <c r="N733" t="str">
        <f>IF(logistics_data[[#This Row],[Orginal staus of shipment]]&lt;&gt;"Delivered","not applicabel", IF(logistics_data[[#This Row],[Transit_Days]]&gt;=5,"slow","fast"))</f>
        <v>fast</v>
      </c>
    </row>
    <row r="734" spans="1:14" x14ac:dyDescent="0.3">
      <c r="A734" t="s">
        <v>780</v>
      </c>
      <c r="B734" t="s">
        <v>27</v>
      </c>
      <c r="C734" t="s">
        <v>28</v>
      </c>
      <c r="D734" t="s">
        <v>42</v>
      </c>
      <c r="E734" s="1">
        <v>45254</v>
      </c>
      <c r="F734" s="1">
        <v>45263</v>
      </c>
      <c r="G734">
        <v>15</v>
      </c>
      <c r="H734">
        <v>266.52999999999997</v>
      </c>
      <c r="I734" t="s">
        <v>47</v>
      </c>
      <c r="J734">
        <v>1632</v>
      </c>
      <c r="K734">
        <v>5</v>
      </c>
      <c r="L734" t="str">
        <f>IF(logistics_data[[#This Row],[Delivery_Date]]="","In Transit",
 IF(logistics_data[[#This Row],[Status]]="Lost","Lost",
 IF(logistics_data[[#This Row],[Status]]="Returned","Returned",
 IF(logistics_data[[#This Row],[Status]]="Delayed","Delayed",
 "Delivered"))))</f>
        <v>Delayed</v>
      </c>
      <c r="M734" s="2">
        <f>logistics_data[[#This Row],[Cost]]/logistics_data[[#This Row],[Distance_miles]]</f>
        <v>0.16331495098039214</v>
      </c>
      <c r="N734" t="str">
        <f>IF(logistics_data[[#This Row],[Orginal staus of shipment]]&lt;&gt;"Delivered","not applicabel", IF(logistics_data[[#This Row],[Transit_Days]]&gt;=5,"slow","fast"))</f>
        <v>not applicabel</v>
      </c>
    </row>
    <row r="735" spans="1:14" x14ac:dyDescent="0.3">
      <c r="A735" t="s">
        <v>781</v>
      </c>
      <c r="B735" t="s">
        <v>56</v>
      </c>
      <c r="C735" t="s">
        <v>70</v>
      </c>
      <c r="D735" t="s">
        <v>25</v>
      </c>
      <c r="E735" s="1">
        <v>44939</v>
      </c>
      <c r="F735" s="1">
        <v>44941</v>
      </c>
      <c r="G735">
        <v>12</v>
      </c>
      <c r="H735">
        <v>95.74</v>
      </c>
      <c r="I735" t="s">
        <v>15</v>
      </c>
      <c r="J735">
        <v>607</v>
      </c>
      <c r="K735">
        <v>2</v>
      </c>
      <c r="L735" t="str">
        <f>IF(logistics_data[[#This Row],[Delivery_Date]]="","In Transit",
 IF(logistics_data[[#This Row],[Status]]="Lost","Lost",
 IF(logistics_data[[#This Row],[Status]]="Returned","Returned",
 IF(logistics_data[[#This Row],[Status]]="Delayed","Delayed",
 "Delivered"))))</f>
        <v>Delivered</v>
      </c>
      <c r="M735" s="2">
        <f>logistics_data[[#This Row],[Cost]]/logistics_data[[#This Row],[Distance_miles]]</f>
        <v>0.15772652388797362</v>
      </c>
      <c r="N735" t="str">
        <f>IF(logistics_data[[#This Row],[Orginal staus of shipment]]&lt;&gt;"Delivered","not applicabel", IF(logistics_data[[#This Row],[Transit_Days]]&gt;=5,"slow","fast"))</f>
        <v>fast</v>
      </c>
    </row>
    <row r="736" spans="1:14" x14ac:dyDescent="0.3">
      <c r="A736" t="s">
        <v>782</v>
      </c>
      <c r="B736" t="s">
        <v>27</v>
      </c>
      <c r="C736" t="s">
        <v>40</v>
      </c>
      <c r="D736" t="s">
        <v>32</v>
      </c>
      <c r="E736" s="1">
        <v>45237</v>
      </c>
      <c r="F736" s="1">
        <v>45242</v>
      </c>
      <c r="G736">
        <v>39.9</v>
      </c>
      <c r="H736">
        <v>138.47</v>
      </c>
      <c r="I736" t="s">
        <v>15</v>
      </c>
      <c r="J736">
        <v>475</v>
      </c>
      <c r="K736">
        <v>5</v>
      </c>
      <c r="L736" t="str">
        <f>IF(logistics_data[[#This Row],[Delivery_Date]]="","In Transit",
 IF(logistics_data[[#This Row],[Status]]="Lost","Lost",
 IF(logistics_data[[#This Row],[Status]]="Returned","Returned",
 IF(logistics_data[[#This Row],[Status]]="Delayed","Delayed",
 "Delivered"))))</f>
        <v>Delivered</v>
      </c>
      <c r="M736" s="2">
        <f>logistics_data[[#This Row],[Cost]]/logistics_data[[#This Row],[Distance_miles]]</f>
        <v>0.29151578947368423</v>
      </c>
      <c r="N736" t="str">
        <f>IF(logistics_data[[#This Row],[Orginal staus of shipment]]&lt;&gt;"Delivered","not applicabel", IF(logistics_data[[#This Row],[Transit_Days]]&gt;=5,"slow","fast"))</f>
        <v>slow</v>
      </c>
    </row>
    <row r="737" spans="1:14" x14ac:dyDescent="0.3">
      <c r="A737" t="s">
        <v>783</v>
      </c>
      <c r="B737" t="s">
        <v>23</v>
      </c>
      <c r="C737" t="s">
        <v>21</v>
      </c>
      <c r="D737" t="s">
        <v>32</v>
      </c>
      <c r="E737" s="1">
        <v>45071</v>
      </c>
      <c r="F737" s="1">
        <v>45075</v>
      </c>
      <c r="G737">
        <v>6.6</v>
      </c>
      <c r="H737">
        <v>199.12</v>
      </c>
      <c r="I737" t="s">
        <v>15</v>
      </c>
      <c r="J737">
        <v>1370</v>
      </c>
      <c r="K737">
        <v>4</v>
      </c>
      <c r="L737" t="str">
        <f>IF(logistics_data[[#This Row],[Delivery_Date]]="","In Transit",
 IF(logistics_data[[#This Row],[Status]]="Lost","Lost",
 IF(logistics_data[[#This Row],[Status]]="Returned","Returned",
 IF(logistics_data[[#This Row],[Status]]="Delayed","Delayed",
 "Delivered"))))</f>
        <v>Delivered</v>
      </c>
      <c r="M737" s="2">
        <f>logistics_data[[#This Row],[Cost]]/logistics_data[[#This Row],[Distance_miles]]</f>
        <v>0.14534306569343067</v>
      </c>
      <c r="N737" t="str">
        <f>IF(logistics_data[[#This Row],[Orginal staus of shipment]]&lt;&gt;"Delivered","not applicabel", IF(logistics_data[[#This Row],[Transit_Days]]&gt;=5,"slow","fast"))</f>
        <v>fast</v>
      </c>
    </row>
    <row r="738" spans="1:14" x14ac:dyDescent="0.3">
      <c r="A738" t="s">
        <v>784</v>
      </c>
      <c r="B738" t="s">
        <v>56</v>
      </c>
      <c r="C738" t="s">
        <v>70</v>
      </c>
      <c r="D738" t="s">
        <v>42</v>
      </c>
      <c r="E738" s="1">
        <v>45226</v>
      </c>
      <c r="F738" s="1">
        <v>45232</v>
      </c>
      <c r="G738">
        <v>474.2</v>
      </c>
      <c r="H738">
        <v>341.15</v>
      </c>
      <c r="I738" t="s">
        <v>15</v>
      </c>
      <c r="J738">
        <v>2200</v>
      </c>
      <c r="K738">
        <v>6</v>
      </c>
      <c r="L738" t="str">
        <f>IF(logistics_data[[#This Row],[Delivery_Date]]="","In Transit",
 IF(logistics_data[[#This Row],[Status]]="Lost","Lost",
 IF(logistics_data[[#This Row],[Status]]="Returned","Returned",
 IF(logistics_data[[#This Row],[Status]]="Delayed","Delayed",
 "Delivered"))))</f>
        <v>Delivered</v>
      </c>
      <c r="M738" s="2">
        <f>logistics_data[[#This Row],[Cost]]/logistics_data[[#This Row],[Distance_miles]]</f>
        <v>0.1550681818181818</v>
      </c>
      <c r="N738" t="str">
        <f>IF(logistics_data[[#This Row],[Orginal staus of shipment]]&lt;&gt;"Delivered","not applicabel", IF(logistics_data[[#This Row],[Transit_Days]]&gt;=5,"slow","fast"))</f>
        <v>slow</v>
      </c>
    </row>
    <row r="739" spans="1:14" x14ac:dyDescent="0.3">
      <c r="A739" t="s">
        <v>785</v>
      </c>
      <c r="B739" t="s">
        <v>30</v>
      </c>
      <c r="C739" t="s">
        <v>54</v>
      </c>
      <c r="D739" t="s">
        <v>59</v>
      </c>
      <c r="E739" s="1">
        <v>45119</v>
      </c>
      <c r="F739" s="1">
        <v>45125</v>
      </c>
      <c r="G739">
        <v>15.1</v>
      </c>
      <c r="H739">
        <v>236.63</v>
      </c>
      <c r="I739" t="s">
        <v>62</v>
      </c>
      <c r="J739">
        <v>1795</v>
      </c>
      <c r="K739">
        <v>6</v>
      </c>
      <c r="L739" t="str">
        <f>IF(logistics_data[[#This Row],[Delivery_Date]]="","In Transit",
 IF(logistics_data[[#This Row],[Status]]="Lost","Lost",
 IF(logistics_data[[#This Row],[Status]]="Returned","Returned",
 IF(logistics_data[[#This Row],[Status]]="Delayed","Delayed",
 "Delivered"))))</f>
        <v>Delivered</v>
      </c>
      <c r="M739" s="2">
        <f>logistics_data[[#This Row],[Cost]]/logistics_data[[#This Row],[Distance_miles]]</f>
        <v>0.13182729805013926</v>
      </c>
      <c r="N739" t="str">
        <f>IF(logistics_data[[#This Row],[Orginal staus of shipment]]&lt;&gt;"Delivered","not applicabel", IF(logistics_data[[#This Row],[Transit_Days]]&gt;=5,"slow","fast"))</f>
        <v>slow</v>
      </c>
    </row>
    <row r="740" spans="1:14" x14ac:dyDescent="0.3">
      <c r="A740" t="s">
        <v>786</v>
      </c>
      <c r="B740" t="s">
        <v>56</v>
      </c>
      <c r="C740" t="s">
        <v>52</v>
      </c>
      <c r="D740" t="s">
        <v>32</v>
      </c>
      <c r="E740" s="1">
        <v>44981</v>
      </c>
      <c r="F740" s="1">
        <v>44986</v>
      </c>
      <c r="G740">
        <v>32</v>
      </c>
      <c r="H740">
        <v>340.57</v>
      </c>
      <c r="I740" t="s">
        <v>15</v>
      </c>
      <c r="J740">
        <v>2208</v>
      </c>
      <c r="K740">
        <v>5</v>
      </c>
      <c r="L740" t="str">
        <f>IF(logistics_data[[#This Row],[Delivery_Date]]="","In Transit",
 IF(logistics_data[[#This Row],[Status]]="Lost","Lost",
 IF(logistics_data[[#This Row],[Status]]="Returned","Returned",
 IF(logistics_data[[#This Row],[Status]]="Delayed","Delayed",
 "Delivered"))))</f>
        <v>Delivered</v>
      </c>
      <c r="M740" s="2">
        <f>logistics_data[[#This Row],[Cost]]/logistics_data[[#This Row],[Distance_miles]]</f>
        <v>0.15424365942028986</v>
      </c>
      <c r="N740" t="str">
        <f>IF(logistics_data[[#This Row],[Orginal staus of shipment]]&lt;&gt;"Delivered","not applicabel", IF(logistics_data[[#This Row],[Transit_Days]]&gt;=5,"slow","fast"))</f>
        <v>slow</v>
      </c>
    </row>
    <row r="741" spans="1:14" x14ac:dyDescent="0.3">
      <c r="A741" t="s">
        <v>787</v>
      </c>
      <c r="B741" t="s">
        <v>39</v>
      </c>
      <c r="C741" t="s">
        <v>46</v>
      </c>
      <c r="D741" t="s">
        <v>59</v>
      </c>
      <c r="E741" s="1">
        <v>45230</v>
      </c>
      <c r="F741" s="1">
        <v>45232</v>
      </c>
      <c r="G741">
        <v>14.5</v>
      </c>
      <c r="H741">
        <v>86.35</v>
      </c>
      <c r="I741" t="s">
        <v>15</v>
      </c>
      <c r="J741">
        <v>585</v>
      </c>
      <c r="K741">
        <v>2</v>
      </c>
      <c r="L741" t="str">
        <f>IF(logistics_data[[#This Row],[Delivery_Date]]="","In Transit",
 IF(logistics_data[[#This Row],[Status]]="Lost","Lost",
 IF(logistics_data[[#This Row],[Status]]="Returned","Returned",
 IF(logistics_data[[#This Row],[Status]]="Delayed","Delayed",
 "Delivered"))))</f>
        <v>Delivered</v>
      </c>
      <c r="M741" s="2">
        <f>logistics_data[[#This Row],[Cost]]/logistics_data[[#This Row],[Distance_miles]]</f>
        <v>0.1476068376068376</v>
      </c>
      <c r="N741" t="str">
        <f>IF(logistics_data[[#This Row],[Orginal staus of shipment]]&lt;&gt;"Delivered","not applicabel", IF(logistics_data[[#This Row],[Transit_Days]]&gt;=5,"slow","fast"))</f>
        <v>fast</v>
      </c>
    </row>
    <row r="742" spans="1:14" x14ac:dyDescent="0.3">
      <c r="A742" t="s">
        <v>788</v>
      </c>
      <c r="B742" t="s">
        <v>56</v>
      </c>
      <c r="C742" t="s">
        <v>52</v>
      </c>
      <c r="D742" t="s">
        <v>37</v>
      </c>
      <c r="E742" s="1">
        <v>45278</v>
      </c>
      <c r="F742" s="1">
        <v>45287</v>
      </c>
      <c r="G742">
        <v>9.1999999999999993</v>
      </c>
      <c r="H742">
        <v>141.68</v>
      </c>
      <c r="I742" t="s">
        <v>47</v>
      </c>
      <c r="J742">
        <v>974</v>
      </c>
      <c r="K742">
        <v>3</v>
      </c>
      <c r="L742" t="str">
        <f>IF(logistics_data[[#This Row],[Delivery_Date]]="","In Transit",
 IF(logistics_data[[#This Row],[Status]]="Lost","Lost",
 IF(logistics_data[[#This Row],[Status]]="Returned","Returned",
 IF(logistics_data[[#This Row],[Status]]="Delayed","Delayed",
 "Delivered"))))</f>
        <v>Delayed</v>
      </c>
      <c r="M742" s="2">
        <f>logistics_data[[#This Row],[Cost]]/logistics_data[[#This Row],[Distance_miles]]</f>
        <v>0.14546201232032854</v>
      </c>
      <c r="N742" t="str">
        <f>IF(logistics_data[[#This Row],[Orginal staus of shipment]]&lt;&gt;"Delivered","not applicabel", IF(logistics_data[[#This Row],[Transit_Days]]&gt;=5,"slow","fast"))</f>
        <v>not applicabel</v>
      </c>
    </row>
    <row r="743" spans="1:14" x14ac:dyDescent="0.3">
      <c r="A743" t="s">
        <v>789</v>
      </c>
      <c r="B743" t="s">
        <v>20</v>
      </c>
      <c r="C743" t="s">
        <v>17</v>
      </c>
      <c r="D743" t="s">
        <v>32</v>
      </c>
      <c r="E743" s="1">
        <v>45106</v>
      </c>
      <c r="F743" s="1">
        <v>45111</v>
      </c>
      <c r="G743">
        <v>32.200000000000003</v>
      </c>
      <c r="H743">
        <v>247.76</v>
      </c>
      <c r="I743" t="s">
        <v>15</v>
      </c>
      <c r="J743">
        <v>1610</v>
      </c>
      <c r="K743">
        <v>5</v>
      </c>
      <c r="L743" t="str">
        <f>IF(logistics_data[[#This Row],[Delivery_Date]]="","In Transit",
 IF(logistics_data[[#This Row],[Status]]="Lost","Lost",
 IF(logistics_data[[#This Row],[Status]]="Returned","Returned",
 IF(logistics_data[[#This Row],[Status]]="Delayed","Delayed",
 "Delivered"))))</f>
        <v>Delivered</v>
      </c>
      <c r="M743" s="2">
        <f>logistics_data[[#This Row],[Cost]]/logistics_data[[#This Row],[Distance_miles]]</f>
        <v>0.15388819875776397</v>
      </c>
      <c r="N743" t="str">
        <f>IF(logistics_data[[#This Row],[Orginal staus of shipment]]&lt;&gt;"Delivered","not applicabel", IF(logistics_data[[#This Row],[Transit_Days]]&gt;=5,"slow","fast"))</f>
        <v>slow</v>
      </c>
    </row>
    <row r="744" spans="1:14" x14ac:dyDescent="0.3">
      <c r="A744" t="s">
        <v>790</v>
      </c>
      <c r="B744" t="s">
        <v>39</v>
      </c>
      <c r="C744" t="s">
        <v>81</v>
      </c>
      <c r="D744" t="s">
        <v>32</v>
      </c>
      <c r="E744" s="1">
        <v>45226</v>
      </c>
      <c r="F744" s="1">
        <v>45230</v>
      </c>
      <c r="G744">
        <v>27.1</v>
      </c>
      <c r="H744">
        <v>165.65</v>
      </c>
      <c r="I744" t="s">
        <v>15</v>
      </c>
      <c r="J744">
        <v>1030</v>
      </c>
      <c r="K744">
        <v>4</v>
      </c>
      <c r="L744" t="str">
        <f>IF(logistics_data[[#This Row],[Delivery_Date]]="","In Transit",
 IF(logistics_data[[#This Row],[Status]]="Lost","Lost",
 IF(logistics_data[[#This Row],[Status]]="Returned","Returned",
 IF(logistics_data[[#This Row],[Status]]="Delayed","Delayed",
 "Delivered"))))</f>
        <v>Delivered</v>
      </c>
      <c r="M744" s="2">
        <f>logistics_data[[#This Row],[Cost]]/logistics_data[[#This Row],[Distance_miles]]</f>
        <v>0.16082524271844661</v>
      </c>
      <c r="N744" t="str">
        <f>IF(logistics_data[[#This Row],[Orginal staus of shipment]]&lt;&gt;"Delivered","not applicabel", IF(logistics_data[[#This Row],[Transit_Days]]&gt;=5,"slow","fast"))</f>
        <v>fast</v>
      </c>
    </row>
    <row r="745" spans="1:14" x14ac:dyDescent="0.3">
      <c r="A745" t="s">
        <v>791</v>
      </c>
      <c r="B745" t="s">
        <v>39</v>
      </c>
      <c r="C745" t="s">
        <v>46</v>
      </c>
      <c r="D745" t="s">
        <v>42</v>
      </c>
      <c r="E745" s="1">
        <v>45048</v>
      </c>
      <c r="F745" s="1">
        <v>45057</v>
      </c>
      <c r="G745">
        <v>22.8</v>
      </c>
      <c r="H745">
        <v>342.44</v>
      </c>
      <c r="I745" t="s">
        <v>15</v>
      </c>
      <c r="J745">
        <v>2380</v>
      </c>
      <c r="K745">
        <v>9</v>
      </c>
      <c r="L745" t="str">
        <f>IF(logistics_data[[#This Row],[Delivery_Date]]="","In Transit",
 IF(logistics_data[[#This Row],[Status]]="Lost","Lost",
 IF(logistics_data[[#This Row],[Status]]="Returned","Returned",
 IF(logistics_data[[#This Row],[Status]]="Delayed","Delayed",
 "Delivered"))))</f>
        <v>Delivered</v>
      </c>
      <c r="M745" s="2">
        <f>logistics_data[[#This Row],[Cost]]/logistics_data[[#This Row],[Distance_miles]]</f>
        <v>0.14388235294117646</v>
      </c>
      <c r="N745" t="str">
        <f>IF(logistics_data[[#This Row],[Orginal staus of shipment]]&lt;&gt;"Delivered","not applicabel", IF(logistics_data[[#This Row],[Transit_Days]]&gt;=5,"slow","fast"))</f>
        <v>slow</v>
      </c>
    </row>
    <row r="746" spans="1:14" x14ac:dyDescent="0.3">
      <c r="A746" t="s">
        <v>792</v>
      </c>
      <c r="B746" t="s">
        <v>39</v>
      </c>
      <c r="C746" t="s">
        <v>17</v>
      </c>
      <c r="D746" t="s">
        <v>32</v>
      </c>
      <c r="E746" s="1">
        <v>44995</v>
      </c>
      <c r="F746" s="1">
        <v>44997</v>
      </c>
      <c r="G746">
        <v>10.199999999999999</v>
      </c>
      <c r="H746">
        <v>111.08</v>
      </c>
      <c r="I746" t="s">
        <v>15</v>
      </c>
      <c r="J746">
        <v>800</v>
      </c>
      <c r="K746">
        <v>2</v>
      </c>
      <c r="L746" t="str">
        <f>IF(logistics_data[[#This Row],[Delivery_Date]]="","In Transit",
 IF(logistics_data[[#This Row],[Status]]="Lost","Lost",
 IF(logistics_data[[#This Row],[Status]]="Returned","Returned",
 IF(logistics_data[[#This Row],[Status]]="Delayed","Delayed",
 "Delivered"))))</f>
        <v>Delivered</v>
      </c>
      <c r="M746" s="2">
        <f>logistics_data[[#This Row],[Cost]]/logistics_data[[#This Row],[Distance_miles]]</f>
        <v>0.13885</v>
      </c>
      <c r="N746" t="str">
        <f>IF(logistics_data[[#This Row],[Orginal staus of shipment]]&lt;&gt;"Delivered","not applicabel", IF(logistics_data[[#This Row],[Transit_Days]]&gt;=5,"slow","fast"))</f>
        <v>fast</v>
      </c>
    </row>
    <row r="747" spans="1:14" x14ac:dyDescent="0.3">
      <c r="A747" t="s">
        <v>793</v>
      </c>
      <c r="B747" t="s">
        <v>51</v>
      </c>
      <c r="C747" t="s">
        <v>54</v>
      </c>
      <c r="D747" t="s">
        <v>37</v>
      </c>
      <c r="E747" s="1">
        <v>45148</v>
      </c>
      <c r="F747" s="1">
        <v>45152</v>
      </c>
      <c r="G747">
        <v>30.8</v>
      </c>
      <c r="H747">
        <v>255.81</v>
      </c>
      <c r="I747" t="s">
        <v>15</v>
      </c>
      <c r="J747">
        <v>1692</v>
      </c>
      <c r="K747">
        <v>4</v>
      </c>
      <c r="L747" t="str">
        <f>IF(logistics_data[[#This Row],[Delivery_Date]]="","In Transit",
 IF(logistics_data[[#This Row],[Status]]="Lost","Lost",
 IF(logistics_data[[#This Row],[Status]]="Returned","Returned",
 IF(logistics_data[[#This Row],[Status]]="Delayed","Delayed",
 "Delivered"))))</f>
        <v>Delivered</v>
      </c>
      <c r="M747" s="2">
        <f>logistics_data[[#This Row],[Cost]]/logistics_data[[#This Row],[Distance_miles]]</f>
        <v>0.15118794326241136</v>
      </c>
      <c r="N747" t="str">
        <f>IF(logistics_data[[#This Row],[Orginal staus of shipment]]&lt;&gt;"Delivered","not applicabel", IF(logistics_data[[#This Row],[Transit_Days]]&gt;=5,"slow","fast"))</f>
        <v>fast</v>
      </c>
    </row>
    <row r="748" spans="1:14" x14ac:dyDescent="0.3">
      <c r="A748" t="s">
        <v>794</v>
      </c>
      <c r="B748" t="s">
        <v>23</v>
      </c>
      <c r="C748" t="s">
        <v>54</v>
      </c>
      <c r="D748" t="s">
        <v>59</v>
      </c>
      <c r="E748" s="1">
        <v>45019</v>
      </c>
      <c r="F748" s="1">
        <v>45021</v>
      </c>
      <c r="G748">
        <v>11.9</v>
      </c>
      <c r="H748">
        <v>139.28</v>
      </c>
      <c r="I748" t="s">
        <v>15</v>
      </c>
      <c r="J748">
        <v>1032</v>
      </c>
      <c r="K748">
        <v>2</v>
      </c>
      <c r="L748" t="str">
        <f>IF(logistics_data[[#This Row],[Delivery_Date]]="","In Transit",
 IF(logistics_data[[#This Row],[Status]]="Lost","Lost",
 IF(logistics_data[[#This Row],[Status]]="Returned","Returned",
 IF(logistics_data[[#This Row],[Status]]="Delayed","Delayed",
 "Delivered"))))</f>
        <v>Delivered</v>
      </c>
      <c r="M748" s="2">
        <f>logistics_data[[#This Row],[Cost]]/logistics_data[[#This Row],[Distance_miles]]</f>
        <v>0.13496124031007753</v>
      </c>
      <c r="N748" t="str">
        <f>IF(logistics_data[[#This Row],[Orginal staus of shipment]]&lt;&gt;"Delivered","not applicabel", IF(logistics_data[[#This Row],[Transit_Days]]&gt;=5,"slow","fast"))</f>
        <v>fast</v>
      </c>
    </row>
    <row r="749" spans="1:14" x14ac:dyDescent="0.3">
      <c r="A749" t="s">
        <v>795</v>
      </c>
      <c r="B749" t="s">
        <v>30</v>
      </c>
      <c r="C749" t="s">
        <v>70</v>
      </c>
      <c r="D749" t="s">
        <v>59</v>
      </c>
      <c r="E749" s="1">
        <v>44951</v>
      </c>
      <c r="F749" s="1">
        <v>44953</v>
      </c>
      <c r="G749">
        <v>16.8</v>
      </c>
      <c r="H749">
        <v>124.3</v>
      </c>
      <c r="I749" t="s">
        <v>15</v>
      </c>
      <c r="J749">
        <v>1003</v>
      </c>
      <c r="K749">
        <v>2</v>
      </c>
      <c r="L749" t="str">
        <f>IF(logistics_data[[#This Row],[Delivery_Date]]="","In Transit",
 IF(logistics_data[[#This Row],[Status]]="Lost","Lost",
 IF(logistics_data[[#This Row],[Status]]="Returned","Returned",
 IF(logistics_data[[#This Row],[Status]]="Delayed","Delayed",
 "Delivered"))))</f>
        <v>Delivered</v>
      </c>
      <c r="M749" s="2">
        <f>logistics_data[[#This Row],[Cost]]/logistics_data[[#This Row],[Distance_miles]]</f>
        <v>0.12392821535393818</v>
      </c>
      <c r="N749" t="str">
        <f>IF(logistics_data[[#This Row],[Orginal staus of shipment]]&lt;&gt;"Delivered","not applicabel", IF(logistics_data[[#This Row],[Transit_Days]]&gt;=5,"slow","fast"))</f>
        <v>fast</v>
      </c>
    </row>
    <row r="750" spans="1:14" x14ac:dyDescent="0.3">
      <c r="A750" t="s">
        <v>796</v>
      </c>
      <c r="B750" t="s">
        <v>27</v>
      </c>
      <c r="C750" t="s">
        <v>52</v>
      </c>
      <c r="D750" t="s">
        <v>14</v>
      </c>
      <c r="E750" s="1">
        <v>45212</v>
      </c>
      <c r="F750" s="1">
        <v>45214</v>
      </c>
      <c r="G750">
        <v>7.2</v>
      </c>
      <c r="H750">
        <v>59.98</v>
      </c>
      <c r="I750" t="s">
        <v>15</v>
      </c>
      <c r="J750">
        <v>367</v>
      </c>
      <c r="K750">
        <v>2</v>
      </c>
      <c r="L750" t="str">
        <f>IF(logistics_data[[#This Row],[Delivery_Date]]="","In Transit",
 IF(logistics_data[[#This Row],[Status]]="Lost","Lost",
 IF(logistics_data[[#This Row],[Status]]="Returned","Returned",
 IF(logistics_data[[#This Row],[Status]]="Delayed","Delayed",
 "Delivered"))))</f>
        <v>Delivered</v>
      </c>
      <c r="M750" s="2">
        <f>logistics_data[[#This Row],[Cost]]/logistics_data[[#This Row],[Distance_miles]]</f>
        <v>0.16343324250681199</v>
      </c>
      <c r="N750" t="str">
        <f>IF(logistics_data[[#This Row],[Orginal staus of shipment]]&lt;&gt;"Delivered","not applicabel", IF(logistics_data[[#This Row],[Transit_Days]]&gt;=5,"slow","fast"))</f>
        <v>fast</v>
      </c>
    </row>
    <row r="751" spans="1:14" x14ac:dyDescent="0.3">
      <c r="A751" t="s">
        <v>797</v>
      </c>
      <c r="B751" t="s">
        <v>49</v>
      </c>
      <c r="C751" t="s">
        <v>54</v>
      </c>
      <c r="D751" t="s">
        <v>42</v>
      </c>
      <c r="E751" s="1">
        <v>45290</v>
      </c>
      <c r="F751" s="1">
        <v>45297</v>
      </c>
      <c r="G751">
        <v>11.6</v>
      </c>
      <c r="H751">
        <v>264.5</v>
      </c>
      <c r="I751" t="s">
        <v>15</v>
      </c>
      <c r="J751">
        <v>1614</v>
      </c>
      <c r="K751">
        <v>7</v>
      </c>
      <c r="L751" t="str">
        <f>IF(logistics_data[[#This Row],[Delivery_Date]]="","In Transit",
 IF(logistics_data[[#This Row],[Status]]="Lost","Lost",
 IF(logistics_data[[#This Row],[Status]]="Returned","Returned",
 IF(logistics_data[[#This Row],[Status]]="Delayed","Delayed",
 "Delivered"))))</f>
        <v>Delivered</v>
      </c>
      <c r="M751" s="2">
        <f>logistics_data[[#This Row],[Cost]]/logistics_data[[#This Row],[Distance_miles]]</f>
        <v>0.16387856257744735</v>
      </c>
      <c r="N751" t="str">
        <f>IF(logistics_data[[#This Row],[Orginal staus of shipment]]&lt;&gt;"Delivered","not applicabel", IF(logistics_data[[#This Row],[Transit_Days]]&gt;=5,"slow","fast"))</f>
        <v>slow</v>
      </c>
    </row>
    <row r="752" spans="1:14" x14ac:dyDescent="0.3">
      <c r="A752" t="s">
        <v>798</v>
      </c>
      <c r="B752" t="s">
        <v>20</v>
      </c>
      <c r="C752" t="s">
        <v>36</v>
      </c>
      <c r="D752" t="s">
        <v>42</v>
      </c>
      <c r="E752" s="1">
        <v>45052</v>
      </c>
      <c r="F752" s="1">
        <v>45057</v>
      </c>
      <c r="G752">
        <v>7.8</v>
      </c>
      <c r="H752">
        <v>53.18</v>
      </c>
      <c r="I752" t="s">
        <v>15</v>
      </c>
      <c r="J752">
        <v>402</v>
      </c>
      <c r="K752">
        <v>5</v>
      </c>
      <c r="L752" t="str">
        <f>IF(logistics_data[[#This Row],[Delivery_Date]]="","In Transit",
 IF(logistics_data[[#This Row],[Status]]="Lost","Lost",
 IF(logistics_data[[#This Row],[Status]]="Returned","Returned",
 IF(logistics_data[[#This Row],[Status]]="Delayed","Delayed",
 "Delivered"))))</f>
        <v>Delivered</v>
      </c>
      <c r="M752" s="2">
        <f>logistics_data[[#This Row],[Cost]]/logistics_data[[#This Row],[Distance_miles]]</f>
        <v>0.13228855721393035</v>
      </c>
      <c r="N752" t="str">
        <f>IF(logistics_data[[#This Row],[Orginal staus of shipment]]&lt;&gt;"Delivered","not applicabel", IF(logistics_data[[#This Row],[Transit_Days]]&gt;=5,"slow","fast"))</f>
        <v>slow</v>
      </c>
    </row>
    <row r="753" spans="1:14" x14ac:dyDescent="0.3">
      <c r="A753" t="s">
        <v>799</v>
      </c>
      <c r="B753" t="s">
        <v>23</v>
      </c>
      <c r="C753" t="s">
        <v>52</v>
      </c>
      <c r="D753" t="s">
        <v>42</v>
      </c>
      <c r="E753" s="1">
        <v>45160</v>
      </c>
      <c r="F753" s="1">
        <v>45171</v>
      </c>
      <c r="G753">
        <v>43.8</v>
      </c>
      <c r="H753">
        <v>138.22999999999999</v>
      </c>
      <c r="I753" t="s">
        <v>47</v>
      </c>
      <c r="J753">
        <v>691</v>
      </c>
      <c r="K753">
        <v>3</v>
      </c>
      <c r="L753" t="str">
        <f>IF(logistics_data[[#This Row],[Delivery_Date]]="","In Transit",
 IF(logistics_data[[#This Row],[Status]]="Lost","Lost",
 IF(logistics_data[[#This Row],[Status]]="Returned","Returned",
 IF(logistics_data[[#This Row],[Status]]="Delayed","Delayed",
 "Delivered"))))</f>
        <v>Delayed</v>
      </c>
      <c r="M753" s="2">
        <f>logistics_data[[#This Row],[Cost]]/logistics_data[[#This Row],[Distance_miles]]</f>
        <v>0.20004341534008682</v>
      </c>
      <c r="N753" t="str">
        <f>IF(logistics_data[[#This Row],[Orginal staus of shipment]]&lt;&gt;"Delivered","not applicabel", IF(logistics_data[[#This Row],[Transit_Days]]&gt;=5,"slow","fast"))</f>
        <v>not applicabel</v>
      </c>
    </row>
    <row r="754" spans="1:14" x14ac:dyDescent="0.3">
      <c r="A754" t="s">
        <v>800</v>
      </c>
      <c r="B754" t="s">
        <v>56</v>
      </c>
      <c r="C754" t="s">
        <v>54</v>
      </c>
      <c r="D754" t="s">
        <v>59</v>
      </c>
      <c r="E754" s="1">
        <v>45127</v>
      </c>
      <c r="F754" s="1">
        <v>45129</v>
      </c>
      <c r="G754">
        <v>10.1</v>
      </c>
      <c r="H754">
        <v>61.2</v>
      </c>
      <c r="I754" t="s">
        <v>15</v>
      </c>
      <c r="J754">
        <v>469</v>
      </c>
      <c r="K754">
        <v>2</v>
      </c>
      <c r="L754" t="str">
        <f>IF(logistics_data[[#This Row],[Delivery_Date]]="","In Transit",
 IF(logistics_data[[#This Row],[Status]]="Lost","Lost",
 IF(logistics_data[[#This Row],[Status]]="Returned","Returned",
 IF(logistics_data[[#This Row],[Status]]="Delayed","Delayed",
 "Delivered"))))</f>
        <v>Delivered</v>
      </c>
      <c r="M754" s="2">
        <f>logistics_data[[#This Row],[Cost]]/logistics_data[[#This Row],[Distance_miles]]</f>
        <v>0.13049040511727081</v>
      </c>
      <c r="N754" t="str">
        <f>IF(logistics_data[[#This Row],[Orginal staus of shipment]]&lt;&gt;"Delivered","not applicabel", IF(logistics_data[[#This Row],[Transit_Days]]&gt;=5,"slow","fast"))</f>
        <v>fast</v>
      </c>
    </row>
    <row r="755" spans="1:14" x14ac:dyDescent="0.3">
      <c r="A755" t="s">
        <v>801</v>
      </c>
      <c r="B755" t="s">
        <v>12</v>
      </c>
      <c r="C755" t="s">
        <v>40</v>
      </c>
      <c r="D755" t="s">
        <v>59</v>
      </c>
      <c r="E755" s="1">
        <v>45160</v>
      </c>
      <c r="F755" s="1">
        <v>45168</v>
      </c>
      <c r="G755">
        <v>24.7</v>
      </c>
      <c r="H755">
        <v>280.23</v>
      </c>
      <c r="I755" t="s">
        <v>15</v>
      </c>
      <c r="J755">
        <v>2030</v>
      </c>
      <c r="K755">
        <v>8</v>
      </c>
      <c r="L755" t="str">
        <f>IF(logistics_data[[#This Row],[Delivery_Date]]="","In Transit",
 IF(logistics_data[[#This Row],[Status]]="Lost","Lost",
 IF(logistics_data[[#This Row],[Status]]="Returned","Returned",
 IF(logistics_data[[#This Row],[Status]]="Delayed","Delayed",
 "Delivered"))))</f>
        <v>Delivered</v>
      </c>
      <c r="M755" s="2">
        <f>logistics_data[[#This Row],[Cost]]/logistics_data[[#This Row],[Distance_miles]]</f>
        <v>0.13804433497536947</v>
      </c>
      <c r="N755" t="str">
        <f>IF(logistics_data[[#This Row],[Orginal staus of shipment]]&lt;&gt;"Delivered","not applicabel", IF(logistics_data[[#This Row],[Transit_Days]]&gt;=5,"slow","fast"))</f>
        <v>slow</v>
      </c>
    </row>
    <row r="756" spans="1:14" x14ac:dyDescent="0.3">
      <c r="A756" t="s">
        <v>802</v>
      </c>
      <c r="B756" t="s">
        <v>56</v>
      </c>
      <c r="C756" t="s">
        <v>57</v>
      </c>
      <c r="D756" t="s">
        <v>32</v>
      </c>
      <c r="E756" s="1">
        <v>45206</v>
      </c>
      <c r="F756" s="1">
        <v>45209</v>
      </c>
      <c r="G756">
        <v>26.5</v>
      </c>
      <c r="H756">
        <v>155.19999999999999</v>
      </c>
      <c r="I756" t="s">
        <v>15</v>
      </c>
      <c r="J756">
        <v>810</v>
      </c>
      <c r="K756">
        <v>3</v>
      </c>
      <c r="L756" t="str">
        <f>IF(logistics_data[[#This Row],[Delivery_Date]]="","In Transit",
 IF(logistics_data[[#This Row],[Status]]="Lost","Lost",
 IF(logistics_data[[#This Row],[Status]]="Returned","Returned",
 IF(logistics_data[[#This Row],[Status]]="Delayed","Delayed",
 "Delivered"))))</f>
        <v>Delivered</v>
      </c>
      <c r="M756" s="2">
        <f>logistics_data[[#This Row],[Cost]]/logistics_data[[#This Row],[Distance_miles]]</f>
        <v>0.19160493827160494</v>
      </c>
      <c r="N756" t="str">
        <f>IF(logistics_data[[#This Row],[Orginal staus of shipment]]&lt;&gt;"Delivered","not applicabel", IF(logistics_data[[#This Row],[Transit_Days]]&gt;=5,"slow","fast"))</f>
        <v>fast</v>
      </c>
    </row>
    <row r="757" spans="1:14" x14ac:dyDescent="0.3">
      <c r="A757" t="s">
        <v>803</v>
      </c>
      <c r="B757" t="s">
        <v>20</v>
      </c>
      <c r="C757" t="s">
        <v>13</v>
      </c>
      <c r="D757" t="s">
        <v>42</v>
      </c>
      <c r="E757" s="1">
        <v>45266</v>
      </c>
      <c r="F757" s="1">
        <v>45269</v>
      </c>
      <c r="G757">
        <v>6.2</v>
      </c>
      <c r="H757">
        <v>111.44</v>
      </c>
      <c r="I757" t="s">
        <v>15</v>
      </c>
      <c r="J757">
        <v>735</v>
      </c>
      <c r="K757">
        <v>3</v>
      </c>
      <c r="L757" t="str">
        <f>IF(logistics_data[[#This Row],[Delivery_Date]]="","In Transit",
 IF(logistics_data[[#This Row],[Status]]="Lost","Lost",
 IF(logistics_data[[#This Row],[Status]]="Returned","Returned",
 IF(logistics_data[[#This Row],[Status]]="Delayed","Delayed",
 "Delivered"))))</f>
        <v>Delivered</v>
      </c>
      <c r="M757" s="2">
        <f>logistics_data[[#This Row],[Cost]]/logistics_data[[#This Row],[Distance_miles]]</f>
        <v>0.15161904761904763</v>
      </c>
      <c r="N757" t="str">
        <f>IF(logistics_data[[#This Row],[Orginal staus of shipment]]&lt;&gt;"Delivered","not applicabel", IF(logistics_data[[#This Row],[Transit_Days]]&gt;=5,"slow","fast"))</f>
        <v>fast</v>
      </c>
    </row>
    <row r="758" spans="1:14" x14ac:dyDescent="0.3">
      <c r="A758" t="s">
        <v>804</v>
      </c>
      <c r="B758" t="s">
        <v>56</v>
      </c>
      <c r="C758" t="s">
        <v>57</v>
      </c>
      <c r="D758" t="s">
        <v>18</v>
      </c>
      <c r="E758" s="1">
        <v>45029</v>
      </c>
      <c r="F758" s="1">
        <v>45031</v>
      </c>
      <c r="G758">
        <v>10</v>
      </c>
      <c r="H758">
        <v>45.28</v>
      </c>
      <c r="I758" t="s">
        <v>15</v>
      </c>
      <c r="J758">
        <v>236</v>
      </c>
      <c r="K758">
        <v>2</v>
      </c>
      <c r="L758" t="str">
        <f>IF(logistics_data[[#This Row],[Delivery_Date]]="","In Transit",
 IF(logistics_data[[#This Row],[Status]]="Lost","Lost",
 IF(logistics_data[[#This Row],[Status]]="Returned","Returned",
 IF(logistics_data[[#This Row],[Status]]="Delayed","Delayed",
 "Delivered"))))</f>
        <v>Delivered</v>
      </c>
      <c r="M758" s="2">
        <f>logistics_data[[#This Row],[Cost]]/logistics_data[[#This Row],[Distance_miles]]</f>
        <v>0.19186440677966102</v>
      </c>
      <c r="N758" t="str">
        <f>IF(logistics_data[[#This Row],[Orginal staus of shipment]]&lt;&gt;"Delivered","not applicabel", IF(logistics_data[[#This Row],[Transit_Days]]&gt;=5,"slow","fast"))</f>
        <v>fast</v>
      </c>
    </row>
    <row r="759" spans="1:14" x14ac:dyDescent="0.3">
      <c r="A759" t="s">
        <v>805</v>
      </c>
      <c r="B759" t="s">
        <v>49</v>
      </c>
      <c r="C759" t="s">
        <v>52</v>
      </c>
      <c r="D759" t="s">
        <v>18</v>
      </c>
      <c r="E759" s="1">
        <v>45028</v>
      </c>
      <c r="F759" s="1">
        <v>45033</v>
      </c>
      <c r="G759">
        <v>9.5</v>
      </c>
      <c r="H759">
        <v>194.71</v>
      </c>
      <c r="I759" t="s">
        <v>15</v>
      </c>
      <c r="J759">
        <v>1346</v>
      </c>
      <c r="K759">
        <v>5</v>
      </c>
      <c r="L759" t="str">
        <f>IF(logistics_data[[#This Row],[Delivery_Date]]="","In Transit",
 IF(logistics_data[[#This Row],[Status]]="Lost","Lost",
 IF(logistics_data[[#This Row],[Status]]="Returned","Returned",
 IF(logistics_data[[#This Row],[Status]]="Delayed","Delayed",
 "Delivered"))))</f>
        <v>Delivered</v>
      </c>
      <c r="M759" s="2">
        <f>logistics_data[[#This Row],[Cost]]/logistics_data[[#This Row],[Distance_miles]]</f>
        <v>0.14465824665676077</v>
      </c>
      <c r="N759" t="str">
        <f>IF(logistics_data[[#This Row],[Orginal staus of shipment]]&lt;&gt;"Delivered","not applicabel", IF(logistics_data[[#This Row],[Transit_Days]]&gt;=5,"slow","fast"))</f>
        <v>slow</v>
      </c>
    </row>
    <row r="760" spans="1:14" x14ac:dyDescent="0.3">
      <c r="A760" t="s">
        <v>806</v>
      </c>
      <c r="B760" t="s">
        <v>39</v>
      </c>
      <c r="C760" t="s">
        <v>81</v>
      </c>
      <c r="D760" t="s">
        <v>14</v>
      </c>
      <c r="E760" s="1">
        <v>45043</v>
      </c>
      <c r="G760">
        <v>12.1</v>
      </c>
      <c r="H760">
        <v>140.94</v>
      </c>
      <c r="I760" t="s">
        <v>15</v>
      </c>
      <c r="J760">
        <v>1030</v>
      </c>
      <c r="K760">
        <v>3</v>
      </c>
      <c r="L760" t="str">
        <f>IF(logistics_data[[#This Row],[Delivery_Date]]="","In Transit",
 IF(logistics_data[[#This Row],[Status]]="Lost","Lost",
 IF(logistics_data[[#This Row],[Status]]="Returned","Returned",
 IF(logistics_data[[#This Row],[Status]]="Delayed","Delayed",
 "Delivered"))))</f>
        <v>In Transit</v>
      </c>
      <c r="M760" s="2">
        <f>logistics_data[[#This Row],[Cost]]/logistics_data[[#This Row],[Distance_miles]]</f>
        <v>0.13683495145631067</v>
      </c>
      <c r="N760" t="str">
        <f>IF(logistics_data[[#This Row],[Orginal staus of shipment]]&lt;&gt;"Delivered","not applicabel", IF(logistics_data[[#This Row],[Transit_Days]]&gt;=5,"slow","fast"))</f>
        <v>not applicabel</v>
      </c>
    </row>
    <row r="761" spans="1:14" x14ac:dyDescent="0.3">
      <c r="A761" t="s">
        <v>807</v>
      </c>
      <c r="B761" t="s">
        <v>49</v>
      </c>
      <c r="C761" t="s">
        <v>44</v>
      </c>
      <c r="D761" t="s">
        <v>59</v>
      </c>
      <c r="E761" s="1">
        <v>45162</v>
      </c>
      <c r="F761" s="1">
        <v>45166</v>
      </c>
      <c r="G761">
        <v>71</v>
      </c>
      <c r="H761">
        <v>148.26</v>
      </c>
      <c r="I761" t="s">
        <v>15</v>
      </c>
      <c r="J761">
        <v>706</v>
      </c>
      <c r="K761">
        <v>4</v>
      </c>
      <c r="L761" t="str">
        <f>IF(logistics_data[[#This Row],[Delivery_Date]]="","In Transit",
 IF(logistics_data[[#This Row],[Status]]="Lost","Lost",
 IF(logistics_data[[#This Row],[Status]]="Returned","Returned",
 IF(logistics_data[[#This Row],[Status]]="Delayed","Delayed",
 "Delivered"))))</f>
        <v>Delivered</v>
      </c>
      <c r="M761" s="2">
        <f>logistics_data[[#This Row],[Cost]]/logistics_data[[#This Row],[Distance_miles]]</f>
        <v>0.21</v>
      </c>
      <c r="N761" t="str">
        <f>IF(logistics_data[[#This Row],[Orginal staus of shipment]]&lt;&gt;"Delivered","not applicabel", IF(logistics_data[[#This Row],[Transit_Days]]&gt;=5,"slow","fast"))</f>
        <v>fast</v>
      </c>
    </row>
    <row r="762" spans="1:14" x14ac:dyDescent="0.3">
      <c r="A762" t="s">
        <v>808</v>
      </c>
      <c r="B762" t="s">
        <v>23</v>
      </c>
      <c r="C762" t="s">
        <v>54</v>
      </c>
      <c r="D762" t="s">
        <v>18</v>
      </c>
      <c r="E762" s="1">
        <v>45156</v>
      </c>
      <c r="F762" s="1">
        <v>45164</v>
      </c>
      <c r="G762">
        <v>35.299999999999997</v>
      </c>
      <c r="H762">
        <v>212.84</v>
      </c>
      <c r="I762" t="s">
        <v>15</v>
      </c>
      <c r="J762">
        <v>1056</v>
      </c>
      <c r="K762">
        <v>8</v>
      </c>
      <c r="L762" t="str">
        <f>IF(logistics_data[[#This Row],[Delivery_Date]]="","In Transit",
 IF(logistics_data[[#This Row],[Status]]="Lost","Lost",
 IF(logistics_data[[#This Row],[Status]]="Returned","Returned",
 IF(logistics_data[[#This Row],[Status]]="Delayed","Delayed",
 "Delivered"))))</f>
        <v>Delivered</v>
      </c>
      <c r="M762" s="2">
        <f>logistics_data[[#This Row],[Cost]]/logistics_data[[#This Row],[Distance_miles]]</f>
        <v>0.20155303030303032</v>
      </c>
      <c r="N762" t="str">
        <f>IF(logistics_data[[#This Row],[Orginal staus of shipment]]&lt;&gt;"Delivered","not applicabel", IF(logistics_data[[#This Row],[Transit_Days]]&gt;=5,"slow","fast"))</f>
        <v>slow</v>
      </c>
    </row>
    <row r="763" spans="1:14" x14ac:dyDescent="0.3">
      <c r="A763" t="s">
        <v>809</v>
      </c>
      <c r="B763" t="s">
        <v>56</v>
      </c>
      <c r="C763" t="s">
        <v>54</v>
      </c>
      <c r="D763" t="s">
        <v>18</v>
      </c>
      <c r="E763" s="1">
        <v>45114</v>
      </c>
      <c r="F763" s="1">
        <v>45119</v>
      </c>
      <c r="G763">
        <v>18.100000000000001</v>
      </c>
      <c r="H763">
        <v>229.06</v>
      </c>
      <c r="I763" t="s">
        <v>15</v>
      </c>
      <c r="J763">
        <v>1660</v>
      </c>
      <c r="K763">
        <v>5</v>
      </c>
      <c r="L763" t="str">
        <f>IF(logistics_data[[#This Row],[Delivery_Date]]="","In Transit",
 IF(logistics_data[[#This Row],[Status]]="Lost","Lost",
 IF(logistics_data[[#This Row],[Status]]="Returned","Returned",
 IF(logistics_data[[#This Row],[Status]]="Delayed","Delayed",
 "Delivered"))))</f>
        <v>Delivered</v>
      </c>
      <c r="M763" s="2">
        <f>logistics_data[[#This Row],[Cost]]/logistics_data[[#This Row],[Distance_miles]]</f>
        <v>0.13798795180722892</v>
      </c>
      <c r="N763" t="str">
        <f>IF(logistics_data[[#This Row],[Orginal staus of shipment]]&lt;&gt;"Delivered","not applicabel", IF(logistics_data[[#This Row],[Transit_Days]]&gt;=5,"slow","fast"))</f>
        <v>slow</v>
      </c>
    </row>
    <row r="764" spans="1:14" x14ac:dyDescent="0.3">
      <c r="A764" t="s">
        <v>810</v>
      </c>
      <c r="B764" t="s">
        <v>39</v>
      </c>
      <c r="C764" t="s">
        <v>70</v>
      </c>
      <c r="D764" t="s">
        <v>14</v>
      </c>
      <c r="E764" s="1">
        <v>45234</v>
      </c>
      <c r="F764" s="1">
        <v>45240</v>
      </c>
      <c r="G764">
        <v>10.3</v>
      </c>
      <c r="H764">
        <v>332.84</v>
      </c>
      <c r="I764" t="s">
        <v>15</v>
      </c>
      <c r="J764">
        <v>2174</v>
      </c>
      <c r="K764">
        <v>6</v>
      </c>
      <c r="L764" t="str">
        <f>IF(logistics_data[[#This Row],[Delivery_Date]]="","In Transit",
 IF(logistics_data[[#This Row],[Status]]="Lost","Lost",
 IF(logistics_data[[#This Row],[Status]]="Returned","Returned",
 IF(logistics_data[[#This Row],[Status]]="Delayed","Delayed",
 "Delivered"))))</f>
        <v>Delivered</v>
      </c>
      <c r="M764" s="2">
        <f>logistics_data[[#This Row],[Cost]]/logistics_data[[#This Row],[Distance_miles]]</f>
        <v>0.15310027598896042</v>
      </c>
      <c r="N764" t="str">
        <f>IF(logistics_data[[#This Row],[Orginal staus of shipment]]&lt;&gt;"Delivered","not applicabel", IF(logistics_data[[#This Row],[Transit_Days]]&gt;=5,"slow","fast"))</f>
        <v>slow</v>
      </c>
    </row>
    <row r="765" spans="1:14" x14ac:dyDescent="0.3">
      <c r="A765" t="s">
        <v>811</v>
      </c>
      <c r="B765" t="s">
        <v>20</v>
      </c>
      <c r="C765" t="s">
        <v>44</v>
      </c>
      <c r="D765" t="s">
        <v>37</v>
      </c>
      <c r="E765" s="1">
        <v>45035</v>
      </c>
      <c r="F765" s="1">
        <v>45039</v>
      </c>
      <c r="G765">
        <v>72.900000000000006</v>
      </c>
      <c r="H765">
        <v>236.99</v>
      </c>
      <c r="I765" t="s">
        <v>15</v>
      </c>
      <c r="J765">
        <v>1270</v>
      </c>
      <c r="K765">
        <v>4</v>
      </c>
      <c r="L765" t="str">
        <f>IF(logistics_data[[#This Row],[Delivery_Date]]="","In Transit",
 IF(logistics_data[[#This Row],[Status]]="Lost","Lost",
 IF(logistics_data[[#This Row],[Status]]="Returned","Returned",
 IF(logistics_data[[#This Row],[Status]]="Delayed","Delayed",
 "Delivered"))))</f>
        <v>Delivered</v>
      </c>
      <c r="M765" s="2">
        <f>logistics_data[[#This Row],[Cost]]/logistics_data[[#This Row],[Distance_miles]]</f>
        <v>0.18660629921259844</v>
      </c>
      <c r="N765" t="str">
        <f>IF(logistics_data[[#This Row],[Orginal staus of shipment]]&lt;&gt;"Delivered","not applicabel", IF(logistics_data[[#This Row],[Transit_Days]]&gt;=5,"slow","fast"))</f>
        <v>fast</v>
      </c>
    </row>
    <row r="766" spans="1:14" x14ac:dyDescent="0.3">
      <c r="A766" t="s">
        <v>812</v>
      </c>
      <c r="B766" t="s">
        <v>56</v>
      </c>
      <c r="C766" t="s">
        <v>36</v>
      </c>
      <c r="D766" t="s">
        <v>59</v>
      </c>
      <c r="E766" s="1">
        <v>44946</v>
      </c>
      <c r="F766" s="1">
        <v>44951</v>
      </c>
      <c r="G766">
        <v>18.7</v>
      </c>
      <c r="H766">
        <v>312.02</v>
      </c>
      <c r="I766" t="s">
        <v>15</v>
      </c>
      <c r="J766">
        <v>2308</v>
      </c>
      <c r="K766">
        <v>5</v>
      </c>
      <c r="L766" t="str">
        <f>IF(logistics_data[[#This Row],[Delivery_Date]]="","In Transit",
 IF(logistics_data[[#This Row],[Status]]="Lost","Lost",
 IF(logistics_data[[#This Row],[Status]]="Returned","Returned",
 IF(logistics_data[[#This Row],[Status]]="Delayed","Delayed",
 "Delivered"))))</f>
        <v>Delivered</v>
      </c>
      <c r="M766" s="2">
        <f>logistics_data[[#This Row],[Cost]]/logistics_data[[#This Row],[Distance_miles]]</f>
        <v>0.13519064124783362</v>
      </c>
      <c r="N766" t="str">
        <f>IF(logistics_data[[#This Row],[Orginal staus of shipment]]&lt;&gt;"Delivered","not applicabel", IF(logistics_data[[#This Row],[Transit_Days]]&gt;=5,"slow","fast"))</f>
        <v>slow</v>
      </c>
    </row>
    <row r="767" spans="1:14" x14ac:dyDescent="0.3">
      <c r="A767" t="s">
        <v>813</v>
      </c>
      <c r="B767" t="s">
        <v>23</v>
      </c>
      <c r="C767" t="s">
        <v>21</v>
      </c>
      <c r="D767" t="s">
        <v>42</v>
      </c>
      <c r="E767" s="1">
        <v>44940</v>
      </c>
      <c r="F767" s="1">
        <v>44942</v>
      </c>
      <c r="G767">
        <v>39.6</v>
      </c>
      <c r="H767">
        <v>90.47</v>
      </c>
      <c r="I767" t="s">
        <v>15</v>
      </c>
      <c r="J767">
        <v>307</v>
      </c>
      <c r="K767">
        <v>2</v>
      </c>
      <c r="L767" t="str">
        <f>IF(logistics_data[[#This Row],[Delivery_Date]]="","In Transit",
 IF(logistics_data[[#This Row],[Status]]="Lost","Lost",
 IF(logistics_data[[#This Row],[Status]]="Returned","Returned",
 IF(logistics_data[[#This Row],[Status]]="Delayed","Delayed",
 "Delivered"))))</f>
        <v>Delivered</v>
      </c>
      <c r="M767" s="2">
        <f>logistics_data[[#This Row],[Cost]]/logistics_data[[#This Row],[Distance_miles]]</f>
        <v>0.29469055374592834</v>
      </c>
      <c r="N767" t="str">
        <f>IF(logistics_data[[#This Row],[Orginal staus of shipment]]&lt;&gt;"Delivered","not applicabel", IF(logistics_data[[#This Row],[Transit_Days]]&gt;=5,"slow","fast"))</f>
        <v>fast</v>
      </c>
    </row>
    <row r="768" spans="1:14" x14ac:dyDescent="0.3">
      <c r="A768" t="s">
        <v>814</v>
      </c>
      <c r="B768" t="s">
        <v>12</v>
      </c>
      <c r="C768" t="s">
        <v>52</v>
      </c>
      <c r="D768" t="s">
        <v>42</v>
      </c>
      <c r="E768" s="1">
        <v>45063</v>
      </c>
      <c r="F768" s="1">
        <v>45067</v>
      </c>
      <c r="G768">
        <v>10.8</v>
      </c>
      <c r="H768">
        <v>125.78</v>
      </c>
      <c r="I768" t="s">
        <v>15</v>
      </c>
      <c r="J768">
        <v>912</v>
      </c>
      <c r="K768">
        <v>4</v>
      </c>
      <c r="L768" t="str">
        <f>IF(logistics_data[[#This Row],[Delivery_Date]]="","In Transit",
 IF(logistics_data[[#This Row],[Status]]="Lost","Lost",
 IF(logistics_data[[#This Row],[Status]]="Returned","Returned",
 IF(logistics_data[[#This Row],[Status]]="Delayed","Delayed",
 "Delivered"))))</f>
        <v>Delivered</v>
      </c>
      <c r="M768" s="2">
        <f>logistics_data[[#This Row],[Cost]]/logistics_data[[#This Row],[Distance_miles]]</f>
        <v>0.13791666666666666</v>
      </c>
      <c r="N768" t="str">
        <f>IF(logistics_data[[#This Row],[Orginal staus of shipment]]&lt;&gt;"Delivered","not applicabel", IF(logistics_data[[#This Row],[Transit_Days]]&gt;=5,"slow","fast"))</f>
        <v>fast</v>
      </c>
    </row>
    <row r="769" spans="1:14" x14ac:dyDescent="0.3">
      <c r="A769" t="s">
        <v>815</v>
      </c>
      <c r="B769" t="s">
        <v>20</v>
      </c>
      <c r="C769" t="s">
        <v>28</v>
      </c>
      <c r="D769" t="s">
        <v>32</v>
      </c>
      <c r="E769" s="1">
        <v>44942</v>
      </c>
      <c r="F769" s="1">
        <v>44947</v>
      </c>
      <c r="G769">
        <v>48.5</v>
      </c>
      <c r="H769">
        <v>261.64</v>
      </c>
      <c r="I769" t="s">
        <v>15</v>
      </c>
      <c r="J769">
        <v>1435</v>
      </c>
      <c r="K769">
        <v>5</v>
      </c>
      <c r="L769" t="str">
        <f>IF(logistics_data[[#This Row],[Delivery_Date]]="","In Transit",
 IF(logistics_data[[#This Row],[Status]]="Lost","Lost",
 IF(logistics_data[[#This Row],[Status]]="Returned","Returned",
 IF(logistics_data[[#This Row],[Status]]="Delayed","Delayed",
 "Delivered"))))</f>
        <v>Delivered</v>
      </c>
      <c r="M769" s="2">
        <f>logistics_data[[#This Row],[Cost]]/logistics_data[[#This Row],[Distance_miles]]</f>
        <v>0.18232752613240416</v>
      </c>
      <c r="N769" t="str">
        <f>IF(logistics_data[[#This Row],[Orginal staus of shipment]]&lt;&gt;"Delivered","not applicabel", IF(logistics_data[[#This Row],[Transit_Days]]&gt;=5,"slow","fast"))</f>
        <v>slow</v>
      </c>
    </row>
    <row r="770" spans="1:14" x14ac:dyDescent="0.3">
      <c r="A770" t="s">
        <v>816</v>
      </c>
      <c r="B770" t="s">
        <v>12</v>
      </c>
      <c r="C770" t="s">
        <v>44</v>
      </c>
      <c r="D770" t="s">
        <v>18</v>
      </c>
      <c r="E770" s="1">
        <v>45162</v>
      </c>
      <c r="F770" s="1">
        <v>45167</v>
      </c>
      <c r="G770">
        <v>57.5</v>
      </c>
      <c r="H770">
        <v>257.60000000000002</v>
      </c>
      <c r="I770" t="s">
        <v>47</v>
      </c>
      <c r="J770">
        <v>1260</v>
      </c>
      <c r="K770">
        <v>3</v>
      </c>
      <c r="L770" t="str">
        <f>IF(logistics_data[[#This Row],[Delivery_Date]]="","In Transit",
 IF(logistics_data[[#This Row],[Status]]="Lost","Lost",
 IF(logistics_data[[#This Row],[Status]]="Returned","Returned",
 IF(logistics_data[[#This Row],[Status]]="Delayed","Delayed",
 "Delivered"))))</f>
        <v>Delayed</v>
      </c>
      <c r="M770" s="2">
        <f>logistics_data[[#This Row],[Cost]]/logistics_data[[#This Row],[Distance_miles]]</f>
        <v>0.20444444444444446</v>
      </c>
      <c r="N770" t="str">
        <f>IF(logistics_data[[#This Row],[Orginal staus of shipment]]&lt;&gt;"Delivered","not applicabel", IF(logistics_data[[#This Row],[Transit_Days]]&gt;=5,"slow","fast"))</f>
        <v>not applicabel</v>
      </c>
    </row>
    <row r="771" spans="1:14" x14ac:dyDescent="0.3">
      <c r="A771" t="s">
        <v>817</v>
      </c>
      <c r="B771" t="s">
        <v>56</v>
      </c>
      <c r="C771" t="s">
        <v>31</v>
      </c>
      <c r="D771" t="s">
        <v>59</v>
      </c>
      <c r="E771" s="1">
        <v>45113</v>
      </c>
      <c r="F771" s="1">
        <v>45117</v>
      </c>
      <c r="G771">
        <v>13.6</v>
      </c>
      <c r="H771">
        <v>204.17</v>
      </c>
      <c r="I771" t="s">
        <v>15</v>
      </c>
      <c r="J771">
        <v>1646</v>
      </c>
      <c r="K771">
        <v>4</v>
      </c>
      <c r="L771" t="str">
        <f>IF(logistics_data[[#This Row],[Delivery_Date]]="","In Transit",
 IF(logistics_data[[#This Row],[Status]]="Lost","Lost",
 IF(logistics_data[[#This Row],[Status]]="Returned","Returned",
 IF(logistics_data[[#This Row],[Status]]="Delayed","Delayed",
 "Delivered"))))</f>
        <v>Delivered</v>
      </c>
      <c r="M771" s="2">
        <f>logistics_data[[#This Row],[Cost]]/logistics_data[[#This Row],[Distance_miles]]</f>
        <v>0.12404009720534628</v>
      </c>
      <c r="N771" t="str">
        <f>IF(logistics_data[[#This Row],[Orginal staus of shipment]]&lt;&gt;"Delivered","not applicabel", IF(logistics_data[[#This Row],[Transit_Days]]&gt;=5,"slow","fast"))</f>
        <v>fast</v>
      </c>
    </row>
    <row r="772" spans="1:14" x14ac:dyDescent="0.3">
      <c r="A772" t="s">
        <v>818</v>
      </c>
      <c r="B772" t="s">
        <v>35</v>
      </c>
      <c r="C772" t="s">
        <v>46</v>
      </c>
      <c r="D772" t="s">
        <v>14</v>
      </c>
      <c r="E772" s="1">
        <v>45031</v>
      </c>
      <c r="F772" s="1">
        <v>45037</v>
      </c>
      <c r="G772">
        <v>7.7</v>
      </c>
      <c r="H772">
        <v>284.58999999999997</v>
      </c>
      <c r="I772" t="s">
        <v>15</v>
      </c>
      <c r="J772">
        <v>2012</v>
      </c>
      <c r="K772">
        <v>6</v>
      </c>
      <c r="L772" t="str">
        <f>IF(logistics_data[[#This Row],[Delivery_Date]]="","In Transit",
 IF(logistics_data[[#This Row],[Status]]="Lost","Lost",
 IF(logistics_data[[#This Row],[Status]]="Returned","Returned",
 IF(logistics_data[[#This Row],[Status]]="Delayed","Delayed",
 "Delivered"))))</f>
        <v>Delivered</v>
      </c>
      <c r="M772" s="2">
        <f>logistics_data[[#This Row],[Cost]]/logistics_data[[#This Row],[Distance_miles]]</f>
        <v>0.14144632206759442</v>
      </c>
      <c r="N772" t="str">
        <f>IF(logistics_data[[#This Row],[Orginal staus of shipment]]&lt;&gt;"Delivered","not applicabel", IF(logistics_data[[#This Row],[Transit_Days]]&gt;=5,"slow","fast"))</f>
        <v>slow</v>
      </c>
    </row>
    <row r="773" spans="1:14" x14ac:dyDescent="0.3">
      <c r="A773" t="s">
        <v>819</v>
      </c>
      <c r="B773" t="s">
        <v>35</v>
      </c>
      <c r="C773" t="s">
        <v>40</v>
      </c>
      <c r="D773" t="s">
        <v>32</v>
      </c>
      <c r="E773" s="1">
        <v>45154</v>
      </c>
      <c r="F773" s="1">
        <v>45156</v>
      </c>
      <c r="G773">
        <v>41.8</v>
      </c>
      <c r="H773">
        <v>84.62</v>
      </c>
      <c r="I773" t="s">
        <v>15</v>
      </c>
      <c r="J773">
        <v>283</v>
      </c>
      <c r="K773">
        <v>2</v>
      </c>
      <c r="L773" t="str">
        <f>IF(logistics_data[[#This Row],[Delivery_Date]]="","In Transit",
 IF(logistics_data[[#This Row],[Status]]="Lost","Lost",
 IF(logistics_data[[#This Row],[Status]]="Returned","Returned",
 IF(logistics_data[[#This Row],[Status]]="Delayed","Delayed",
 "Delivered"))))</f>
        <v>Delivered</v>
      </c>
      <c r="M773" s="2">
        <f>logistics_data[[#This Row],[Cost]]/logistics_data[[#This Row],[Distance_miles]]</f>
        <v>0.29901060070671381</v>
      </c>
      <c r="N773" t="str">
        <f>IF(logistics_data[[#This Row],[Orginal staus of shipment]]&lt;&gt;"Delivered","not applicabel", IF(logistics_data[[#This Row],[Transit_Days]]&gt;=5,"slow","fast"))</f>
        <v>fast</v>
      </c>
    </row>
    <row r="774" spans="1:14" x14ac:dyDescent="0.3">
      <c r="A774" t="s">
        <v>820</v>
      </c>
      <c r="B774" t="s">
        <v>20</v>
      </c>
      <c r="C774" t="s">
        <v>13</v>
      </c>
      <c r="D774" t="s">
        <v>59</v>
      </c>
      <c r="E774" s="1">
        <v>45078</v>
      </c>
      <c r="F774" s="1">
        <v>45081</v>
      </c>
      <c r="G774">
        <v>43.9</v>
      </c>
      <c r="H774">
        <v>222.74</v>
      </c>
      <c r="I774" t="s">
        <v>15</v>
      </c>
      <c r="J774">
        <v>1342</v>
      </c>
      <c r="K774">
        <v>3</v>
      </c>
      <c r="L774" t="str">
        <f>IF(logistics_data[[#This Row],[Delivery_Date]]="","In Transit",
 IF(logistics_data[[#This Row],[Status]]="Lost","Lost",
 IF(logistics_data[[#This Row],[Status]]="Returned","Returned",
 IF(logistics_data[[#This Row],[Status]]="Delayed","Delayed",
 "Delivered"))))</f>
        <v>Delivered</v>
      </c>
      <c r="M774" s="2">
        <f>logistics_data[[#This Row],[Cost]]/logistics_data[[#This Row],[Distance_miles]]</f>
        <v>0.16597615499254845</v>
      </c>
      <c r="N774" t="str">
        <f>IF(logistics_data[[#This Row],[Orginal staus of shipment]]&lt;&gt;"Delivered","not applicabel", IF(logistics_data[[#This Row],[Transit_Days]]&gt;=5,"slow","fast"))</f>
        <v>fast</v>
      </c>
    </row>
    <row r="775" spans="1:14" x14ac:dyDescent="0.3">
      <c r="A775" t="s">
        <v>821</v>
      </c>
      <c r="B775" t="s">
        <v>49</v>
      </c>
      <c r="C775" t="s">
        <v>52</v>
      </c>
      <c r="D775" t="s">
        <v>14</v>
      </c>
      <c r="E775" s="1">
        <v>45136</v>
      </c>
      <c r="F775" s="1">
        <v>45142</v>
      </c>
      <c r="G775">
        <v>30</v>
      </c>
      <c r="H775">
        <v>266.62</v>
      </c>
      <c r="I775" t="s">
        <v>15</v>
      </c>
      <c r="J775">
        <v>2030</v>
      </c>
      <c r="K775">
        <v>6</v>
      </c>
      <c r="L775" t="str">
        <f>IF(logistics_data[[#This Row],[Delivery_Date]]="","In Transit",
 IF(logistics_data[[#This Row],[Status]]="Lost","Lost",
 IF(logistics_data[[#This Row],[Status]]="Returned","Returned",
 IF(logistics_data[[#This Row],[Status]]="Delayed","Delayed",
 "Delivered"))))</f>
        <v>Delivered</v>
      </c>
      <c r="M775" s="2">
        <f>logistics_data[[#This Row],[Cost]]/logistics_data[[#This Row],[Distance_miles]]</f>
        <v>0.1313399014778325</v>
      </c>
      <c r="N775" t="str">
        <f>IF(logistics_data[[#This Row],[Orginal staus of shipment]]&lt;&gt;"Delivered","not applicabel", IF(logistics_data[[#This Row],[Transit_Days]]&gt;=5,"slow","fast"))</f>
        <v>slow</v>
      </c>
    </row>
    <row r="776" spans="1:14" x14ac:dyDescent="0.3">
      <c r="A776" t="s">
        <v>822</v>
      </c>
      <c r="B776" t="s">
        <v>49</v>
      </c>
      <c r="C776" t="s">
        <v>31</v>
      </c>
      <c r="D776" t="s">
        <v>18</v>
      </c>
      <c r="E776" s="1">
        <v>45027</v>
      </c>
      <c r="F776" s="1">
        <v>45043</v>
      </c>
      <c r="G776">
        <v>73.599999999999994</v>
      </c>
      <c r="H776">
        <v>437.29</v>
      </c>
      <c r="I776" t="s">
        <v>47</v>
      </c>
      <c r="J776">
        <v>2241</v>
      </c>
      <c r="K776">
        <v>6</v>
      </c>
      <c r="L776" t="str">
        <f>IF(logistics_data[[#This Row],[Delivery_Date]]="","In Transit",
 IF(logistics_data[[#This Row],[Status]]="Lost","Lost",
 IF(logistics_data[[#This Row],[Status]]="Returned","Returned",
 IF(logistics_data[[#This Row],[Status]]="Delayed","Delayed",
 "Delivered"))))</f>
        <v>Delayed</v>
      </c>
      <c r="M776" s="2">
        <f>logistics_data[[#This Row],[Cost]]/logistics_data[[#This Row],[Distance_miles]]</f>
        <v>0.19513163766175814</v>
      </c>
      <c r="N776" t="str">
        <f>IF(logistics_data[[#This Row],[Orginal staus of shipment]]&lt;&gt;"Delivered","not applicabel", IF(logistics_data[[#This Row],[Transit_Days]]&gt;=5,"slow","fast"))</f>
        <v>not applicabel</v>
      </c>
    </row>
    <row r="777" spans="1:14" x14ac:dyDescent="0.3">
      <c r="A777" t="s">
        <v>823</v>
      </c>
      <c r="B777" t="s">
        <v>12</v>
      </c>
      <c r="C777" t="s">
        <v>54</v>
      </c>
      <c r="D777" t="s">
        <v>42</v>
      </c>
      <c r="E777" s="1">
        <v>45232</v>
      </c>
      <c r="F777" s="1">
        <v>45237</v>
      </c>
      <c r="G777">
        <v>23.2</v>
      </c>
      <c r="H777">
        <v>51.9</v>
      </c>
      <c r="I777" t="s">
        <v>15</v>
      </c>
      <c r="J777">
        <v>147</v>
      </c>
      <c r="K777">
        <v>5</v>
      </c>
      <c r="L777" t="str">
        <f>IF(logistics_data[[#This Row],[Delivery_Date]]="","In Transit",
 IF(logistics_data[[#This Row],[Status]]="Lost","Lost",
 IF(logistics_data[[#This Row],[Status]]="Returned","Returned",
 IF(logistics_data[[#This Row],[Status]]="Delayed","Delayed",
 "Delivered"))))</f>
        <v>Delivered</v>
      </c>
      <c r="M777" s="2">
        <f>logistics_data[[#This Row],[Cost]]/logistics_data[[#This Row],[Distance_miles]]</f>
        <v>0.35306122448979593</v>
      </c>
      <c r="N777" t="str">
        <f>IF(logistics_data[[#This Row],[Orginal staus of shipment]]&lt;&gt;"Delivered","not applicabel", IF(logistics_data[[#This Row],[Transit_Days]]&gt;=5,"slow","fast"))</f>
        <v>slow</v>
      </c>
    </row>
    <row r="778" spans="1:14" x14ac:dyDescent="0.3">
      <c r="A778" t="s">
        <v>824</v>
      </c>
      <c r="B778" t="s">
        <v>27</v>
      </c>
      <c r="C778" t="s">
        <v>44</v>
      </c>
      <c r="D778" t="s">
        <v>37</v>
      </c>
      <c r="E778" s="1">
        <v>45178</v>
      </c>
      <c r="F778" s="1">
        <v>45182</v>
      </c>
      <c r="G778">
        <v>23.2</v>
      </c>
      <c r="H778">
        <v>191.94</v>
      </c>
      <c r="I778" t="s">
        <v>15</v>
      </c>
      <c r="J778">
        <v>1277</v>
      </c>
      <c r="K778">
        <v>4</v>
      </c>
      <c r="L778" t="str">
        <f>IF(logistics_data[[#This Row],[Delivery_Date]]="","In Transit",
 IF(logistics_data[[#This Row],[Status]]="Lost","Lost",
 IF(logistics_data[[#This Row],[Status]]="Returned","Returned",
 IF(logistics_data[[#This Row],[Status]]="Delayed","Delayed",
 "Delivered"))))</f>
        <v>Delivered</v>
      </c>
      <c r="M778" s="2">
        <f>logistics_data[[#This Row],[Cost]]/logistics_data[[#This Row],[Distance_miles]]</f>
        <v>0.1503054032889585</v>
      </c>
      <c r="N778" t="str">
        <f>IF(logistics_data[[#This Row],[Orginal staus of shipment]]&lt;&gt;"Delivered","not applicabel", IF(logistics_data[[#This Row],[Transit_Days]]&gt;=5,"slow","fast"))</f>
        <v>fast</v>
      </c>
    </row>
    <row r="779" spans="1:14" x14ac:dyDescent="0.3">
      <c r="A779" t="s">
        <v>825</v>
      </c>
      <c r="B779" t="s">
        <v>30</v>
      </c>
      <c r="C779" t="s">
        <v>46</v>
      </c>
      <c r="D779" t="s">
        <v>14</v>
      </c>
      <c r="E779" s="1">
        <v>45200</v>
      </c>
      <c r="F779" s="1">
        <v>45212</v>
      </c>
      <c r="G779">
        <v>38</v>
      </c>
      <c r="H779">
        <v>108.83</v>
      </c>
      <c r="I779" t="s">
        <v>47</v>
      </c>
      <c r="J779">
        <v>527</v>
      </c>
      <c r="K779">
        <v>2</v>
      </c>
      <c r="L779" t="str">
        <f>IF(logistics_data[[#This Row],[Delivery_Date]]="","In Transit",
 IF(logistics_data[[#This Row],[Status]]="Lost","Lost",
 IF(logistics_data[[#This Row],[Status]]="Returned","Returned",
 IF(logistics_data[[#This Row],[Status]]="Delayed","Delayed",
 "Delivered"))))</f>
        <v>Delayed</v>
      </c>
      <c r="M779" s="2">
        <f>logistics_data[[#This Row],[Cost]]/logistics_data[[#This Row],[Distance_miles]]</f>
        <v>0.20650853889943074</v>
      </c>
      <c r="N779" t="str">
        <f>IF(logistics_data[[#This Row],[Orginal staus of shipment]]&lt;&gt;"Delivered","not applicabel", IF(logistics_data[[#This Row],[Transit_Days]]&gt;=5,"slow","fast"))</f>
        <v>not applicabel</v>
      </c>
    </row>
    <row r="780" spans="1:14" x14ac:dyDescent="0.3">
      <c r="A780" t="s">
        <v>826</v>
      </c>
      <c r="B780" t="s">
        <v>23</v>
      </c>
      <c r="C780" t="s">
        <v>36</v>
      </c>
      <c r="D780" t="s">
        <v>25</v>
      </c>
      <c r="E780" s="1">
        <v>45195</v>
      </c>
      <c r="F780" s="1">
        <v>45199</v>
      </c>
      <c r="G780">
        <v>12.8</v>
      </c>
      <c r="H780">
        <v>147.18</v>
      </c>
      <c r="I780" t="s">
        <v>15</v>
      </c>
      <c r="J780">
        <v>1012</v>
      </c>
      <c r="K780">
        <v>4</v>
      </c>
      <c r="L780" t="str">
        <f>IF(logistics_data[[#This Row],[Delivery_Date]]="","In Transit",
 IF(logistics_data[[#This Row],[Status]]="Lost","Lost",
 IF(logistics_data[[#This Row],[Status]]="Returned","Returned",
 IF(logistics_data[[#This Row],[Status]]="Delayed","Delayed",
 "Delivered"))))</f>
        <v>Delivered</v>
      </c>
      <c r="M780" s="2">
        <f>logistics_data[[#This Row],[Cost]]/logistics_data[[#This Row],[Distance_miles]]</f>
        <v>0.14543478260869566</v>
      </c>
      <c r="N780" t="str">
        <f>IF(logistics_data[[#This Row],[Orginal staus of shipment]]&lt;&gt;"Delivered","not applicabel", IF(logistics_data[[#This Row],[Transit_Days]]&gt;=5,"slow","fast"))</f>
        <v>fast</v>
      </c>
    </row>
    <row r="781" spans="1:14" x14ac:dyDescent="0.3">
      <c r="A781" t="s">
        <v>827</v>
      </c>
      <c r="B781" t="s">
        <v>30</v>
      </c>
      <c r="C781" t="s">
        <v>36</v>
      </c>
      <c r="D781" t="s">
        <v>59</v>
      </c>
      <c r="E781" s="1">
        <v>44981</v>
      </c>
      <c r="F781" s="1">
        <v>44984</v>
      </c>
      <c r="G781">
        <v>103.4</v>
      </c>
      <c r="H781">
        <v>226.95</v>
      </c>
      <c r="I781" t="s">
        <v>15</v>
      </c>
      <c r="J781">
        <v>779</v>
      </c>
      <c r="K781">
        <v>3</v>
      </c>
      <c r="L781" t="str">
        <f>IF(logistics_data[[#This Row],[Delivery_Date]]="","In Transit",
 IF(logistics_data[[#This Row],[Status]]="Lost","Lost",
 IF(logistics_data[[#This Row],[Status]]="Returned","Returned",
 IF(logistics_data[[#This Row],[Status]]="Delayed","Delayed",
 "Delivered"))))</f>
        <v>Delivered</v>
      </c>
      <c r="M781" s="2">
        <f>logistics_data[[#This Row],[Cost]]/logistics_data[[#This Row],[Distance_miles]]</f>
        <v>0.29133504492939666</v>
      </c>
      <c r="N781" t="str">
        <f>IF(logistics_data[[#This Row],[Orginal staus of shipment]]&lt;&gt;"Delivered","not applicabel", IF(logistics_data[[#This Row],[Transit_Days]]&gt;=5,"slow","fast"))</f>
        <v>fast</v>
      </c>
    </row>
    <row r="782" spans="1:14" x14ac:dyDescent="0.3">
      <c r="A782" t="s">
        <v>828</v>
      </c>
      <c r="B782" t="s">
        <v>30</v>
      </c>
      <c r="C782" t="s">
        <v>44</v>
      </c>
      <c r="D782" t="s">
        <v>37</v>
      </c>
      <c r="E782" s="1">
        <v>45211</v>
      </c>
      <c r="F782" s="1">
        <v>45220</v>
      </c>
      <c r="G782">
        <v>44.1</v>
      </c>
      <c r="H782">
        <v>319.83999999999997</v>
      </c>
      <c r="I782" t="s">
        <v>15</v>
      </c>
      <c r="J782">
        <v>2372</v>
      </c>
      <c r="K782">
        <v>9</v>
      </c>
      <c r="L782" t="str">
        <f>IF(logistics_data[[#This Row],[Delivery_Date]]="","In Transit",
 IF(logistics_data[[#This Row],[Status]]="Lost","Lost",
 IF(logistics_data[[#This Row],[Status]]="Returned","Returned",
 IF(logistics_data[[#This Row],[Status]]="Delayed","Delayed",
 "Delivered"))))</f>
        <v>Delivered</v>
      </c>
      <c r="M782" s="2">
        <f>logistics_data[[#This Row],[Cost]]/logistics_data[[#This Row],[Distance_miles]]</f>
        <v>0.1348397976391231</v>
      </c>
      <c r="N782" t="str">
        <f>IF(logistics_data[[#This Row],[Orginal staus of shipment]]&lt;&gt;"Delivered","not applicabel", IF(logistics_data[[#This Row],[Transit_Days]]&gt;=5,"slow","fast"))</f>
        <v>slow</v>
      </c>
    </row>
    <row r="783" spans="1:14" x14ac:dyDescent="0.3">
      <c r="A783" t="s">
        <v>829</v>
      </c>
      <c r="B783" t="s">
        <v>27</v>
      </c>
      <c r="C783" t="s">
        <v>28</v>
      </c>
      <c r="D783" t="s">
        <v>42</v>
      </c>
      <c r="E783" s="1">
        <v>45282</v>
      </c>
      <c r="F783" s="1">
        <v>45286</v>
      </c>
      <c r="G783">
        <v>22.3</v>
      </c>
      <c r="H783">
        <v>223.83</v>
      </c>
      <c r="I783" t="s">
        <v>15</v>
      </c>
      <c r="J783">
        <v>1234</v>
      </c>
      <c r="K783">
        <v>4</v>
      </c>
      <c r="L783" t="str">
        <f>IF(logistics_data[[#This Row],[Delivery_Date]]="","In Transit",
 IF(logistics_data[[#This Row],[Status]]="Lost","Lost",
 IF(logistics_data[[#This Row],[Status]]="Returned","Returned",
 IF(logistics_data[[#This Row],[Status]]="Delayed","Delayed",
 "Delivered"))))</f>
        <v>Delivered</v>
      </c>
      <c r="M783" s="2">
        <f>logistics_data[[#This Row],[Cost]]/logistics_data[[#This Row],[Distance_miles]]</f>
        <v>0.18138573743922204</v>
      </c>
      <c r="N783" t="str">
        <f>IF(logistics_data[[#This Row],[Orginal staus of shipment]]&lt;&gt;"Delivered","not applicabel", IF(logistics_data[[#This Row],[Transit_Days]]&gt;=5,"slow","fast"))</f>
        <v>fast</v>
      </c>
    </row>
    <row r="784" spans="1:14" x14ac:dyDescent="0.3">
      <c r="A784" t="s">
        <v>830</v>
      </c>
      <c r="B784" t="s">
        <v>51</v>
      </c>
      <c r="C784" t="s">
        <v>21</v>
      </c>
      <c r="D784" t="s">
        <v>25</v>
      </c>
      <c r="E784" s="1">
        <v>45263</v>
      </c>
      <c r="F784" s="1">
        <v>45267</v>
      </c>
      <c r="G784">
        <v>17.3</v>
      </c>
      <c r="H784">
        <v>218.41</v>
      </c>
      <c r="I784" t="s">
        <v>15</v>
      </c>
      <c r="J784">
        <v>1246</v>
      </c>
      <c r="K784">
        <v>4</v>
      </c>
      <c r="L784" t="str">
        <f>IF(logistics_data[[#This Row],[Delivery_Date]]="","In Transit",
 IF(logistics_data[[#This Row],[Status]]="Lost","Lost",
 IF(logistics_data[[#This Row],[Status]]="Returned","Returned",
 IF(logistics_data[[#This Row],[Status]]="Delayed","Delayed",
 "Delivered"))))</f>
        <v>Delivered</v>
      </c>
      <c r="M784" s="2">
        <f>logistics_data[[#This Row],[Cost]]/logistics_data[[#This Row],[Distance_miles]]</f>
        <v>0.17528892455858747</v>
      </c>
      <c r="N784" t="str">
        <f>IF(logistics_data[[#This Row],[Orginal staus of shipment]]&lt;&gt;"Delivered","not applicabel", IF(logistics_data[[#This Row],[Transit_Days]]&gt;=5,"slow","fast"))</f>
        <v>fast</v>
      </c>
    </row>
    <row r="785" spans="1:14" x14ac:dyDescent="0.3">
      <c r="A785" t="s">
        <v>831</v>
      </c>
      <c r="B785" t="s">
        <v>23</v>
      </c>
      <c r="C785" t="s">
        <v>28</v>
      </c>
      <c r="D785" t="s">
        <v>42</v>
      </c>
      <c r="E785" s="1">
        <v>45154</v>
      </c>
      <c r="F785" s="1">
        <v>45157</v>
      </c>
      <c r="G785">
        <v>19.3</v>
      </c>
      <c r="H785">
        <v>147.72999999999999</v>
      </c>
      <c r="I785" t="s">
        <v>15</v>
      </c>
      <c r="J785">
        <v>1068</v>
      </c>
      <c r="K785">
        <v>3</v>
      </c>
      <c r="L785" t="str">
        <f>IF(logistics_data[[#This Row],[Delivery_Date]]="","In Transit",
 IF(logistics_data[[#This Row],[Status]]="Lost","Lost",
 IF(logistics_data[[#This Row],[Status]]="Returned","Returned",
 IF(logistics_data[[#This Row],[Status]]="Delayed","Delayed",
 "Delivered"))))</f>
        <v>Delivered</v>
      </c>
      <c r="M785" s="2">
        <f>logistics_data[[#This Row],[Cost]]/logistics_data[[#This Row],[Distance_miles]]</f>
        <v>0.13832397003745317</v>
      </c>
      <c r="N785" t="str">
        <f>IF(logistics_data[[#This Row],[Orginal staus of shipment]]&lt;&gt;"Delivered","not applicabel", IF(logistics_data[[#This Row],[Transit_Days]]&gt;=5,"slow","fast"))</f>
        <v>fast</v>
      </c>
    </row>
    <row r="786" spans="1:14" x14ac:dyDescent="0.3">
      <c r="A786" t="s">
        <v>832</v>
      </c>
      <c r="B786" t="s">
        <v>56</v>
      </c>
      <c r="C786" t="s">
        <v>52</v>
      </c>
      <c r="D786" t="s">
        <v>59</v>
      </c>
      <c r="E786" s="1">
        <v>45001</v>
      </c>
      <c r="F786" s="1">
        <v>45006</v>
      </c>
      <c r="G786">
        <v>22.5</v>
      </c>
      <c r="I786" t="s">
        <v>15</v>
      </c>
      <c r="J786">
        <v>1164</v>
      </c>
      <c r="K786">
        <v>5</v>
      </c>
      <c r="L786" t="str">
        <f>IF(logistics_data[[#This Row],[Delivery_Date]]="","In Transit",
 IF(logistics_data[[#This Row],[Status]]="Lost","Lost",
 IF(logistics_data[[#This Row],[Status]]="Returned","Returned",
 IF(logistics_data[[#This Row],[Status]]="Delayed","Delayed",
 "Delivered"))))</f>
        <v>Delivered</v>
      </c>
      <c r="M786" s="2">
        <f>logistics_data[[#This Row],[Cost]]/logistics_data[[#This Row],[Distance_miles]]</f>
        <v>0</v>
      </c>
      <c r="N786" t="str">
        <f>IF(logistics_data[[#This Row],[Orginal staus of shipment]]&lt;&gt;"Delivered","not applicabel", IF(logistics_data[[#This Row],[Transit_Days]]&gt;=5,"slow","fast"))</f>
        <v>slow</v>
      </c>
    </row>
    <row r="787" spans="1:14" x14ac:dyDescent="0.3">
      <c r="A787" t="s">
        <v>833</v>
      </c>
      <c r="B787" t="s">
        <v>30</v>
      </c>
      <c r="C787" t="s">
        <v>81</v>
      </c>
      <c r="D787" t="s">
        <v>42</v>
      </c>
      <c r="E787" s="1">
        <v>44958</v>
      </c>
      <c r="F787" s="1">
        <v>44962</v>
      </c>
      <c r="G787">
        <v>34</v>
      </c>
      <c r="H787">
        <v>193.6</v>
      </c>
      <c r="I787" t="s">
        <v>60</v>
      </c>
      <c r="J787">
        <v>1192</v>
      </c>
      <c r="K787">
        <v>4</v>
      </c>
      <c r="L787" t="str">
        <f>IF(logistics_data[[#This Row],[Delivery_Date]]="","In Transit",
 IF(logistics_data[[#This Row],[Status]]="Lost","Lost",
 IF(logistics_data[[#This Row],[Status]]="Returned","Returned",
 IF(logistics_data[[#This Row],[Status]]="Delayed","Delayed",
 "Delivered"))))</f>
        <v>Lost</v>
      </c>
      <c r="M787" s="2">
        <f>logistics_data[[#This Row],[Cost]]/logistics_data[[#This Row],[Distance_miles]]</f>
        <v>0.16241610738255033</v>
      </c>
      <c r="N787" t="str">
        <f>IF(logistics_data[[#This Row],[Orginal staus of shipment]]&lt;&gt;"Delivered","not applicabel", IF(logistics_data[[#This Row],[Transit_Days]]&gt;=5,"slow","fast"))</f>
        <v>not applicabel</v>
      </c>
    </row>
    <row r="788" spans="1:14" x14ac:dyDescent="0.3">
      <c r="A788" t="s">
        <v>834</v>
      </c>
      <c r="B788" t="s">
        <v>56</v>
      </c>
      <c r="C788" t="s">
        <v>28</v>
      </c>
      <c r="D788" t="s">
        <v>18</v>
      </c>
      <c r="E788" s="1">
        <v>45036</v>
      </c>
      <c r="F788" s="1">
        <v>45040</v>
      </c>
      <c r="G788">
        <v>18.600000000000001</v>
      </c>
      <c r="H788">
        <v>144.94999999999999</v>
      </c>
      <c r="I788" t="s">
        <v>67</v>
      </c>
      <c r="J788">
        <v>923</v>
      </c>
      <c r="K788">
        <v>4</v>
      </c>
      <c r="L788" t="str">
        <f>IF(logistics_data[[#This Row],[Delivery_Date]]="","In Transit",
 IF(logistics_data[[#This Row],[Status]]="Lost","Lost",
 IF(logistics_data[[#This Row],[Status]]="Returned","Returned",
 IF(logistics_data[[#This Row],[Status]]="Delayed","Delayed",
 "Delivered"))))</f>
        <v>Returned</v>
      </c>
      <c r="M788" s="2">
        <f>logistics_data[[#This Row],[Cost]]/logistics_data[[#This Row],[Distance_miles]]</f>
        <v>0.15704225352112675</v>
      </c>
      <c r="N788" t="str">
        <f>IF(logistics_data[[#This Row],[Orginal staus of shipment]]&lt;&gt;"Delivered","not applicabel", IF(logistics_data[[#This Row],[Transit_Days]]&gt;=5,"slow","fast"))</f>
        <v>not applicabel</v>
      </c>
    </row>
    <row r="789" spans="1:14" x14ac:dyDescent="0.3">
      <c r="A789" t="s">
        <v>835</v>
      </c>
      <c r="B789" t="s">
        <v>30</v>
      </c>
      <c r="C789" t="s">
        <v>21</v>
      </c>
      <c r="D789" t="s">
        <v>18</v>
      </c>
      <c r="E789" s="1">
        <v>44975</v>
      </c>
      <c r="F789" s="1">
        <v>44978</v>
      </c>
      <c r="G789">
        <v>16.899999999999999</v>
      </c>
      <c r="H789">
        <v>208.26</v>
      </c>
      <c r="I789" t="s">
        <v>15</v>
      </c>
      <c r="J789">
        <v>1434</v>
      </c>
      <c r="K789">
        <v>3</v>
      </c>
      <c r="L789" t="str">
        <f>IF(logistics_data[[#This Row],[Delivery_Date]]="","In Transit",
 IF(logistics_data[[#This Row],[Status]]="Lost","Lost",
 IF(logistics_data[[#This Row],[Status]]="Returned","Returned",
 IF(logistics_data[[#This Row],[Status]]="Delayed","Delayed",
 "Delivered"))))</f>
        <v>Delivered</v>
      </c>
      <c r="M789" s="2">
        <f>logistics_data[[#This Row],[Cost]]/logistics_data[[#This Row],[Distance_miles]]</f>
        <v>0.14523012552301254</v>
      </c>
      <c r="N789" t="str">
        <f>IF(logistics_data[[#This Row],[Orginal staus of shipment]]&lt;&gt;"Delivered","not applicabel", IF(logistics_data[[#This Row],[Transit_Days]]&gt;=5,"slow","fast"))</f>
        <v>fast</v>
      </c>
    </row>
    <row r="790" spans="1:14" x14ac:dyDescent="0.3">
      <c r="A790" t="s">
        <v>836</v>
      </c>
      <c r="B790" t="s">
        <v>23</v>
      </c>
      <c r="C790" t="s">
        <v>52</v>
      </c>
      <c r="D790" t="s">
        <v>42</v>
      </c>
      <c r="E790" s="1">
        <v>45255</v>
      </c>
      <c r="F790" s="1">
        <v>45262</v>
      </c>
      <c r="G790">
        <v>36.9</v>
      </c>
      <c r="H790">
        <v>307.39999999999998</v>
      </c>
      <c r="I790" t="s">
        <v>15</v>
      </c>
      <c r="J790">
        <v>1682</v>
      </c>
      <c r="K790">
        <v>7</v>
      </c>
      <c r="L790" t="str">
        <f>IF(logistics_data[[#This Row],[Delivery_Date]]="","In Transit",
 IF(logistics_data[[#This Row],[Status]]="Lost","Lost",
 IF(logistics_data[[#This Row],[Status]]="Returned","Returned",
 IF(logistics_data[[#This Row],[Status]]="Delayed","Delayed",
 "Delivered"))))</f>
        <v>Delivered</v>
      </c>
      <c r="M790" s="2">
        <f>logistics_data[[#This Row],[Cost]]/logistics_data[[#This Row],[Distance_miles]]</f>
        <v>0.18275862068965515</v>
      </c>
      <c r="N790" t="str">
        <f>IF(logistics_data[[#This Row],[Orginal staus of shipment]]&lt;&gt;"Delivered","not applicabel", IF(logistics_data[[#This Row],[Transit_Days]]&gt;=5,"slow","fast"))</f>
        <v>slow</v>
      </c>
    </row>
    <row r="791" spans="1:14" x14ac:dyDescent="0.3">
      <c r="A791" t="s">
        <v>837</v>
      </c>
      <c r="B791" t="s">
        <v>20</v>
      </c>
      <c r="C791" t="s">
        <v>28</v>
      </c>
      <c r="D791" t="s">
        <v>25</v>
      </c>
      <c r="E791" s="1">
        <v>45042</v>
      </c>
      <c r="F791" s="1">
        <v>45046</v>
      </c>
      <c r="G791">
        <v>26.3</v>
      </c>
      <c r="H791">
        <v>200.48</v>
      </c>
      <c r="I791" t="s">
        <v>15</v>
      </c>
      <c r="J791">
        <v>1435</v>
      </c>
      <c r="K791">
        <v>4</v>
      </c>
      <c r="L791" t="str">
        <f>IF(logistics_data[[#This Row],[Delivery_Date]]="","In Transit",
 IF(logistics_data[[#This Row],[Status]]="Lost","Lost",
 IF(logistics_data[[#This Row],[Status]]="Returned","Returned",
 IF(logistics_data[[#This Row],[Status]]="Delayed","Delayed",
 "Delivered"))))</f>
        <v>Delivered</v>
      </c>
      <c r="M791" s="2">
        <f>logistics_data[[#This Row],[Cost]]/logistics_data[[#This Row],[Distance_miles]]</f>
        <v>0.13970731707317072</v>
      </c>
      <c r="N791" t="str">
        <f>IF(logistics_data[[#This Row],[Orginal staus of shipment]]&lt;&gt;"Delivered","not applicabel", IF(logistics_data[[#This Row],[Transit_Days]]&gt;=5,"slow","fast"))</f>
        <v>fast</v>
      </c>
    </row>
    <row r="792" spans="1:14" x14ac:dyDescent="0.3">
      <c r="A792" t="s">
        <v>838</v>
      </c>
      <c r="B792" t="s">
        <v>20</v>
      </c>
      <c r="C792" t="s">
        <v>81</v>
      </c>
      <c r="D792" t="s">
        <v>32</v>
      </c>
      <c r="E792" s="1">
        <v>45019</v>
      </c>
      <c r="F792" s="1">
        <v>45024</v>
      </c>
      <c r="G792">
        <v>12.5</v>
      </c>
      <c r="H792">
        <v>326.12</v>
      </c>
      <c r="I792" t="s">
        <v>15</v>
      </c>
      <c r="J792">
        <v>2386</v>
      </c>
      <c r="K792">
        <v>5</v>
      </c>
      <c r="L792" t="str">
        <f>IF(logistics_data[[#This Row],[Delivery_Date]]="","In Transit",
 IF(logistics_data[[#This Row],[Status]]="Lost","Lost",
 IF(logistics_data[[#This Row],[Status]]="Returned","Returned",
 IF(logistics_data[[#This Row],[Status]]="Delayed","Delayed",
 "Delivered"))))</f>
        <v>Delivered</v>
      </c>
      <c r="M792" s="2">
        <f>logistics_data[[#This Row],[Cost]]/logistics_data[[#This Row],[Distance_miles]]</f>
        <v>0.13668063704945516</v>
      </c>
      <c r="N792" t="str">
        <f>IF(logistics_data[[#This Row],[Orginal staus of shipment]]&lt;&gt;"Delivered","not applicabel", IF(logistics_data[[#This Row],[Transit_Days]]&gt;=5,"slow","fast"))</f>
        <v>slow</v>
      </c>
    </row>
    <row r="793" spans="1:14" x14ac:dyDescent="0.3">
      <c r="A793" t="s">
        <v>839</v>
      </c>
      <c r="B793" t="s">
        <v>51</v>
      </c>
      <c r="C793" t="s">
        <v>70</v>
      </c>
      <c r="D793" t="s">
        <v>32</v>
      </c>
      <c r="E793" s="1">
        <v>45167</v>
      </c>
      <c r="F793" s="1">
        <v>45171</v>
      </c>
      <c r="G793">
        <v>6.8</v>
      </c>
      <c r="H793">
        <v>155.94999999999999</v>
      </c>
      <c r="I793" t="s">
        <v>15</v>
      </c>
      <c r="J793">
        <v>1007</v>
      </c>
      <c r="K793">
        <v>4</v>
      </c>
      <c r="L793" t="str">
        <f>IF(logistics_data[[#This Row],[Delivery_Date]]="","In Transit",
 IF(logistics_data[[#This Row],[Status]]="Lost","Lost",
 IF(logistics_data[[#This Row],[Status]]="Returned","Returned",
 IF(logistics_data[[#This Row],[Status]]="Delayed","Delayed",
 "Delivered"))))</f>
        <v>Delivered</v>
      </c>
      <c r="M793" s="2">
        <f>logistics_data[[#This Row],[Cost]]/logistics_data[[#This Row],[Distance_miles]]</f>
        <v>0.15486593843098312</v>
      </c>
      <c r="N793" t="str">
        <f>IF(logistics_data[[#This Row],[Orginal staus of shipment]]&lt;&gt;"Delivered","not applicabel", IF(logistics_data[[#This Row],[Transit_Days]]&gt;=5,"slow","fast"))</f>
        <v>fast</v>
      </c>
    </row>
    <row r="794" spans="1:14" x14ac:dyDescent="0.3">
      <c r="A794" t="s">
        <v>840</v>
      </c>
      <c r="B794" t="s">
        <v>12</v>
      </c>
      <c r="C794" t="s">
        <v>31</v>
      </c>
      <c r="D794" t="s">
        <v>14</v>
      </c>
      <c r="E794" s="1">
        <v>45105</v>
      </c>
      <c r="F794" s="1">
        <v>45109</v>
      </c>
      <c r="G794">
        <v>15.4</v>
      </c>
      <c r="H794">
        <v>238.58</v>
      </c>
      <c r="I794" t="s">
        <v>15</v>
      </c>
      <c r="J794">
        <v>1636</v>
      </c>
      <c r="K794">
        <v>4</v>
      </c>
      <c r="L794" t="str">
        <f>IF(logistics_data[[#This Row],[Delivery_Date]]="","In Transit",
 IF(logistics_data[[#This Row],[Status]]="Lost","Lost",
 IF(logistics_data[[#This Row],[Status]]="Returned","Returned",
 IF(logistics_data[[#This Row],[Status]]="Delayed","Delayed",
 "Delivered"))))</f>
        <v>Delivered</v>
      </c>
      <c r="M794" s="2">
        <f>logistics_data[[#This Row],[Cost]]/logistics_data[[#This Row],[Distance_miles]]</f>
        <v>0.14583129584352078</v>
      </c>
      <c r="N794" t="str">
        <f>IF(logistics_data[[#This Row],[Orginal staus of shipment]]&lt;&gt;"Delivered","not applicabel", IF(logistics_data[[#This Row],[Transit_Days]]&gt;=5,"slow","fast"))</f>
        <v>fast</v>
      </c>
    </row>
    <row r="795" spans="1:14" x14ac:dyDescent="0.3">
      <c r="A795" t="s">
        <v>841</v>
      </c>
      <c r="B795" t="s">
        <v>30</v>
      </c>
      <c r="C795" t="s">
        <v>46</v>
      </c>
      <c r="D795" t="s">
        <v>42</v>
      </c>
      <c r="E795" s="1">
        <v>45201</v>
      </c>
      <c r="F795" s="1">
        <v>45216</v>
      </c>
      <c r="G795">
        <v>46.9</v>
      </c>
      <c r="H795">
        <v>180.87</v>
      </c>
      <c r="I795" t="s">
        <v>47</v>
      </c>
      <c r="J795">
        <v>993</v>
      </c>
      <c r="K795">
        <v>3</v>
      </c>
      <c r="L795" t="str">
        <f>IF(logistics_data[[#This Row],[Delivery_Date]]="","In Transit",
 IF(logistics_data[[#This Row],[Status]]="Lost","Lost",
 IF(logistics_data[[#This Row],[Status]]="Returned","Returned",
 IF(logistics_data[[#This Row],[Status]]="Delayed","Delayed",
 "Delivered"))))</f>
        <v>Delayed</v>
      </c>
      <c r="M795" s="2">
        <f>logistics_data[[#This Row],[Cost]]/logistics_data[[#This Row],[Distance_miles]]</f>
        <v>0.18214501510574019</v>
      </c>
      <c r="N795" t="str">
        <f>IF(logistics_data[[#This Row],[Orginal staus of shipment]]&lt;&gt;"Delivered","not applicabel", IF(logistics_data[[#This Row],[Transit_Days]]&gt;=5,"slow","fast"))</f>
        <v>not applicabel</v>
      </c>
    </row>
    <row r="796" spans="1:14" x14ac:dyDescent="0.3">
      <c r="A796" t="s">
        <v>842</v>
      </c>
      <c r="B796" t="s">
        <v>12</v>
      </c>
      <c r="C796" t="s">
        <v>40</v>
      </c>
      <c r="D796" t="s">
        <v>42</v>
      </c>
      <c r="E796" s="1">
        <v>45049</v>
      </c>
      <c r="F796" s="1">
        <v>45053</v>
      </c>
      <c r="G796">
        <v>19.2</v>
      </c>
      <c r="H796">
        <v>132.01</v>
      </c>
      <c r="I796" t="s">
        <v>15</v>
      </c>
      <c r="J796">
        <v>810</v>
      </c>
      <c r="K796">
        <v>4</v>
      </c>
      <c r="L796" t="str">
        <f>IF(logistics_data[[#This Row],[Delivery_Date]]="","In Transit",
 IF(logistics_data[[#This Row],[Status]]="Lost","Lost",
 IF(logistics_data[[#This Row],[Status]]="Returned","Returned",
 IF(logistics_data[[#This Row],[Status]]="Delayed","Delayed",
 "Delivered"))))</f>
        <v>Delivered</v>
      </c>
      <c r="M796" s="2">
        <f>logistics_data[[#This Row],[Cost]]/logistics_data[[#This Row],[Distance_miles]]</f>
        <v>0.16297530864197529</v>
      </c>
      <c r="N796" t="str">
        <f>IF(logistics_data[[#This Row],[Orginal staus of shipment]]&lt;&gt;"Delivered","not applicabel", IF(logistics_data[[#This Row],[Transit_Days]]&gt;=5,"slow","fast"))</f>
        <v>fast</v>
      </c>
    </row>
    <row r="797" spans="1:14" x14ac:dyDescent="0.3">
      <c r="A797" t="s">
        <v>843</v>
      </c>
      <c r="B797" t="s">
        <v>39</v>
      </c>
      <c r="C797" t="s">
        <v>44</v>
      </c>
      <c r="D797" t="s">
        <v>18</v>
      </c>
      <c r="E797" s="1">
        <v>44964</v>
      </c>
      <c r="F797" s="1">
        <v>44972</v>
      </c>
      <c r="G797">
        <v>77.7</v>
      </c>
      <c r="I797" t="s">
        <v>15</v>
      </c>
      <c r="J797">
        <v>2113</v>
      </c>
      <c r="K797">
        <v>8</v>
      </c>
      <c r="L797" t="str">
        <f>IF(logistics_data[[#This Row],[Delivery_Date]]="","In Transit",
 IF(logistics_data[[#This Row],[Status]]="Lost","Lost",
 IF(logistics_data[[#This Row],[Status]]="Returned","Returned",
 IF(logistics_data[[#This Row],[Status]]="Delayed","Delayed",
 "Delivered"))))</f>
        <v>Delivered</v>
      </c>
      <c r="M797" s="2">
        <f>logistics_data[[#This Row],[Cost]]/logistics_data[[#This Row],[Distance_miles]]</f>
        <v>0</v>
      </c>
      <c r="N797" t="str">
        <f>IF(logistics_data[[#This Row],[Orginal staus of shipment]]&lt;&gt;"Delivered","not applicabel", IF(logistics_data[[#This Row],[Transit_Days]]&gt;=5,"slow","fast"))</f>
        <v>slow</v>
      </c>
    </row>
    <row r="798" spans="1:14" x14ac:dyDescent="0.3">
      <c r="A798" t="s">
        <v>844</v>
      </c>
      <c r="B798" t="s">
        <v>20</v>
      </c>
      <c r="C798" t="s">
        <v>44</v>
      </c>
      <c r="D798" t="s">
        <v>37</v>
      </c>
      <c r="E798" s="1">
        <v>45159</v>
      </c>
      <c r="F798" s="1">
        <v>45163</v>
      </c>
      <c r="G798">
        <v>12.4</v>
      </c>
      <c r="H798">
        <v>228.09</v>
      </c>
      <c r="I798" t="s">
        <v>15</v>
      </c>
      <c r="J798">
        <v>1640</v>
      </c>
      <c r="K798">
        <v>4</v>
      </c>
      <c r="L798" t="str">
        <f>IF(logistics_data[[#This Row],[Delivery_Date]]="","In Transit",
 IF(logistics_data[[#This Row],[Status]]="Lost","Lost",
 IF(logistics_data[[#This Row],[Status]]="Returned","Returned",
 IF(logistics_data[[#This Row],[Status]]="Delayed","Delayed",
 "Delivered"))))</f>
        <v>Delivered</v>
      </c>
      <c r="M798" s="2">
        <f>logistics_data[[#This Row],[Cost]]/logistics_data[[#This Row],[Distance_miles]]</f>
        <v>0.13907926829268294</v>
      </c>
      <c r="N798" t="str">
        <f>IF(logistics_data[[#This Row],[Orginal staus of shipment]]&lt;&gt;"Delivered","not applicabel", IF(logistics_data[[#This Row],[Transit_Days]]&gt;=5,"slow","fast"))</f>
        <v>fast</v>
      </c>
    </row>
    <row r="799" spans="1:14" x14ac:dyDescent="0.3">
      <c r="A799" t="s">
        <v>845</v>
      </c>
      <c r="B799" t="s">
        <v>39</v>
      </c>
      <c r="C799" t="s">
        <v>24</v>
      </c>
      <c r="D799" t="s">
        <v>18</v>
      </c>
      <c r="E799" s="1">
        <v>45097</v>
      </c>
      <c r="F799" s="1">
        <v>45101</v>
      </c>
      <c r="G799">
        <v>9.6999999999999993</v>
      </c>
      <c r="H799">
        <v>233.83</v>
      </c>
      <c r="I799" t="s">
        <v>15</v>
      </c>
      <c r="J799">
        <v>1517</v>
      </c>
      <c r="K799">
        <v>4</v>
      </c>
      <c r="L799" t="str">
        <f>IF(logistics_data[[#This Row],[Delivery_Date]]="","In Transit",
 IF(logistics_data[[#This Row],[Status]]="Lost","Lost",
 IF(logistics_data[[#This Row],[Status]]="Returned","Returned",
 IF(logistics_data[[#This Row],[Status]]="Delayed","Delayed",
 "Delivered"))))</f>
        <v>Delivered</v>
      </c>
      <c r="M799" s="2">
        <f>logistics_data[[#This Row],[Cost]]/logistics_data[[#This Row],[Distance_miles]]</f>
        <v>0.15413974950560316</v>
      </c>
      <c r="N799" t="str">
        <f>IF(logistics_data[[#This Row],[Orginal staus of shipment]]&lt;&gt;"Delivered","not applicabel", IF(logistics_data[[#This Row],[Transit_Days]]&gt;=5,"slow","fast"))</f>
        <v>fast</v>
      </c>
    </row>
    <row r="800" spans="1:14" x14ac:dyDescent="0.3">
      <c r="A800" t="s">
        <v>846</v>
      </c>
      <c r="B800" t="s">
        <v>39</v>
      </c>
      <c r="C800" t="s">
        <v>57</v>
      </c>
      <c r="D800" t="s">
        <v>37</v>
      </c>
      <c r="E800" s="1">
        <v>45056</v>
      </c>
      <c r="F800" s="1">
        <v>45062</v>
      </c>
      <c r="G800">
        <v>12.3</v>
      </c>
      <c r="H800">
        <v>306.2</v>
      </c>
      <c r="I800" t="s">
        <v>15</v>
      </c>
      <c r="J800">
        <v>2458</v>
      </c>
      <c r="K800">
        <v>6</v>
      </c>
      <c r="L800" t="str">
        <f>IF(logistics_data[[#This Row],[Delivery_Date]]="","In Transit",
 IF(logistics_data[[#This Row],[Status]]="Lost","Lost",
 IF(logistics_data[[#This Row],[Status]]="Returned","Returned",
 IF(logistics_data[[#This Row],[Status]]="Delayed","Delayed",
 "Delivered"))))</f>
        <v>Delivered</v>
      </c>
      <c r="M800" s="2">
        <f>logistics_data[[#This Row],[Cost]]/logistics_data[[#This Row],[Distance_miles]]</f>
        <v>0.12457282343368592</v>
      </c>
      <c r="N800" t="str">
        <f>IF(logistics_data[[#This Row],[Orginal staus of shipment]]&lt;&gt;"Delivered","not applicabel", IF(logistics_data[[#This Row],[Transit_Days]]&gt;=5,"slow","fast"))</f>
        <v>slow</v>
      </c>
    </row>
    <row r="801" spans="1:14" x14ac:dyDescent="0.3">
      <c r="A801" t="s">
        <v>847</v>
      </c>
      <c r="B801" t="s">
        <v>35</v>
      </c>
      <c r="C801" t="s">
        <v>40</v>
      </c>
      <c r="D801" t="s">
        <v>25</v>
      </c>
      <c r="E801" s="1">
        <v>44946</v>
      </c>
      <c r="G801">
        <v>70</v>
      </c>
      <c r="H801">
        <v>123.86</v>
      </c>
      <c r="I801" t="s">
        <v>15</v>
      </c>
      <c r="J801">
        <v>283</v>
      </c>
      <c r="K801">
        <v>3</v>
      </c>
      <c r="L801" t="str">
        <f>IF(logistics_data[[#This Row],[Delivery_Date]]="","In Transit",
 IF(logistics_data[[#This Row],[Status]]="Lost","Lost",
 IF(logistics_data[[#This Row],[Status]]="Returned","Returned",
 IF(logistics_data[[#This Row],[Status]]="Delayed","Delayed",
 "Delivered"))))</f>
        <v>In Transit</v>
      </c>
      <c r="M801" s="2">
        <f>logistics_data[[#This Row],[Cost]]/logistics_data[[#This Row],[Distance_miles]]</f>
        <v>0.4376678445229682</v>
      </c>
      <c r="N801" t="str">
        <f>IF(logistics_data[[#This Row],[Orginal staus of shipment]]&lt;&gt;"Delivered","not applicabel", IF(logistics_data[[#This Row],[Transit_Days]]&gt;=5,"slow","fast"))</f>
        <v>not applicabel</v>
      </c>
    </row>
    <row r="802" spans="1:14" x14ac:dyDescent="0.3">
      <c r="A802" t="s">
        <v>848</v>
      </c>
      <c r="B802" t="s">
        <v>39</v>
      </c>
      <c r="C802" t="s">
        <v>54</v>
      </c>
      <c r="D802" t="s">
        <v>14</v>
      </c>
      <c r="E802" s="1">
        <v>45089</v>
      </c>
      <c r="F802" s="1">
        <v>45094</v>
      </c>
      <c r="G802">
        <v>9.9</v>
      </c>
      <c r="H802">
        <v>282.29000000000002</v>
      </c>
      <c r="I802" t="s">
        <v>15</v>
      </c>
      <c r="J802">
        <v>2114</v>
      </c>
      <c r="K802">
        <v>5</v>
      </c>
      <c r="L802" t="str">
        <f>IF(logistics_data[[#This Row],[Delivery_Date]]="","In Transit",
 IF(logistics_data[[#This Row],[Status]]="Lost","Lost",
 IF(logistics_data[[#This Row],[Status]]="Returned","Returned",
 IF(logistics_data[[#This Row],[Status]]="Delayed","Delayed",
 "Delivered"))))</f>
        <v>Delivered</v>
      </c>
      <c r="M802" s="2">
        <f>logistics_data[[#This Row],[Cost]]/logistics_data[[#This Row],[Distance_miles]]</f>
        <v>0.13353358561967835</v>
      </c>
      <c r="N802" t="str">
        <f>IF(logistics_data[[#This Row],[Orginal staus of shipment]]&lt;&gt;"Delivered","not applicabel", IF(logistics_data[[#This Row],[Transit_Days]]&gt;=5,"slow","fast"))</f>
        <v>slow</v>
      </c>
    </row>
    <row r="803" spans="1:14" x14ac:dyDescent="0.3">
      <c r="A803" t="s">
        <v>849</v>
      </c>
      <c r="B803" t="s">
        <v>27</v>
      </c>
      <c r="C803" t="s">
        <v>46</v>
      </c>
      <c r="D803" t="s">
        <v>37</v>
      </c>
      <c r="E803" s="1">
        <v>45078</v>
      </c>
      <c r="F803" s="1">
        <v>45084</v>
      </c>
      <c r="G803">
        <v>24.8</v>
      </c>
      <c r="H803">
        <v>213.13</v>
      </c>
      <c r="I803" t="s">
        <v>15</v>
      </c>
      <c r="J803">
        <v>1683</v>
      </c>
      <c r="K803">
        <v>6</v>
      </c>
      <c r="L803" t="str">
        <f>IF(logistics_data[[#This Row],[Delivery_Date]]="","In Transit",
 IF(logistics_data[[#This Row],[Status]]="Lost","Lost",
 IF(logistics_data[[#This Row],[Status]]="Returned","Returned",
 IF(logistics_data[[#This Row],[Status]]="Delayed","Delayed",
 "Delivered"))))</f>
        <v>Delivered</v>
      </c>
      <c r="M803" s="2">
        <f>logistics_data[[#This Row],[Cost]]/logistics_data[[#This Row],[Distance_miles]]</f>
        <v>0.1266369578134284</v>
      </c>
      <c r="N803" t="str">
        <f>IF(logistics_data[[#This Row],[Orginal staus of shipment]]&lt;&gt;"Delivered","not applicabel", IF(logistics_data[[#This Row],[Transit_Days]]&gt;=5,"slow","fast"))</f>
        <v>slow</v>
      </c>
    </row>
    <row r="804" spans="1:14" x14ac:dyDescent="0.3">
      <c r="A804" t="s">
        <v>850</v>
      </c>
      <c r="B804" t="s">
        <v>56</v>
      </c>
      <c r="C804" t="s">
        <v>28</v>
      </c>
      <c r="D804" t="s">
        <v>59</v>
      </c>
      <c r="E804" s="1">
        <v>45226</v>
      </c>
      <c r="F804" s="1">
        <v>45228</v>
      </c>
      <c r="G804">
        <v>4.5999999999999996</v>
      </c>
      <c r="H804">
        <v>44.35</v>
      </c>
      <c r="I804" t="s">
        <v>15</v>
      </c>
      <c r="J804">
        <v>345</v>
      </c>
      <c r="K804">
        <v>2</v>
      </c>
      <c r="L804" t="str">
        <f>IF(logistics_data[[#This Row],[Delivery_Date]]="","In Transit",
 IF(logistics_data[[#This Row],[Status]]="Lost","Lost",
 IF(logistics_data[[#This Row],[Status]]="Returned","Returned",
 IF(logistics_data[[#This Row],[Status]]="Delayed","Delayed",
 "Delivered"))))</f>
        <v>Delivered</v>
      </c>
      <c r="M804" s="2">
        <f>logistics_data[[#This Row],[Cost]]/logistics_data[[#This Row],[Distance_miles]]</f>
        <v>0.12855072463768116</v>
      </c>
      <c r="N804" t="str">
        <f>IF(logistics_data[[#This Row],[Orginal staus of shipment]]&lt;&gt;"Delivered","not applicabel", IF(logistics_data[[#This Row],[Transit_Days]]&gt;=5,"slow","fast"))</f>
        <v>fast</v>
      </c>
    </row>
    <row r="805" spans="1:14" x14ac:dyDescent="0.3">
      <c r="A805" t="s">
        <v>851</v>
      </c>
      <c r="B805" t="s">
        <v>12</v>
      </c>
      <c r="C805" t="s">
        <v>40</v>
      </c>
      <c r="D805" t="s">
        <v>25</v>
      </c>
      <c r="E805" s="1">
        <v>45016</v>
      </c>
      <c r="F805" s="1">
        <v>45022</v>
      </c>
      <c r="G805">
        <v>4.8</v>
      </c>
      <c r="H805">
        <v>287.60000000000002</v>
      </c>
      <c r="I805" t="s">
        <v>15</v>
      </c>
      <c r="J805">
        <v>2470</v>
      </c>
      <c r="K805">
        <v>6</v>
      </c>
      <c r="L805" t="str">
        <f>IF(logistics_data[[#This Row],[Delivery_Date]]="","In Transit",
 IF(logistics_data[[#This Row],[Status]]="Lost","Lost",
 IF(logistics_data[[#This Row],[Status]]="Returned","Returned",
 IF(logistics_data[[#This Row],[Status]]="Delayed","Delayed",
 "Delivered"))))</f>
        <v>Delivered</v>
      </c>
      <c r="M805" s="2">
        <f>logistics_data[[#This Row],[Cost]]/logistics_data[[#This Row],[Distance_miles]]</f>
        <v>0.11643724696356277</v>
      </c>
      <c r="N805" t="str">
        <f>IF(logistics_data[[#This Row],[Orginal staus of shipment]]&lt;&gt;"Delivered","not applicabel", IF(logistics_data[[#This Row],[Transit_Days]]&gt;=5,"slow","fast"))</f>
        <v>slow</v>
      </c>
    </row>
    <row r="806" spans="1:14" x14ac:dyDescent="0.3">
      <c r="A806" t="s">
        <v>852</v>
      </c>
      <c r="B806" t="s">
        <v>23</v>
      </c>
      <c r="C806" t="s">
        <v>44</v>
      </c>
      <c r="D806" t="s">
        <v>18</v>
      </c>
      <c r="E806" s="1">
        <v>45080</v>
      </c>
      <c r="F806" s="1">
        <v>45082</v>
      </c>
      <c r="G806">
        <v>19.2</v>
      </c>
      <c r="I806" t="s">
        <v>15</v>
      </c>
      <c r="J806">
        <v>285</v>
      </c>
      <c r="K806">
        <v>2</v>
      </c>
      <c r="L806" t="str">
        <f>IF(logistics_data[[#This Row],[Delivery_Date]]="","In Transit",
 IF(logistics_data[[#This Row],[Status]]="Lost","Lost",
 IF(logistics_data[[#This Row],[Status]]="Returned","Returned",
 IF(logistics_data[[#This Row],[Status]]="Delayed","Delayed",
 "Delivered"))))</f>
        <v>Delivered</v>
      </c>
      <c r="M806" s="2">
        <f>logistics_data[[#This Row],[Cost]]/logistics_data[[#This Row],[Distance_miles]]</f>
        <v>0</v>
      </c>
      <c r="N806" t="str">
        <f>IF(logistics_data[[#This Row],[Orginal staus of shipment]]&lt;&gt;"Delivered","not applicabel", IF(logistics_data[[#This Row],[Transit_Days]]&gt;=5,"slow","fast"))</f>
        <v>fast</v>
      </c>
    </row>
    <row r="807" spans="1:14" x14ac:dyDescent="0.3">
      <c r="A807" t="s">
        <v>853</v>
      </c>
      <c r="B807" t="s">
        <v>39</v>
      </c>
      <c r="C807" t="s">
        <v>44</v>
      </c>
      <c r="D807" t="s">
        <v>14</v>
      </c>
      <c r="E807" s="1">
        <v>44965</v>
      </c>
      <c r="F807" s="1">
        <v>44972</v>
      </c>
      <c r="G807">
        <v>40.1</v>
      </c>
      <c r="H807">
        <v>104.23</v>
      </c>
      <c r="I807" t="s">
        <v>47</v>
      </c>
      <c r="J807">
        <v>428</v>
      </c>
      <c r="K807">
        <v>2</v>
      </c>
      <c r="L807" t="str">
        <f>IF(logistics_data[[#This Row],[Delivery_Date]]="","In Transit",
 IF(logistics_data[[#This Row],[Status]]="Lost","Lost",
 IF(logistics_data[[#This Row],[Status]]="Returned","Returned",
 IF(logistics_data[[#This Row],[Status]]="Delayed","Delayed",
 "Delivered"))))</f>
        <v>Delayed</v>
      </c>
      <c r="M807" s="2">
        <f>logistics_data[[#This Row],[Cost]]/logistics_data[[#This Row],[Distance_miles]]</f>
        <v>0.24352803738317758</v>
      </c>
      <c r="N807" t="str">
        <f>IF(logistics_data[[#This Row],[Orginal staus of shipment]]&lt;&gt;"Delivered","not applicabel", IF(logistics_data[[#This Row],[Transit_Days]]&gt;=5,"slow","fast"))</f>
        <v>not applicabel</v>
      </c>
    </row>
    <row r="808" spans="1:14" x14ac:dyDescent="0.3">
      <c r="A808" t="s">
        <v>854</v>
      </c>
      <c r="B808" t="s">
        <v>12</v>
      </c>
      <c r="C808" t="s">
        <v>44</v>
      </c>
      <c r="D808" t="s">
        <v>37</v>
      </c>
      <c r="E808" s="1">
        <v>44979</v>
      </c>
      <c r="F808" s="1">
        <v>44985</v>
      </c>
      <c r="G808">
        <v>38.4</v>
      </c>
      <c r="H808">
        <v>276.83</v>
      </c>
      <c r="I808" t="s">
        <v>15</v>
      </c>
      <c r="J808">
        <v>1780</v>
      </c>
      <c r="K808">
        <v>6</v>
      </c>
      <c r="L808" t="str">
        <f>IF(logistics_data[[#This Row],[Delivery_Date]]="","In Transit",
 IF(logistics_data[[#This Row],[Status]]="Lost","Lost",
 IF(logistics_data[[#This Row],[Status]]="Returned","Returned",
 IF(logistics_data[[#This Row],[Status]]="Delayed","Delayed",
 "Delivered"))))</f>
        <v>Delivered</v>
      </c>
      <c r="M808" s="2">
        <f>logistics_data[[#This Row],[Cost]]/logistics_data[[#This Row],[Distance_miles]]</f>
        <v>0.15552247191011234</v>
      </c>
      <c r="N808" t="str">
        <f>IF(logistics_data[[#This Row],[Orginal staus of shipment]]&lt;&gt;"Delivered","not applicabel", IF(logistics_data[[#This Row],[Transit_Days]]&gt;=5,"slow","fast"))</f>
        <v>slow</v>
      </c>
    </row>
    <row r="809" spans="1:14" x14ac:dyDescent="0.3">
      <c r="A809" t="s">
        <v>855</v>
      </c>
      <c r="B809" t="s">
        <v>27</v>
      </c>
      <c r="C809" t="s">
        <v>24</v>
      </c>
      <c r="D809" t="s">
        <v>59</v>
      </c>
      <c r="E809" s="1">
        <v>45149</v>
      </c>
      <c r="F809" s="1">
        <v>45154</v>
      </c>
      <c r="G809">
        <v>30.3</v>
      </c>
      <c r="H809">
        <v>247.69</v>
      </c>
      <c r="I809" t="s">
        <v>15</v>
      </c>
      <c r="J809">
        <v>2049</v>
      </c>
      <c r="K809">
        <v>5</v>
      </c>
      <c r="L809" t="str">
        <f>IF(logistics_data[[#This Row],[Delivery_Date]]="","In Transit",
 IF(logistics_data[[#This Row],[Status]]="Lost","Lost",
 IF(logistics_data[[#This Row],[Status]]="Returned","Returned",
 IF(logistics_data[[#This Row],[Status]]="Delayed","Delayed",
 "Delivered"))))</f>
        <v>Delivered</v>
      </c>
      <c r="M809" s="2">
        <f>logistics_data[[#This Row],[Cost]]/logistics_data[[#This Row],[Distance_miles]]</f>
        <v>0.12088335773548071</v>
      </c>
      <c r="N809" t="str">
        <f>IF(logistics_data[[#This Row],[Orginal staus of shipment]]&lt;&gt;"Delivered","not applicabel", IF(logistics_data[[#This Row],[Transit_Days]]&gt;=5,"slow","fast"))</f>
        <v>slow</v>
      </c>
    </row>
    <row r="810" spans="1:14" x14ac:dyDescent="0.3">
      <c r="A810" t="s">
        <v>856</v>
      </c>
      <c r="B810" t="s">
        <v>49</v>
      </c>
      <c r="C810" t="s">
        <v>52</v>
      </c>
      <c r="D810" t="s">
        <v>32</v>
      </c>
      <c r="E810" s="1">
        <v>45285</v>
      </c>
      <c r="F810" s="1">
        <v>45294</v>
      </c>
      <c r="G810">
        <v>14.1</v>
      </c>
      <c r="H810">
        <v>430.99</v>
      </c>
      <c r="I810" t="s">
        <v>15</v>
      </c>
      <c r="J810">
        <v>2363</v>
      </c>
      <c r="K810">
        <v>9</v>
      </c>
      <c r="L810" t="str">
        <f>IF(logistics_data[[#This Row],[Delivery_Date]]="","In Transit",
 IF(logistics_data[[#This Row],[Status]]="Lost","Lost",
 IF(logistics_data[[#This Row],[Status]]="Returned","Returned",
 IF(logistics_data[[#This Row],[Status]]="Delayed","Delayed",
 "Delivered"))))</f>
        <v>Delivered</v>
      </c>
      <c r="M810" s="2">
        <f>logistics_data[[#This Row],[Cost]]/logistics_data[[#This Row],[Distance_miles]]</f>
        <v>0.18239102835378757</v>
      </c>
      <c r="N810" t="str">
        <f>IF(logistics_data[[#This Row],[Orginal staus of shipment]]&lt;&gt;"Delivered","not applicabel", IF(logistics_data[[#This Row],[Transit_Days]]&gt;=5,"slow","fast"))</f>
        <v>slow</v>
      </c>
    </row>
    <row r="811" spans="1:14" x14ac:dyDescent="0.3">
      <c r="A811" t="s">
        <v>857</v>
      </c>
      <c r="B811" t="s">
        <v>49</v>
      </c>
      <c r="C811" t="s">
        <v>44</v>
      </c>
      <c r="D811" t="s">
        <v>25</v>
      </c>
      <c r="E811" s="1">
        <v>45256</v>
      </c>
      <c r="F811" s="1">
        <v>45263</v>
      </c>
      <c r="G811">
        <v>6.2</v>
      </c>
      <c r="H811">
        <v>314.26</v>
      </c>
      <c r="I811" t="s">
        <v>15</v>
      </c>
      <c r="J811">
        <v>2315</v>
      </c>
      <c r="K811">
        <v>7</v>
      </c>
      <c r="L811" t="str">
        <f>IF(logistics_data[[#This Row],[Delivery_Date]]="","In Transit",
 IF(logistics_data[[#This Row],[Status]]="Lost","Lost",
 IF(logistics_data[[#This Row],[Status]]="Returned","Returned",
 IF(logistics_data[[#This Row],[Status]]="Delayed","Delayed",
 "Delivered"))))</f>
        <v>Delivered</v>
      </c>
      <c r="M811" s="2">
        <f>logistics_data[[#This Row],[Cost]]/logistics_data[[#This Row],[Distance_miles]]</f>
        <v>0.13574946004319655</v>
      </c>
      <c r="N811" t="str">
        <f>IF(logistics_data[[#This Row],[Orginal staus of shipment]]&lt;&gt;"Delivered","not applicabel", IF(logistics_data[[#This Row],[Transit_Days]]&gt;=5,"slow","fast"))</f>
        <v>slow</v>
      </c>
    </row>
    <row r="812" spans="1:14" x14ac:dyDescent="0.3">
      <c r="A812" t="s">
        <v>858</v>
      </c>
      <c r="B812" t="s">
        <v>12</v>
      </c>
      <c r="C812" t="s">
        <v>40</v>
      </c>
      <c r="D812" t="s">
        <v>37</v>
      </c>
      <c r="E812" s="1">
        <v>45016</v>
      </c>
      <c r="F812" s="1">
        <v>45019</v>
      </c>
      <c r="G812">
        <v>51.8</v>
      </c>
      <c r="H812">
        <v>231.8</v>
      </c>
      <c r="I812" t="s">
        <v>15</v>
      </c>
      <c r="J812">
        <v>1415</v>
      </c>
      <c r="K812">
        <v>3</v>
      </c>
      <c r="L812" t="str">
        <f>IF(logistics_data[[#This Row],[Delivery_Date]]="","In Transit",
 IF(logistics_data[[#This Row],[Status]]="Lost","Lost",
 IF(logistics_data[[#This Row],[Status]]="Returned","Returned",
 IF(logistics_data[[#This Row],[Status]]="Delayed","Delayed",
 "Delivered"))))</f>
        <v>Delivered</v>
      </c>
      <c r="M812" s="2">
        <f>logistics_data[[#This Row],[Cost]]/logistics_data[[#This Row],[Distance_miles]]</f>
        <v>0.16381625441696113</v>
      </c>
      <c r="N812" t="str">
        <f>IF(logistics_data[[#This Row],[Orginal staus of shipment]]&lt;&gt;"Delivered","not applicabel", IF(logistics_data[[#This Row],[Transit_Days]]&gt;=5,"slow","fast"))</f>
        <v>fast</v>
      </c>
    </row>
    <row r="813" spans="1:14" x14ac:dyDescent="0.3">
      <c r="A813" t="s">
        <v>859</v>
      </c>
      <c r="B813" t="s">
        <v>12</v>
      </c>
      <c r="C813" t="s">
        <v>44</v>
      </c>
      <c r="D813" t="s">
        <v>59</v>
      </c>
      <c r="E813" s="1">
        <v>45177</v>
      </c>
      <c r="F813" s="1">
        <v>45180</v>
      </c>
      <c r="G813">
        <v>24.6</v>
      </c>
      <c r="H813">
        <v>87.65</v>
      </c>
      <c r="I813" t="s">
        <v>62</v>
      </c>
      <c r="J813">
        <v>454</v>
      </c>
      <c r="K813">
        <v>3</v>
      </c>
      <c r="L813" t="str">
        <f>IF(logistics_data[[#This Row],[Delivery_Date]]="","In Transit",
 IF(logistics_data[[#This Row],[Status]]="Lost","Lost",
 IF(logistics_data[[#This Row],[Status]]="Returned","Returned",
 IF(logistics_data[[#This Row],[Status]]="Delayed","Delayed",
 "Delivered"))))</f>
        <v>Delivered</v>
      </c>
      <c r="M813" s="2">
        <f>logistics_data[[#This Row],[Cost]]/logistics_data[[#This Row],[Distance_miles]]</f>
        <v>0.19306167400881058</v>
      </c>
      <c r="N813" t="str">
        <f>IF(logistics_data[[#This Row],[Orginal staus of shipment]]&lt;&gt;"Delivered","not applicabel", IF(logistics_data[[#This Row],[Transit_Days]]&gt;=5,"slow","fast"))</f>
        <v>fast</v>
      </c>
    </row>
    <row r="814" spans="1:14" x14ac:dyDescent="0.3">
      <c r="A814" t="s">
        <v>860</v>
      </c>
      <c r="B814" t="s">
        <v>12</v>
      </c>
      <c r="C814" t="s">
        <v>36</v>
      </c>
      <c r="D814" t="s">
        <v>42</v>
      </c>
      <c r="E814" s="1">
        <v>45232</v>
      </c>
      <c r="F814" s="1">
        <v>45234</v>
      </c>
      <c r="G814">
        <v>18.399999999999999</v>
      </c>
      <c r="H814">
        <v>151.66999999999999</v>
      </c>
      <c r="I814" t="s">
        <v>15</v>
      </c>
      <c r="J814">
        <v>862</v>
      </c>
      <c r="K814">
        <v>2</v>
      </c>
      <c r="L814" t="str">
        <f>IF(logistics_data[[#This Row],[Delivery_Date]]="","In Transit",
 IF(logistics_data[[#This Row],[Status]]="Lost","Lost",
 IF(logistics_data[[#This Row],[Status]]="Returned","Returned",
 IF(logistics_data[[#This Row],[Status]]="Delayed","Delayed",
 "Delivered"))))</f>
        <v>Delivered</v>
      </c>
      <c r="M814" s="2">
        <f>logistics_data[[#This Row],[Cost]]/logistics_data[[#This Row],[Distance_miles]]</f>
        <v>0.17595127610208816</v>
      </c>
      <c r="N814" t="str">
        <f>IF(logistics_data[[#This Row],[Orginal staus of shipment]]&lt;&gt;"Delivered","not applicabel", IF(logistics_data[[#This Row],[Transit_Days]]&gt;=5,"slow","fast"))</f>
        <v>fast</v>
      </c>
    </row>
    <row r="815" spans="1:14" x14ac:dyDescent="0.3">
      <c r="A815" t="s">
        <v>861</v>
      </c>
      <c r="B815" t="s">
        <v>56</v>
      </c>
      <c r="C815" t="s">
        <v>46</v>
      </c>
      <c r="D815" t="s">
        <v>25</v>
      </c>
      <c r="E815" s="1">
        <v>45256</v>
      </c>
      <c r="F815" s="1">
        <v>45262</v>
      </c>
      <c r="G815">
        <v>14.5</v>
      </c>
      <c r="H815">
        <v>301.8</v>
      </c>
      <c r="I815" t="s">
        <v>15</v>
      </c>
      <c r="J815">
        <v>1889</v>
      </c>
      <c r="K815">
        <v>6</v>
      </c>
      <c r="L815" t="str">
        <f>IF(logistics_data[[#This Row],[Delivery_Date]]="","In Transit",
 IF(logistics_data[[#This Row],[Status]]="Lost","Lost",
 IF(logistics_data[[#This Row],[Status]]="Returned","Returned",
 IF(logistics_data[[#This Row],[Status]]="Delayed","Delayed",
 "Delivered"))))</f>
        <v>Delivered</v>
      </c>
      <c r="M815" s="2">
        <f>logistics_data[[#This Row],[Cost]]/logistics_data[[#This Row],[Distance_miles]]</f>
        <v>0.15976707252514558</v>
      </c>
      <c r="N815" t="str">
        <f>IF(logistics_data[[#This Row],[Orginal staus of shipment]]&lt;&gt;"Delivered","not applicabel", IF(logistics_data[[#This Row],[Transit_Days]]&gt;=5,"slow","fast"))</f>
        <v>slow</v>
      </c>
    </row>
    <row r="816" spans="1:14" x14ac:dyDescent="0.3">
      <c r="A816" t="s">
        <v>862</v>
      </c>
      <c r="B816" t="s">
        <v>51</v>
      </c>
      <c r="C816" t="s">
        <v>70</v>
      </c>
      <c r="D816" t="s">
        <v>42</v>
      </c>
      <c r="E816" s="1">
        <v>45157</v>
      </c>
      <c r="F816" s="1">
        <v>45160</v>
      </c>
      <c r="G816">
        <v>14.7</v>
      </c>
      <c r="H816">
        <v>124.34</v>
      </c>
      <c r="I816" t="s">
        <v>15</v>
      </c>
      <c r="J816">
        <v>909</v>
      </c>
      <c r="K816">
        <v>3</v>
      </c>
      <c r="L816" t="str">
        <f>IF(logistics_data[[#This Row],[Delivery_Date]]="","In Transit",
 IF(logistics_data[[#This Row],[Status]]="Lost","Lost",
 IF(logistics_data[[#This Row],[Status]]="Returned","Returned",
 IF(logistics_data[[#This Row],[Status]]="Delayed","Delayed",
 "Delivered"))))</f>
        <v>Delivered</v>
      </c>
      <c r="M816" s="2">
        <f>logistics_data[[#This Row],[Cost]]/logistics_data[[#This Row],[Distance_miles]]</f>
        <v>0.13678767876787679</v>
      </c>
      <c r="N816" t="str">
        <f>IF(logistics_data[[#This Row],[Orginal staus of shipment]]&lt;&gt;"Delivered","not applicabel", IF(logistics_data[[#This Row],[Transit_Days]]&gt;=5,"slow","fast"))</f>
        <v>fast</v>
      </c>
    </row>
    <row r="817" spans="1:14" x14ac:dyDescent="0.3">
      <c r="A817" t="s">
        <v>863</v>
      </c>
      <c r="B817" t="s">
        <v>35</v>
      </c>
      <c r="C817" t="s">
        <v>36</v>
      </c>
      <c r="D817" t="s">
        <v>42</v>
      </c>
      <c r="E817" s="1">
        <v>45194</v>
      </c>
      <c r="F817" s="1">
        <v>45196</v>
      </c>
      <c r="G817">
        <v>46.3</v>
      </c>
      <c r="H817">
        <v>140.84</v>
      </c>
      <c r="I817" t="s">
        <v>15</v>
      </c>
      <c r="J817">
        <v>675</v>
      </c>
      <c r="K817">
        <v>2</v>
      </c>
      <c r="L817" t="str">
        <f>IF(logistics_data[[#This Row],[Delivery_Date]]="","In Transit",
 IF(logistics_data[[#This Row],[Status]]="Lost","Lost",
 IF(logistics_data[[#This Row],[Status]]="Returned","Returned",
 IF(logistics_data[[#This Row],[Status]]="Delayed","Delayed",
 "Delivered"))))</f>
        <v>Delivered</v>
      </c>
      <c r="M817" s="2">
        <f>logistics_data[[#This Row],[Cost]]/logistics_data[[#This Row],[Distance_miles]]</f>
        <v>0.20865185185185187</v>
      </c>
      <c r="N817" t="str">
        <f>IF(logistics_data[[#This Row],[Orginal staus of shipment]]&lt;&gt;"Delivered","not applicabel", IF(logistics_data[[#This Row],[Transit_Days]]&gt;=5,"slow","fast"))</f>
        <v>fast</v>
      </c>
    </row>
    <row r="818" spans="1:14" x14ac:dyDescent="0.3">
      <c r="A818" t="s">
        <v>864</v>
      </c>
      <c r="B818" t="s">
        <v>23</v>
      </c>
      <c r="C818" t="s">
        <v>31</v>
      </c>
      <c r="D818" t="s">
        <v>42</v>
      </c>
      <c r="E818" s="1">
        <v>45254</v>
      </c>
      <c r="F818" s="1">
        <v>45258</v>
      </c>
      <c r="G818">
        <v>17</v>
      </c>
      <c r="H818">
        <v>113.42</v>
      </c>
      <c r="I818" t="s">
        <v>60</v>
      </c>
      <c r="J818">
        <v>677</v>
      </c>
      <c r="K818">
        <v>4</v>
      </c>
      <c r="L818" t="str">
        <f>IF(logistics_data[[#This Row],[Delivery_Date]]="","In Transit",
 IF(logistics_data[[#This Row],[Status]]="Lost","Lost",
 IF(logistics_data[[#This Row],[Status]]="Returned","Returned",
 IF(logistics_data[[#This Row],[Status]]="Delayed","Delayed",
 "Delivered"))))</f>
        <v>Lost</v>
      </c>
      <c r="M818" s="2">
        <f>logistics_data[[#This Row],[Cost]]/logistics_data[[#This Row],[Distance_miles]]</f>
        <v>0.16753323485967503</v>
      </c>
      <c r="N818" t="str">
        <f>IF(logistics_data[[#This Row],[Orginal staus of shipment]]&lt;&gt;"Delivered","not applicabel", IF(logistics_data[[#This Row],[Transit_Days]]&gt;=5,"slow","fast"))</f>
        <v>not applicabel</v>
      </c>
    </row>
    <row r="819" spans="1:14" x14ac:dyDescent="0.3">
      <c r="A819" t="s">
        <v>865</v>
      </c>
      <c r="B819" t="s">
        <v>30</v>
      </c>
      <c r="C819" t="s">
        <v>52</v>
      </c>
      <c r="D819" t="s">
        <v>59</v>
      </c>
      <c r="E819" s="1">
        <v>45237</v>
      </c>
      <c r="F819" s="1">
        <v>45242</v>
      </c>
      <c r="G819">
        <v>36.1</v>
      </c>
      <c r="H819">
        <v>234.42</v>
      </c>
      <c r="I819" t="s">
        <v>15</v>
      </c>
      <c r="J819">
        <v>1315</v>
      </c>
      <c r="K819">
        <v>5</v>
      </c>
      <c r="L819" t="str">
        <f>IF(logistics_data[[#This Row],[Delivery_Date]]="","In Transit",
 IF(logistics_data[[#This Row],[Status]]="Lost","Lost",
 IF(logistics_data[[#This Row],[Status]]="Returned","Returned",
 IF(logistics_data[[#This Row],[Status]]="Delayed","Delayed",
 "Delivered"))))</f>
        <v>Delivered</v>
      </c>
      <c r="M819" s="2">
        <f>logistics_data[[#This Row],[Cost]]/logistics_data[[#This Row],[Distance_miles]]</f>
        <v>0.17826615969581749</v>
      </c>
      <c r="N819" t="str">
        <f>IF(logistics_data[[#This Row],[Orginal staus of shipment]]&lt;&gt;"Delivered","not applicabel", IF(logistics_data[[#This Row],[Transit_Days]]&gt;=5,"slow","fast"))</f>
        <v>slow</v>
      </c>
    </row>
    <row r="820" spans="1:14" x14ac:dyDescent="0.3">
      <c r="A820" t="s">
        <v>866</v>
      </c>
      <c r="B820" t="s">
        <v>35</v>
      </c>
      <c r="C820" t="s">
        <v>24</v>
      </c>
      <c r="D820" t="s">
        <v>42</v>
      </c>
      <c r="E820" s="1">
        <v>45190</v>
      </c>
      <c r="F820" s="1">
        <v>45192</v>
      </c>
      <c r="G820">
        <v>57.5</v>
      </c>
      <c r="H820">
        <v>82.81</v>
      </c>
      <c r="I820" t="s">
        <v>15</v>
      </c>
      <c r="J820">
        <v>105</v>
      </c>
      <c r="K820">
        <v>2</v>
      </c>
      <c r="L820" t="str">
        <f>IF(logistics_data[[#This Row],[Delivery_Date]]="","In Transit",
 IF(logistics_data[[#This Row],[Status]]="Lost","Lost",
 IF(logistics_data[[#This Row],[Status]]="Returned","Returned",
 IF(logistics_data[[#This Row],[Status]]="Delayed","Delayed",
 "Delivered"))))</f>
        <v>Delivered</v>
      </c>
      <c r="M820" s="2">
        <f>logistics_data[[#This Row],[Cost]]/logistics_data[[#This Row],[Distance_miles]]</f>
        <v>0.78866666666666674</v>
      </c>
      <c r="N820" t="str">
        <f>IF(logistics_data[[#This Row],[Orginal staus of shipment]]&lt;&gt;"Delivered","not applicabel", IF(logistics_data[[#This Row],[Transit_Days]]&gt;=5,"slow","fast"))</f>
        <v>fast</v>
      </c>
    </row>
    <row r="821" spans="1:14" x14ac:dyDescent="0.3">
      <c r="A821" t="s">
        <v>867</v>
      </c>
      <c r="B821" t="s">
        <v>20</v>
      </c>
      <c r="C821" t="s">
        <v>31</v>
      </c>
      <c r="D821" t="s">
        <v>59</v>
      </c>
      <c r="E821" s="1">
        <v>45243</v>
      </c>
      <c r="F821" s="1">
        <v>45248</v>
      </c>
      <c r="G821">
        <v>25.2</v>
      </c>
      <c r="H821">
        <v>283.73</v>
      </c>
      <c r="I821" t="s">
        <v>15</v>
      </c>
      <c r="J821">
        <v>1791</v>
      </c>
      <c r="K821">
        <v>5</v>
      </c>
      <c r="L821" t="str">
        <f>IF(logistics_data[[#This Row],[Delivery_Date]]="","In Transit",
 IF(logistics_data[[#This Row],[Status]]="Lost","Lost",
 IF(logistics_data[[#This Row],[Status]]="Returned","Returned",
 IF(logistics_data[[#This Row],[Status]]="Delayed","Delayed",
 "Delivered"))))</f>
        <v>Delivered</v>
      </c>
      <c r="M821" s="2">
        <f>logistics_data[[#This Row],[Cost]]/logistics_data[[#This Row],[Distance_miles]]</f>
        <v>0.15841987716359576</v>
      </c>
      <c r="N821" t="str">
        <f>IF(logistics_data[[#This Row],[Orginal staus of shipment]]&lt;&gt;"Delivered","not applicabel", IF(logistics_data[[#This Row],[Transit_Days]]&gt;=5,"slow","fast"))</f>
        <v>slow</v>
      </c>
    </row>
    <row r="822" spans="1:14" x14ac:dyDescent="0.3">
      <c r="A822" t="s">
        <v>868</v>
      </c>
      <c r="B822" t="s">
        <v>39</v>
      </c>
      <c r="C822" t="s">
        <v>21</v>
      </c>
      <c r="D822" t="s">
        <v>59</v>
      </c>
      <c r="E822" s="1">
        <v>45131</v>
      </c>
      <c r="F822" s="1">
        <v>45136</v>
      </c>
      <c r="G822">
        <v>97.3</v>
      </c>
      <c r="H822">
        <v>286.39</v>
      </c>
      <c r="I822" t="s">
        <v>15</v>
      </c>
      <c r="J822">
        <v>1778</v>
      </c>
      <c r="K822">
        <v>5</v>
      </c>
      <c r="L822" t="str">
        <f>IF(logistics_data[[#This Row],[Delivery_Date]]="","In Transit",
 IF(logistics_data[[#This Row],[Status]]="Lost","Lost",
 IF(logistics_data[[#This Row],[Status]]="Returned","Returned",
 IF(logistics_data[[#This Row],[Status]]="Delayed","Delayed",
 "Delivered"))))</f>
        <v>Delivered</v>
      </c>
      <c r="M822" s="2">
        <f>logistics_data[[#This Row],[Cost]]/logistics_data[[#This Row],[Distance_miles]]</f>
        <v>0.16107424071991</v>
      </c>
      <c r="N822" t="str">
        <f>IF(logistics_data[[#This Row],[Orginal staus of shipment]]&lt;&gt;"Delivered","not applicabel", IF(logistics_data[[#This Row],[Transit_Days]]&gt;=5,"slow","fast"))</f>
        <v>slow</v>
      </c>
    </row>
    <row r="823" spans="1:14" x14ac:dyDescent="0.3">
      <c r="A823" t="s">
        <v>869</v>
      </c>
      <c r="B823" t="s">
        <v>30</v>
      </c>
      <c r="C823" t="s">
        <v>54</v>
      </c>
      <c r="D823" t="s">
        <v>59</v>
      </c>
      <c r="E823" s="1">
        <v>44997</v>
      </c>
      <c r="F823" s="1">
        <v>44999</v>
      </c>
      <c r="G823">
        <v>7.3</v>
      </c>
      <c r="H823">
        <v>35.270000000000003</v>
      </c>
      <c r="I823" t="s">
        <v>15</v>
      </c>
      <c r="J823">
        <v>209</v>
      </c>
      <c r="K823">
        <v>2</v>
      </c>
      <c r="L823" t="str">
        <f>IF(logistics_data[[#This Row],[Delivery_Date]]="","In Transit",
 IF(logistics_data[[#This Row],[Status]]="Lost","Lost",
 IF(logistics_data[[#This Row],[Status]]="Returned","Returned",
 IF(logistics_data[[#This Row],[Status]]="Delayed","Delayed",
 "Delivered"))))</f>
        <v>Delivered</v>
      </c>
      <c r="M823" s="2">
        <f>logistics_data[[#This Row],[Cost]]/logistics_data[[#This Row],[Distance_miles]]</f>
        <v>0.16875598086124402</v>
      </c>
      <c r="N823" t="str">
        <f>IF(logistics_data[[#This Row],[Orginal staus of shipment]]&lt;&gt;"Delivered","not applicabel", IF(logistics_data[[#This Row],[Transit_Days]]&gt;=5,"slow","fast"))</f>
        <v>fast</v>
      </c>
    </row>
    <row r="824" spans="1:14" x14ac:dyDescent="0.3">
      <c r="A824" t="s">
        <v>870</v>
      </c>
      <c r="B824" t="s">
        <v>51</v>
      </c>
      <c r="C824" t="s">
        <v>28</v>
      </c>
      <c r="D824" t="s">
        <v>25</v>
      </c>
      <c r="E824" s="1">
        <v>45077</v>
      </c>
      <c r="F824" s="1">
        <v>45081</v>
      </c>
      <c r="G824">
        <v>21.4</v>
      </c>
      <c r="H824">
        <v>73.84</v>
      </c>
      <c r="I824" t="s">
        <v>15</v>
      </c>
      <c r="J824">
        <v>350</v>
      </c>
      <c r="K824">
        <v>4</v>
      </c>
      <c r="L824" t="str">
        <f>IF(logistics_data[[#This Row],[Delivery_Date]]="","In Transit",
 IF(logistics_data[[#This Row],[Status]]="Lost","Lost",
 IF(logistics_data[[#This Row],[Status]]="Returned","Returned",
 IF(logistics_data[[#This Row],[Status]]="Delayed","Delayed",
 "Delivered"))))</f>
        <v>Delivered</v>
      </c>
      <c r="M824" s="2">
        <f>logistics_data[[#This Row],[Cost]]/logistics_data[[#This Row],[Distance_miles]]</f>
        <v>0.21097142857142859</v>
      </c>
      <c r="N824" t="str">
        <f>IF(logistics_data[[#This Row],[Orginal staus of shipment]]&lt;&gt;"Delivered","not applicabel", IF(logistics_data[[#This Row],[Transit_Days]]&gt;=5,"slow","fast"))</f>
        <v>fast</v>
      </c>
    </row>
    <row r="825" spans="1:14" x14ac:dyDescent="0.3">
      <c r="A825" t="s">
        <v>871</v>
      </c>
      <c r="B825" t="s">
        <v>56</v>
      </c>
      <c r="C825" t="s">
        <v>57</v>
      </c>
      <c r="D825" t="s">
        <v>18</v>
      </c>
      <c r="E825" s="1">
        <v>44944</v>
      </c>
      <c r="F825" s="1">
        <v>44950</v>
      </c>
      <c r="G825">
        <v>50.2</v>
      </c>
      <c r="H825">
        <v>326.57</v>
      </c>
      <c r="I825" t="s">
        <v>15</v>
      </c>
      <c r="J825">
        <v>1802</v>
      </c>
      <c r="K825">
        <v>6</v>
      </c>
      <c r="L825" t="str">
        <f>IF(logistics_data[[#This Row],[Delivery_Date]]="","In Transit",
 IF(logistics_data[[#This Row],[Status]]="Lost","Lost",
 IF(logistics_data[[#This Row],[Status]]="Returned","Returned",
 IF(logistics_data[[#This Row],[Status]]="Delayed","Delayed",
 "Delivered"))))</f>
        <v>Delivered</v>
      </c>
      <c r="M825" s="2">
        <f>logistics_data[[#This Row],[Cost]]/logistics_data[[#This Row],[Distance_miles]]</f>
        <v>0.18122641509433962</v>
      </c>
      <c r="N825" t="str">
        <f>IF(logistics_data[[#This Row],[Orginal staus of shipment]]&lt;&gt;"Delivered","not applicabel", IF(logistics_data[[#This Row],[Transit_Days]]&gt;=5,"slow","fast"))</f>
        <v>slow</v>
      </c>
    </row>
    <row r="826" spans="1:14" x14ac:dyDescent="0.3">
      <c r="A826" t="s">
        <v>872</v>
      </c>
      <c r="B826" t="s">
        <v>30</v>
      </c>
      <c r="C826" t="s">
        <v>57</v>
      </c>
      <c r="D826" t="s">
        <v>59</v>
      </c>
      <c r="E826" s="1">
        <v>45218</v>
      </c>
      <c r="F826" s="1">
        <v>45221</v>
      </c>
      <c r="G826">
        <v>5.8</v>
      </c>
      <c r="H826">
        <v>120.42</v>
      </c>
      <c r="I826" t="s">
        <v>15</v>
      </c>
      <c r="J826">
        <v>1093</v>
      </c>
      <c r="K826">
        <v>3</v>
      </c>
      <c r="L826" t="str">
        <f>IF(logistics_data[[#This Row],[Delivery_Date]]="","In Transit",
 IF(logistics_data[[#This Row],[Status]]="Lost","Lost",
 IF(logistics_data[[#This Row],[Status]]="Returned","Returned",
 IF(logistics_data[[#This Row],[Status]]="Delayed","Delayed",
 "Delivered"))))</f>
        <v>Delivered</v>
      </c>
      <c r="M826" s="2">
        <f>logistics_data[[#This Row],[Cost]]/logistics_data[[#This Row],[Distance_miles]]</f>
        <v>0.11017383348581884</v>
      </c>
      <c r="N826" t="str">
        <f>IF(logistics_data[[#This Row],[Orginal staus of shipment]]&lt;&gt;"Delivered","not applicabel", IF(logistics_data[[#This Row],[Transit_Days]]&gt;=5,"slow","fast"))</f>
        <v>fast</v>
      </c>
    </row>
    <row r="827" spans="1:14" x14ac:dyDescent="0.3">
      <c r="A827" t="s">
        <v>873</v>
      </c>
      <c r="B827" t="s">
        <v>51</v>
      </c>
      <c r="C827" t="s">
        <v>17</v>
      </c>
      <c r="D827" t="s">
        <v>32</v>
      </c>
      <c r="E827" s="1">
        <v>45243</v>
      </c>
      <c r="F827" s="1">
        <v>45249</v>
      </c>
      <c r="G827">
        <v>9.6999999999999993</v>
      </c>
      <c r="H827">
        <v>162.41999999999999</v>
      </c>
      <c r="I827" t="s">
        <v>15</v>
      </c>
      <c r="J827">
        <v>870</v>
      </c>
      <c r="K827">
        <v>6</v>
      </c>
      <c r="L827" t="str">
        <f>IF(logistics_data[[#This Row],[Delivery_Date]]="","In Transit",
 IF(logistics_data[[#This Row],[Status]]="Lost","Lost",
 IF(logistics_data[[#This Row],[Status]]="Returned","Returned",
 IF(logistics_data[[#This Row],[Status]]="Delayed","Delayed",
 "Delivered"))))</f>
        <v>Delivered</v>
      </c>
      <c r="M827" s="2">
        <f>logistics_data[[#This Row],[Cost]]/logistics_data[[#This Row],[Distance_miles]]</f>
        <v>0.18668965517241379</v>
      </c>
      <c r="N827" t="str">
        <f>IF(logistics_data[[#This Row],[Orginal staus of shipment]]&lt;&gt;"Delivered","not applicabel", IF(logistics_data[[#This Row],[Transit_Days]]&gt;=5,"slow","fast"))</f>
        <v>slow</v>
      </c>
    </row>
    <row r="828" spans="1:14" x14ac:dyDescent="0.3">
      <c r="A828" t="s">
        <v>874</v>
      </c>
      <c r="B828" t="s">
        <v>20</v>
      </c>
      <c r="C828" t="s">
        <v>70</v>
      </c>
      <c r="D828" t="s">
        <v>32</v>
      </c>
      <c r="E828" s="1">
        <v>45179</v>
      </c>
      <c r="F828" s="1">
        <v>45183</v>
      </c>
      <c r="G828">
        <v>39.1</v>
      </c>
      <c r="H828">
        <v>277.98</v>
      </c>
      <c r="I828" t="s">
        <v>15</v>
      </c>
      <c r="J828">
        <v>1645</v>
      </c>
      <c r="K828">
        <v>4</v>
      </c>
      <c r="L828" t="str">
        <f>IF(logistics_data[[#This Row],[Delivery_Date]]="","In Transit",
 IF(logistics_data[[#This Row],[Status]]="Lost","Lost",
 IF(logistics_data[[#This Row],[Status]]="Returned","Returned",
 IF(logistics_data[[#This Row],[Status]]="Delayed","Delayed",
 "Delivered"))))</f>
        <v>Delivered</v>
      </c>
      <c r="M828" s="2">
        <f>logistics_data[[#This Row],[Cost]]/logistics_data[[#This Row],[Distance_miles]]</f>
        <v>0.16898480243161096</v>
      </c>
      <c r="N828" t="str">
        <f>IF(logistics_data[[#This Row],[Orginal staus of shipment]]&lt;&gt;"Delivered","not applicabel", IF(logistics_data[[#This Row],[Transit_Days]]&gt;=5,"slow","fast"))</f>
        <v>fast</v>
      </c>
    </row>
    <row r="829" spans="1:14" x14ac:dyDescent="0.3">
      <c r="A829" t="s">
        <v>875</v>
      </c>
      <c r="B829" t="s">
        <v>51</v>
      </c>
      <c r="C829" t="s">
        <v>40</v>
      </c>
      <c r="D829" t="s">
        <v>18</v>
      </c>
      <c r="E829" s="1">
        <v>45162</v>
      </c>
      <c r="F829" s="1">
        <v>45164</v>
      </c>
      <c r="G829">
        <v>27.7</v>
      </c>
      <c r="H829">
        <v>51.34</v>
      </c>
      <c r="I829" t="s">
        <v>15</v>
      </c>
      <c r="J829">
        <v>121</v>
      </c>
      <c r="K829">
        <v>2</v>
      </c>
      <c r="L829" t="str">
        <f>IF(logistics_data[[#This Row],[Delivery_Date]]="","In Transit",
 IF(logistics_data[[#This Row],[Status]]="Lost","Lost",
 IF(logistics_data[[#This Row],[Status]]="Returned","Returned",
 IF(logistics_data[[#This Row],[Status]]="Delayed","Delayed",
 "Delivered"))))</f>
        <v>Delivered</v>
      </c>
      <c r="M829" s="2">
        <f>logistics_data[[#This Row],[Cost]]/logistics_data[[#This Row],[Distance_miles]]</f>
        <v>0.42429752066115706</v>
      </c>
      <c r="N829" t="str">
        <f>IF(logistics_data[[#This Row],[Orginal staus of shipment]]&lt;&gt;"Delivered","not applicabel", IF(logistics_data[[#This Row],[Transit_Days]]&gt;=5,"slow","fast"))</f>
        <v>fast</v>
      </c>
    </row>
    <row r="830" spans="1:14" x14ac:dyDescent="0.3">
      <c r="A830" t="s">
        <v>876</v>
      </c>
      <c r="B830" t="s">
        <v>39</v>
      </c>
      <c r="C830" t="s">
        <v>17</v>
      </c>
      <c r="D830" t="s">
        <v>59</v>
      </c>
      <c r="E830" s="1">
        <v>44942</v>
      </c>
      <c r="F830" s="1">
        <v>44944</v>
      </c>
      <c r="G830">
        <v>38.4</v>
      </c>
      <c r="H830">
        <v>125.03</v>
      </c>
      <c r="I830" t="s">
        <v>15</v>
      </c>
      <c r="J830">
        <v>800</v>
      </c>
      <c r="K830">
        <v>2</v>
      </c>
      <c r="L830" t="str">
        <f>IF(logistics_data[[#This Row],[Delivery_Date]]="","In Transit",
 IF(logistics_data[[#This Row],[Status]]="Lost","Lost",
 IF(logistics_data[[#This Row],[Status]]="Returned","Returned",
 IF(logistics_data[[#This Row],[Status]]="Delayed","Delayed",
 "Delivered"))))</f>
        <v>Delivered</v>
      </c>
      <c r="M830" s="2">
        <f>logistics_data[[#This Row],[Cost]]/logistics_data[[#This Row],[Distance_miles]]</f>
        <v>0.1562875</v>
      </c>
      <c r="N830" t="str">
        <f>IF(logistics_data[[#This Row],[Orginal staus of shipment]]&lt;&gt;"Delivered","not applicabel", IF(logistics_data[[#This Row],[Transit_Days]]&gt;=5,"slow","fast"))</f>
        <v>fast</v>
      </c>
    </row>
    <row r="831" spans="1:14" x14ac:dyDescent="0.3">
      <c r="A831" t="s">
        <v>877</v>
      </c>
      <c r="B831" t="s">
        <v>35</v>
      </c>
      <c r="C831" t="s">
        <v>40</v>
      </c>
      <c r="D831" t="s">
        <v>25</v>
      </c>
      <c r="E831" s="1">
        <v>44960</v>
      </c>
      <c r="F831" s="1">
        <v>44961</v>
      </c>
      <c r="G831">
        <v>0</v>
      </c>
      <c r="H831">
        <v>35.85</v>
      </c>
      <c r="I831" t="s">
        <v>15</v>
      </c>
      <c r="J831">
        <v>283</v>
      </c>
      <c r="K831">
        <v>1</v>
      </c>
      <c r="L831" t="str">
        <f>IF(logistics_data[[#This Row],[Delivery_Date]]="","In Transit",
 IF(logistics_data[[#This Row],[Status]]="Lost","Lost",
 IF(logistics_data[[#This Row],[Status]]="Returned","Returned",
 IF(logistics_data[[#This Row],[Status]]="Delayed","Delayed",
 "Delivered"))))</f>
        <v>Delivered</v>
      </c>
      <c r="M831" s="2">
        <f>logistics_data[[#This Row],[Cost]]/logistics_data[[#This Row],[Distance_miles]]</f>
        <v>0.126678445229682</v>
      </c>
      <c r="N831" t="str">
        <f>IF(logistics_data[[#This Row],[Orginal staus of shipment]]&lt;&gt;"Delivered","not applicabel", IF(logistics_data[[#This Row],[Transit_Days]]&gt;=5,"slow","fast"))</f>
        <v>fast</v>
      </c>
    </row>
    <row r="832" spans="1:14" x14ac:dyDescent="0.3">
      <c r="A832" t="s">
        <v>878</v>
      </c>
      <c r="B832" t="s">
        <v>39</v>
      </c>
      <c r="C832" t="s">
        <v>57</v>
      </c>
      <c r="D832" t="s">
        <v>25</v>
      </c>
      <c r="E832" s="1">
        <v>44990</v>
      </c>
      <c r="F832" s="1">
        <v>44991</v>
      </c>
      <c r="G832">
        <v>12.8</v>
      </c>
      <c r="H832">
        <v>41.3</v>
      </c>
      <c r="I832" t="s">
        <v>15</v>
      </c>
      <c r="J832">
        <v>205</v>
      </c>
      <c r="K832">
        <v>1</v>
      </c>
      <c r="L832" t="str">
        <f>IF(logistics_data[[#This Row],[Delivery_Date]]="","In Transit",
 IF(logistics_data[[#This Row],[Status]]="Lost","Lost",
 IF(logistics_data[[#This Row],[Status]]="Returned","Returned",
 IF(logistics_data[[#This Row],[Status]]="Delayed","Delayed",
 "Delivered"))))</f>
        <v>Delivered</v>
      </c>
      <c r="M832" s="2">
        <f>logistics_data[[#This Row],[Cost]]/logistics_data[[#This Row],[Distance_miles]]</f>
        <v>0.20146341463414633</v>
      </c>
      <c r="N832" t="str">
        <f>IF(logistics_data[[#This Row],[Orginal staus of shipment]]&lt;&gt;"Delivered","not applicabel", IF(logistics_data[[#This Row],[Transit_Days]]&gt;=5,"slow","fast"))</f>
        <v>fast</v>
      </c>
    </row>
    <row r="833" spans="1:14" x14ac:dyDescent="0.3">
      <c r="A833" t="s">
        <v>879</v>
      </c>
      <c r="B833" t="s">
        <v>35</v>
      </c>
      <c r="C833" t="s">
        <v>44</v>
      </c>
      <c r="D833" t="s">
        <v>59</v>
      </c>
      <c r="E833" s="1">
        <v>45038</v>
      </c>
      <c r="F833" s="1">
        <v>45042</v>
      </c>
      <c r="G833">
        <v>42.2</v>
      </c>
      <c r="H833">
        <v>271.44</v>
      </c>
      <c r="I833" t="s">
        <v>15</v>
      </c>
      <c r="J833">
        <v>1943</v>
      </c>
      <c r="K833">
        <v>4</v>
      </c>
      <c r="L833" t="str">
        <f>IF(logistics_data[[#This Row],[Delivery_Date]]="","In Transit",
 IF(logistics_data[[#This Row],[Status]]="Lost","Lost",
 IF(logistics_data[[#This Row],[Status]]="Returned","Returned",
 IF(logistics_data[[#This Row],[Status]]="Delayed","Delayed",
 "Delivered"))))</f>
        <v>Delivered</v>
      </c>
      <c r="M833" s="2">
        <f>logistics_data[[#This Row],[Cost]]/logistics_data[[#This Row],[Distance_miles]]</f>
        <v>0.13970149253731343</v>
      </c>
      <c r="N833" t="str">
        <f>IF(logistics_data[[#This Row],[Orginal staus of shipment]]&lt;&gt;"Delivered","not applicabel", IF(logistics_data[[#This Row],[Transit_Days]]&gt;=5,"slow","fast"))</f>
        <v>fast</v>
      </c>
    </row>
    <row r="834" spans="1:14" x14ac:dyDescent="0.3">
      <c r="A834" t="s">
        <v>880</v>
      </c>
      <c r="B834" t="s">
        <v>20</v>
      </c>
      <c r="C834" t="s">
        <v>21</v>
      </c>
      <c r="D834" t="s">
        <v>37</v>
      </c>
      <c r="E834" s="1">
        <v>45176</v>
      </c>
      <c r="F834" s="1">
        <v>45179</v>
      </c>
      <c r="G834">
        <v>13.3</v>
      </c>
      <c r="H834">
        <v>179.74</v>
      </c>
      <c r="I834" t="s">
        <v>15</v>
      </c>
      <c r="J834">
        <v>1317</v>
      </c>
      <c r="K834">
        <v>3</v>
      </c>
      <c r="L834" t="str">
        <f>IF(logistics_data[[#This Row],[Delivery_Date]]="","In Transit",
 IF(logistics_data[[#This Row],[Status]]="Lost","Lost",
 IF(logistics_data[[#This Row],[Status]]="Returned","Returned",
 IF(logistics_data[[#This Row],[Status]]="Delayed","Delayed",
 "Delivered"))))</f>
        <v>Delivered</v>
      </c>
      <c r="M834" s="2">
        <f>logistics_data[[#This Row],[Cost]]/logistics_data[[#This Row],[Distance_miles]]</f>
        <v>0.13647684130599849</v>
      </c>
      <c r="N834" t="str">
        <f>IF(logistics_data[[#This Row],[Orginal staus of shipment]]&lt;&gt;"Delivered","not applicabel", IF(logistics_data[[#This Row],[Transit_Days]]&gt;=5,"slow","fast"))</f>
        <v>fast</v>
      </c>
    </row>
    <row r="835" spans="1:14" x14ac:dyDescent="0.3">
      <c r="A835" t="s">
        <v>881</v>
      </c>
      <c r="B835" t="s">
        <v>12</v>
      </c>
      <c r="C835" t="s">
        <v>31</v>
      </c>
      <c r="D835" t="s">
        <v>18</v>
      </c>
      <c r="E835" s="1">
        <v>45117</v>
      </c>
      <c r="F835" s="1">
        <v>45118</v>
      </c>
      <c r="G835">
        <v>12.4</v>
      </c>
      <c r="H835">
        <v>47.25</v>
      </c>
      <c r="I835" t="s">
        <v>15</v>
      </c>
      <c r="J835">
        <v>237</v>
      </c>
      <c r="K835">
        <v>1</v>
      </c>
      <c r="L835" t="str">
        <f>IF(logistics_data[[#This Row],[Delivery_Date]]="","In Transit",
 IF(logistics_data[[#This Row],[Status]]="Lost","Lost",
 IF(logistics_data[[#This Row],[Status]]="Returned","Returned",
 IF(logistics_data[[#This Row],[Status]]="Delayed","Delayed",
 "Delivered"))))</f>
        <v>Delivered</v>
      </c>
      <c r="M835" s="2">
        <f>logistics_data[[#This Row],[Cost]]/logistics_data[[#This Row],[Distance_miles]]</f>
        <v>0.19936708860759494</v>
      </c>
      <c r="N835" t="str">
        <f>IF(logistics_data[[#This Row],[Orginal staus of shipment]]&lt;&gt;"Delivered","not applicabel", IF(logistics_data[[#This Row],[Transit_Days]]&gt;=5,"slow","fast"))</f>
        <v>fast</v>
      </c>
    </row>
    <row r="836" spans="1:14" x14ac:dyDescent="0.3">
      <c r="A836" t="s">
        <v>882</v>
      </c>
      <c r="B836" t="s">
        <v>23</v>
      </c>
      <c r="C836" t="s">
        <v>40</v>
      </c>
      <c r="D836" t="s">
        <v>59</v>
      </c>
      <c r="E836" s="1">
        <v>44982</v>
      </c>
      <c r="F836" s="1">
        <v>44984</v>
      </c>
      <c r="G836">
        <v>12.2</v>
      </c>
      <c r="H836">
        <v>70.06</v>
      </c>
      <c r="I836" t="s">
        <v>15</v>
      </c>
      <c r="J836">
        <v>489</v>
      </c>
      <c r="K836">
        <v>2</v>
      </c>
      <c r="L836" t="str">
        <f>IF(logistics_data[[#This Row],[Delivery_Date]]="","In Transit",
 IF(logistics_data[[#This Row],[Status]]="Lost","Lost",
 IF(logistics_data[[#This Row],[Status]]="Returned","Returned",
 IF(logistics_data[[#This Row],[Status]]="Delayed","Delayed",
 "Delivered"))))</f>
        <v>Delivered</v>
      </c>
      <c r="M836" s="2">
        <f>logistics_data[[#This Row],[Cost]]/logistics_data[[#This Row],[Distance_miles]]</f>
        <v>0.14327198364008181</v>
      </c>
      <c r="N836" t="str">
        <f>IF(logistics_data[[#This Row],[Orginal staus of shipment]]&lt;&gt;"Delivered","not applicabel", IF(logistics_data[[#This Row],[Transit_Days]]&gt;=5,"slow","fast"))</f>
        <v>fast</v>
      </c>
    </row>
    <row r="837" spans="1:14" x14ac:dyDescent="0.3">
      <c r="A837" t="s">
        <v>883</v>
      </c>
      <c r="B837" t="s">
        <v>35</v>
      </c>
      <c r="C837" t="s">
        <v>52</v>
      </c>
      <c r="D837" t="s">
        <v>42</v>
      </c>
      <c r="E837" s="1">
        <v>45097</v>
      </c>
      <c r="F837" s="1">
        <v>45101</v>
      </c>
      <c r="G837">
        <v>28.6</v>
      </c>
      <c r="H837">
        <v>223.2</v>
      </c>
      <c r="I837" t="s">
        <v>15</v>
      </c>
      <c r="J837">
        <v>1752</v>
      </c>
      <c r="K837">
        <v>4</v>
      </c>
      <c r="L837" t="str">
        <f>IF(logistics_data[[#This Row],[Delivery_Date]]="","In Transit",
 IF(logistics_data[[#This Row],[Status]]="Lost","Lost",
 IF(logistics_data[[#This Row],[Status]]="Returned","Returned",
 IF(logistics_data[[#This Row],[Status]]="Delayed","Delayed",
 "Delivered"))))</f>
        <v>Delivered</v>
      </c>
      <c r="M837" s="2">
        <f>logistics_data[[#This Row],[Cost]]/logistics_data[[#This Row],[Distance_miles]]</f>
        <v>0.12739726027397261</v>
      </c>
      <c r="N837" t="str">
        <f>IF(logistics_data[[#This Row],[Orginal staus of shipment]]&lt;&gt;"Delivered","not applicabel", IF(logistics_data[[#This Row],[Transit_Days]]&gt;=5,"slow","fast"))</f>
        <v>fast</v>
      </c>
    </row>
    <row r="838" spans="1:14" x14ac:dyDescent="0.3">
      <c r="A838" t="s">
        <v>884</v>
      </c>
      <c r="B838" t="s">
        <v>35</v>
      </c>
      <c r="C838" t="s">
        <v>54</v>
      </c>
      <c r="D838" t="s">
        <v>32</v>
      </c>
      <c r="E838" s="1">
        <v>45068</v>
      </c>
      <c r="F838" s="1">
        <v>45071</v>
      </c>
      <c r="G838">
        <v>12.3</v>
      </c>
      <c r="H838">
        <v>199.26</v>
      </c>
      <c r="I838" t="s">
        <v>15</v>
      </c>
      <c r="J838">
        <v>1350</v>
      </c>
      <c r="K838">
        <v>3</v>
      </c>
      <c r="L838" t="str">
        <f>IF(logistics_data[[#This Row],[Delivery_Date]]="","In Transit",
 IF(logistics_data[[#This Row],[Status]]="Lost","Lost",
 IF(logistics_data[[#This Row],[Status]]="Returned","Returned",
 IF(logistics_data[[#This Row],[Status]]="Delayed","Delayed",
 "Delivered"))))</f>
        <v>Delivered</v>
      </c>
      <c r="M838" s="2">
        <f>logistics_data[[#This Row],[Cost]]/logistics_data[[#This Row],[Distance_miles]]</f>
        <v>0.14759999999999998</v>
      </c>
      <c r="N838" t="str">
        <f>IF(logistics_data[[#This Row],[Orginal staus of shipment]]&lt;&gt;"Delivered","not applicabel", IF(logistics_data[[#This Row],[Transit_Days]]&gt;=5,"slow","fast"))</f>
        <v>fast</v>
      </c>
    </row>
    <row r="839" spans="1:14" x14ac:dyDescent="0.3">
      <c r="A839" t="s">
        <v>885</v>
      </c>
      <c r="B839" t="s">
        <v>56</v>
      </c>
      <c r="C839" t="s">
        <v>13</v>
      </c>
      <c r="D839" t="s">
        <v>59</v>
      </c>
      <c r="E839" s="1">
        <v>45089</v>
      </c>
      <c r="F839" s="1">
        <v>45093</v>
      </c>
      <c r="G839">
        <v>7.5</v>
      </c>
      <c r="H839">
        <v>165.29</v>
      </c>
      <c r="I839" t="s">
        <v>15</v>
      </c>
      <c r="J839">
        <v>1323</v>
      </c>
      <c r="K839">
        <v>4</v>
      </c>
      <c r="L839" t="str">
        <f>IF(logistics_data[[#This Row],[Delivery_Date]]="","In Transit",
 IF(logistics_data[[#This Row],[Status]]="Lost","Lost",
 IF(logistics_data[[#This Row],[Status]]="Returned","Returned",
 IF(logistics_data[[#This Row],[Status]]="Delayed","Delayed",
 "Delivered"))))</f>
        <v>Delivered</v>
      </c>
      <c r="M839" s="2">
        <f>logistics_data[[#This Row],[Cost]]/logistics_data[[#This Row],[Distance_miles]]</f>
        <v>0.12493575207860921</v>
      </c>
      <c r="N839" t="str">
        <f>IF(logistics_data[[#This Row],[Orginal staus of shipment]]&lt;&gt;"Delivered","not applicabel", IF(logistics_data[[#This Row],[Transit_Days]]&gt;=5,"slow","fast"))</f>
        <v>fast</v>
      </c>
    </row>
    <row r="840" spans="1:14" x14ac:dyDescent="0.3">
      <c r="A840" t="s">
        <v>886</v>
      </c>
      <c r="B840" t="s">
        <v>23</v>
      </c>
      <c r="C840" t="s">
        <v>13</v>
      </c>
      <c r="D840" t="s">
        <v>25</v>
      </c>
      <c r="E840" s="1">
        <v>45157</v>
      </c>
      <c r="F840" s="1">
        <v>45163</v>
      </c>
      <c r="G840">
        <v>10.4</v>
      </c>
      <c r="H840">
        <v>45.53</v>
      </c>
      <c r="I840" t="s">
        <v>15</v>
      </c>
      <c r="J840">
        <v>255</v>
      </c>
      <c r="K840">
        <v>6</v>
      </c>
      <c r="L840" t="str">
        <f>IF(logistics_data[[#This Row],[Delivery_Date]]="","In Transit",
 IF(logistics_data[[#This Row],[Status]]="Lost","Lost",
 IF(logistics_data[[#This Row],[Status]]="Returned","Returned",
 IF(logistics_data[[#This Row],[Status]]="Delayed","Delayed",
 "Delivered"))))</f>
        <v>Delivered</v>
      </c>
      <c r="M840" s="2">
        <f>logistics_data[[#This Row],[Cost]]/logistics_data[[#This Row],[Distance_miles]]</f>
        <v>0.17854901960784314</v>
      </c>
      <c r="N840" t="str">
        <f>IF(logistics_data[[#This Row],[Orginal staus of shipment]]&lt;&gt;"Delivered","not applicabel", IF(logistics_data[[#This Row],[Transit_Days]]&gt;=5,"slow","fast"))</f>
        <v>slow</v>
      </c>
    </row>
    <row r="841" spans="1:14" x14ac:dyDescent="0.3">
      <c r="A841" t="s">
        <v>887</v>
      </c>
      <c r="B841" t="s">
        <v>20</v>
      </c>
      <c r="C841" t="s">
        <v>31</v>
      </c>
      <c r="D841" t="s">
        <v>14</v>
      </c>
      <c r="E841" s="1">
        <v>45193</v>
      </c>
      <c r="F841" s="1">
        <v>45196</v>
      </c>
      <c r="G841">
        <v>33.5</v>
      </c>
      <c r="H841">
        <v>88.12</v>
      </c>
      <c r="I841" t="s">
        <v>15</v>
      </c>
      <c r="J841">
        <v>420</v>
      </c>
      <c r="K841">
        <v>3</v>
      </c>
      <c r="L841" t="str">
        <f>IF(logistics_data[[#This Row],[Delivery_Date]]="","In Transit",
 IF(logistics_data[[#This Row],[Status]]="Lost","Lost",
 IF(logistics_data[[#This Row],[Status]]="Returned","Returned",
 IF(logistics_data[[#This Row],[Status]]="Delayed","Delayed",
 "Delivered"))))</f>
        <v>Delivered</v>
      </c>
      <c r="M841" s="2">
        <f>logistics_data[[#This Row],[Cost]]/logistics_data[[#This Row],[Distance_miles]]</f>
        <v>0.20980952380952381</v>
      </c>
      <c r="N841" t="str">
        <f>IF(logistics_data[[#This Row],[Orginal staus of shipment]]&lt;&gt;"Delivered","not applicabel", IF(logistics_data[[#This Row],[Transit_Days]]&gt;=5,"slow","fast"))</f>
        <v>fast</v>
      </c>
    </row>
    <row r="842" spans="1:14" x14ac:dyDescent="0.3">
      <c r="A842" t="s">
        <v>888</v>
      </c>
      <c r="B842" t="s">
        <v>35</v>
      </c>
      <c r="C842" t="s">
        <v>17</v>
      </c>
      <c r="D842" t="s">
        <v>42</v>
      </c>
      <c r="E842" s="1">
        <v>45151</v>
      </c>
      <c r="F842" s="1">
        <v>45157</v>
      </c>
      <c r="G842">
        <v>16.899999999999999</v>
      </c>
      <c r="H842">
        <v>192.93</v>
      </c>
      <c r="I842" t="s">
        <v>15</v>
      </c>
      <c r="J842">
        <v>1506</v>
      </c>
      <c r="K842">
        <v>6</v>
      </c>
      <c r="L842" t="str">
        <f>IF(logistics_data[[#This Row],[Delivery_Date]]="","In Transit",
 IF(logistics_data[[#This Row],[Status]]="Lost","Lost",
 IF(logistics_data[[#This Row],[Status]]="Returned","Returned",
 IF(logistics_data[[#This Row],[Status]]="Delayed","Delayed",
 "Delivered"))))</f>
        <v>Delivered</v>
      </c>
      <c r="M842" s="2">
        <f>logistics_data[[#This Row],[Cost]]/logistics_data[[#This Row],[Distance_miles]]</f>
        <v>0.12810756972111553</v>
      </c>
      <c r="N842" t="str">
        <f>IF(logistics_data[[#This Row],[Orginal staus of shipment]]&lt;&gt;"Delivered","not applicabel", IF(logistics_data[[#This Row],[Transit_Days]]&gt;=5,"slow","fast"))</f>
        <v>slow</v>
      </c>
    </row>
    <row r="843" spans="1:14" x14ac:dyDescent="0.3">
      <c r="A843" t="s">
        <v>889</v>
      </c>
      <c r="B843" t="s">
        <v>12</v>
      </c>
      <c r="C843" t="s">
        <v>52</v>
      </c>
      <c r="D843" t="s">
        <v>42</v>
      </c>
      <c r="E843" s="1">
        <v>45238</v>
      </c>
      <c r="F843" s="1">
        <v>45243</v>
      </c>
      <c r="G843">
        <v>25.9</v>
      </c>
      <c r="H843">
        <v>272</v>
      </c>
      <c r="I843" t="s">
        <v>15</v>
      </c>
      <c r="J843">
        <v>1763</v>
      </c>
      <c r="K843">
        <v>5</v>
      </c>
      <c r="L843" t="str">
        <f>IF(logistics_data[[#This Row],[Delivery_Date]]="","In Transit",
 IF(logistics_data[[#This Row],[Status]]="Lost","Lost",
 IF(logistics_data[[#This Row],[Status]]="Returned","Returned",
 IF(logistics_data[[#This Row],[Status]]="Delayed","Delayed",
 "Delivered"))))</f>
        <v>Delivered</v>
      </c>
      <c r="M843" s="2">
        <f>logistics_data[[#This Row],[Cost]]/logistics_data[[#This Row],[Distance_miles]]</f>
        <v>0.1542824730572887</v>
      </c>
      <c r="N843" t="str">
        <f>IF(logistics_data[[#This Row],[Orginal staus of shipment]]&lt;&gt;"Delivered","not applicabel", IF(logistics_data[[#This Row],[Transit_Days]]&gt;=5,"slow","fast"))</f>
        <v>slow</v>
      </c>
    </row>
    <row r="844" spans="1:14" x14ac:dyDescent="0.3">
      <c r="A844" t="s">
        <v>890</v>
      </c>
      <c r="B844" t="s">
        <v>23</v>
      </c>
      <c r="C844" t="s">
        <v>46</v>
      </c>
      <c r="D844" t="s">
        <v>32</v>
      </c>
      <c r="E844" s="1">
        <v>45005</v>
      </c>
      <c r="F844" s="1">
        <v>45009</v>
      </c>
      <c r="G844">
        <v>6.2</v>
      </c>
      <c r="H844">
        <v>217.1</v>
      </c>
      <c r="I844" t="s">
        <v>15</v>
      </c>
      <c r="J844">
        <v>1483</v>
      </c>
      <c r="K844">
        <v>4</v>
      </c>
      <c r="L844" t="str">
        <f>IF(logistics_data[[#This Row],[Delivery_Date]]="","In Transit",
 IF(logistics_data[[#This Row],[Status]]="Lost","Lost",
 IF(logistics_data[[#This Row],[Status]]="Returned","Returned",
 IF(logistics_data[[#This Row],[Status]]="Delayed","Delayed",
 "Delivered"))))</f>
        <v>Delivered</v>
      </c>
      <c r="M844" s="2">
        <f>logistics_data[[#This Row],[Cost]]/logistics_data[[#This Row],[Distance_miles]]</f>
        <v>0.14639244774106541</v>
      </c>
      <c r="N844" t="str">
        <f>IF(logistics_data[[#This Row],[Orginal staus of shipment]]&lt;&gt;"Delivered","not applicabel", IF(logistics_data[[#This Row],[Transit_Days]]&gt;=5,"slow","fast"))</f>
        <v>fast</v>
      </c>
    </row>
    <row r="845" spans="1:14" x14ac:dyDescent="0.3">
      <c r="A845" t="s">
        <v>891</v>
      </c>
      <c r="B845" t="s">
        <v>30</v>
      </c>
      <c r="C845" t="s">
        <v>46</v>
      </c>
      <c r="D845" t="s">
        <v>32</v>
      </c>
      <c r="E845" s="1">
        <v>45010</v>
      </c>
      <c r="F845" s="1">
        <v>45015</v>
      </c>
      <c r="G845">
        <v>7.3</v>
      </c>
      <c r="H845">
        <v>238.37</v>
      </c>
      <c r="I845" t="s">
        <v>15</v>
      </c>
      <c r="J845">
        <v>1921</v>
      </c>
      <c r="K845">
        <v>5</v>
      </c>
      <c r="L845" t="str">
        <f>IF(logistics_data[[#This Row],[Delivery_Date]]="","In Transit",
 IF(logistics_data[[#This Row],[Status]]="Lost","Lost",
 IF(logistics_data[[#This Row],[Status]]="Returned","Returned",
 IF(logistics_data[[#This Row],[Status]]="Delayed","Delayed",
 "Delivered"))))</f>
        <v>Delivered</v>
      </c>
      <c r="M845" s="2">
        <f>logistics_data[[#This Row],[Cost]]/logistics_data[[#This Row],[Distance_miles]]</f>
        <v>0.1240864133263925</v>
      </c>
      <c r="N845" t="str">
        <f>IF(logistics_data[[#This Row],[Orginal staus of shipment]]&lt;&gt;"Delivered","not applicabel", IF(logistics_data[[#This Row],[Transit_Days]]&gt;=5,"slow","fast"))</f>
        <v>slow</v>
      </c>
    </row>
    <row r="846" spans="1:14" x14ac:dyDescent="0.3">
      <c r="A846" t="s">
        <v>892</v>
      </c>
      <c r="B846" t="s">
        <v>27</v>
      </c>
      <c r="C846" t="s">
        <v>17</v>
      </c>
      <c r="D846" t="s">
        <v>42</v>
      </c>
      <c r="E846" s="1">
        <v>45152</v>
      </c>
      <c r="F846" s="1">
        <v>45157</v>
      </c>
      <c r="G846">
        <v>30.8</v>
      </c>
      <c r="H846">
        <v>251.75</v>
      </c>
      <c r="I846" t="s">
        <v>15</v>
      </c>
      <c r="J846">
        <v>1737</v>
      </c>
      <c r="K846">
        <v>5</v>
      </c>
      <c r="L846" t="str">
        <f>IF(logistics_data[[#This Row],[Delivery_Date]]="","In Transit",
 IF(logistics_data[[#This Row],[Status]]="Lost","Lost",
 IF(logistics_data[[#This Row],[Status]]="Returned","Returned",
 IF(logistics_data[[#This Row],[Status]]="Delayed","Delayed",
 "Delivered"))))</f>
        <v>Delivered</v>
      </c>
      <c r="M846" s="2">
        <f>logistics_data[[#This Row],[Cost]]/logistics_data[[#This Row],[Distance_miles]]</f>
        <v>0.14493379389752448</v>
      </c>
      <c r="N846" t="str">
        <f>IF(logistics_data[[#This Row],[Orginal staus of shipment]]&lt;&gt;"Delivered","not applicabel", IF(logistics_data[[#This Row],[Transit_Days]]&gt;=5,"slow","fast"))</f>
        <v>slow</v>
      </c>
    </row>
    <row r="847" spans="1:14" x14ac:dyDescent="0.3">
      <c r="A847" t="s">
        <v>893</v>
      </c>
      <c r="B847" t="s">
        <v>23</v>
      </c>
      <c r="C847" t="s">
        <v>54</v>
      </c>
      <c r="D847" t="s">
        <v>25</v>
      </c>
      <c r="E847" s="1">
        <v>44946</v>
      </c>
      <c r="F847" s="1">
        <v>44949</v>
      </c>
      <c r="G847">
        <v>3.6</v>
      </c>
      <c r="H847">
        <v>68.650000000000006</v>
      </c>
      <c r="I847" t="s">
        <v>67</v>
      </c>
      <c r="J847">
        <v>560</v>
      </c>
      <c r="K847">
        <v>3</v>
      </c>
      <c r="L847" t="str">
        <f>IF(logistics_data[[#This Row],[Delivery_Date]]="","In Transit",
 IF(logistics_data[[#This Row],[Status]]="Lost","Lost",
 IF(logistics_data[[#This Row],[Status]]="Returned","Returned",
 IF(logistics_data[[#This Row],[Status]]="Delayed","Delayed",
 "Delivered"))))</f>
        <v>Returned</v>
      </c>
      <c r="M847" s="2">
        <f>logistics_data[[#This Row],[Cost]]/logistics_data[[#This Row],[Distance_miles]]</f>
        <v>0.12258928571428572</v>
      </c>
      <c r="N847" t="str">
        <f>IF(logistics_data[[#This Row],[Orginal staus of shipment]]&lt;&gt;"Delivered","not applicabel", IF(logistics_data[[#This Row],[Transit_Days]]&gt;=5,"slow","fast"))</f>
        <v>not applicabel</v>
      </c>
    </row>
    <row r="848" spans="1:14" x14ac:dyDescent="0.3">
      <c r="A848" t="s">
        <v>894</v>
      </c>
      <c r="B848" t="s">
        <v>39</v>
      </c>
      <c r="C848" t="s">
        <v>28</v>
      </c>
      <c r="D848" t="s">
        <v>25</v>
      </c>
      <c r="E848" s="1">
        <v>44934</v>
      </c>
      <c r="F848" s="1">
        <v>44937</v>
      </c>
      <c r="G848">
        <v>63.5</v>
      </c>
      <c r="H848">
        <v>192.27</v>
      </c>
      <c r="I848" t="s">
        <v>15</v>
      </c>
      <c r="J848">
        <v>1118</v>
      </c>
      <c r="K848">
        <v>3</v>
      </c>
      <c r="L848" t="str">
        <f>IF(logistics_data[[#This Row],[Delivery_Date]]="","In Transit",
 IF(logistics_data[[#This Row],[Status]]="Lost","Lost",
 IF(logistics_data[[#This Row],[Status]]="Returned","Returned",
 IF(logistics_data[[#This Row],[Status]]="Delayed","Delayed",
 "Delivered"))))</f>
        <v>Delivered</v>
      </c>
      <c r="M848" s="2">
        <f>logistics_data[[#This Row],[Cost]]/logistics_data[[#This Row],[Distance_miles]]</f>
        <v>0.17197674418604653</v>
      </c>
      <c r="N848" t="str">
        <f>IF(logistics_data[[#This Row],[Orginal staus of shipment]]&lt;&gt;"Delivered","not applicabel", IF(logistics_data[[#This Row],[Transit_Days]]&gt;=5,"slow","fast"))</f>
        <v>fast</v>
      </c>
    </row>
    <row r="849" spans="1:14" x14ac:dyDescent="0.3">
      <c r="A849" t="s">
        <v>895</v>
      </c>
      <c r="B849" t="s">
        <v>35</v>
      </c>
      <c r="C849" t="s">
        <v>40</v>
      </c>
      <c r="D849" t="s">
        <v>32</v>
      </c>
      <c r="E849" s="1">
        <v>44972</v>
      </c>
      <c r="F849" s="1">
        <v>44973</v>
      </c>
      <c r="G849">
        <v>53.7</v>
      </c>
      <c r="H849">
        <v>113.89</v>
      </c>
      <c r="I849" t="s">
        <v>15</v>
      </c>
      <c r="J849">
        <v>283</v>
      </c>
      <c r="K849">
        <v>1</v>
      </c>
      <c r="L849" t="str">
        <f>IF(logistics_data[[#This Row],[Delivery_Date]]="","In Transit",
 IF(logistics_data[[#This Row],[Status]]="Lost","Lost",
 IF(logistics_data[[#This Row],[Status]]="Returned","Returned",
 IF(logistics_data[[#This Row],[Status]]="Delayed","Delayed",
 "Delivered"))))</f>
        <v>Delivered</v>
      </c>
      <c r="M849" s="2">
        <f>logistics_data[[#This Row],[Cost]]/logistics_data[[#This Row],[Distance_miles]]</f>
        <v>0.40243816254416959</v>
      </c>
      <c r="N849" t="str">
        <f>IF(logistics_data[[#This Row],[Orginal staus of shipment]]&lt;&gt;"Delivered","not applicabel", IF(logistics_data[[#This Row],[Transit_Days]]&gt;=5,"slow","fast"))</f>
        <v>fast</v>
      </c>
    </row>
    <row r="850" spans="1:14" x14ac:dyDescent="0.3">
      <c r="A850" t="s">
        <v>896</v>
      </c>
      <c r="B850" t="s">
        <v>56</v>
      </c>
      <c r="C850" t="s">
        <v>24</v>
      </c>
      <c r="D850" t="s">
        <v>37</v>
      </c>
      <c r="E850" s="1">
        <v>45008</v>
      </c>
      <c r="F850" s="1">
        <v>45014</v>
      </c>
      <c r="G850">
        <v>10.3</v>
      </c>
      <c r="H850">
        <v>312.01</v>
      </c>
      <c r="I850" t="s">
        <v>15</v>
      </c>
      <c r="J850">
        <v>2287</v>
      </c>
      <c r="K850">
        <v>6</v>
      </c>
      <c r="L850" t="str">
        <f>IF(logistics_data[[#This Row],[Delivery_Date]]="","In Transit",
 IF(logistics_data[[#This Row],[Status]]="Lost","Lost",
 IF(logistics_data[[#This Row],[Status]]="Returned","Returned",
 IF(logistics_data[[#This Row],[Status]]="Delayed","Delayed",
 "Delivered"))))</f>
        <v>Delivered</v>
      </c>
      <c r="M850" s="2">
        <f>logistics_data[[#This Row],[Cost]]/logistics_data[[#This Row],[Distance_miles]]</f>
        <v>0.1364276344556187</v>
      </c>
      <c r="N850" t="str">
        <f>IF(logistics_data[[#This Row],[Orginal staus of shipment]]&lt;&gt;"Delivered","not applicabel", IF(logistics_data[[#This Row],[Transit_Days]]&gt;=5,"slow","fast"))</f>
        <v>slow</v>
      </c>
    </row>
    <row r="851" spans="1:14" x14ac:dyDescent="0.3">
      <c r="A851" t="s">
        <v>897</v>
      </c>
      <c r="B851" t="s">
        <v>51</v>
      </c>
      <c r="C851" t="s">
        <v>57</v>
      </c>
      <c r="D851" t="s">
        <v>18</v>
      </c>
      <c r="E851" s="1">
        <v>45001</v>
      </c>
      <c r="F851" s="1">
        <v>45004</v>
      </c>
      <c r="G851">
        <v>23.7</v>
      </c>
      <c r="H851">
        <v>105.39</v>
      </c>
      <c r="I851" t="s">
        <v>15</v>
      </c>
      <c r="J851">
        <v>475</v>
      </c>
      <c r="K851">
        <v>3</v>
      </c>
      <c r="L851" t="str">
        <f>IF(logistics_data[[#This Row],[Delivery_Date]]="","In Transit",
 IF(logistics_data[[#This Row],[Status]]="Lost","Lost",
 IF(logistics_data[[#This Row],[Status]]="Returned","Returned",
 IF(logistics_data[[#This Row],[Status]]="Delayed","Delayed",
 "Delivered"))))</f>
        <v>Delivered</v>
      </c>
      <c r="M851" s="2">
        <f>logistics_data[[#This Row],[Cost]]/logistics_data[[#This Row],[Distance_miles]]</f>
        <v>0.22187368421052631</v>
      </c>
      <c r="N851" t="str">
        <f>IF(logistics_data[[#This Row],[Orginal staus of shipment]]&lt;&gt;"Delivered","not applicabel", IF(logistics_data[[#This Row],[Transit_Days]]&gt;=5,"slow","fast"))</f>
        <v>fast</v>
      </c>
    </row>
    <row r="852" spans="1:14" x14ac:dyDescent="0.3">
      <c r="A852" t="s">
        <v>898</v>
      </c>
      <c r="B852" t="s">
        <v>12</v>
      </c>
      <c r="C852" t="s">
        <v>17</v>
      </c>
      <c r="D852" t="s">
        <v>32</v>
      </c>
      <c r="E852" s="1">
        <v>45276</v>
      </c>
      <c r="F852" s="1">
        <v>45290</v>
      </c>
      <c r="G852">
        <v>12.4</v>
      </c>
      <c r="H852">
        <v>55.37</v>
      </c>
      <c r="I852" t="s">
        <v>47</v>
      </c>
      <c r="J852">
        <v>253</v>
      </c>
      <c r="K852">
        <v>1</v>
      </c>
      <c r="L852" t="str">
        <f>IF(logistics_data[[#This Row],[Delivery_Date]]="","In Transit",
 IF(logistics_data[[#This Row],[Status]]="Lost","Lost",
 IF(logistics_data[[#This Row],[Status]]="Returned","Returned",
 IF(logistics_data[[#This Row],[Status]]="Delayed","Delayed",
 "Delivered"))))</f>
        <v>Delayed</v>
      </c>
      <c r="M852" s="2">
        <f>logistics_data[[#This Row],[Cost]]/logistics_data[[#This Row],[Distance_miles]]</f>
        <v>0.21885375494071146</v>
      </c>
      <c r="N852" t="str">
        <f>IF(logistics_data[[#This Row],[Orginal staus of shipment]]&lt;&gt;"Delivered","not applicabel", IF(logistics_data[[#This Row],[Transit_Days]]&gt;=5,"slow","fast"))</f>
        <v>not applicabel</v>
      </c>
    </row>
    <row r="853" spans="1:14" x14ac:dyDescent="0.3">
      <c r="A853" t="s">
        <v>899</v>
      </c>
      <c r="B853" t="s">
        <v>35</v>
      </c>
      <c r="C853" t="s">
        <v>17</v>
      </c>
      <c r="D853" t="s">
        <v>14</v>
      </c>
      <c r="E853" s="1">
        <v>45214</v>
      </c>
      <c r="F853" s="1">
        <v>45218</v>
      </c>
      <c r="G853">
        <v>21.5</v>
      </c>
      <c r="H853">
        <v>163.13</v>
      </c>
      <c r="I853" t="s">
        <v>15</v>
      </c>
      <c r="J853">
        <v>976</v>
      </c>
      <c r="K853">
        <v>4</v>
      </c>
      <c r="L853" t="str">
        <f>IF(logistics_data[[#This Row],[Delivery_Date]]="","In Transit",
 IF(logistics_data[[#This Row],[Status]]="Lost","Lost",
 IF(logistics_data[[#This Row],[Status]]="Returned","Returned",
 IF(logistics_data[[#This Row],[Status]]="Delayed","Delayed",
 "Delivered"))))</f>
        <v>Delivered</v>
      </c>
      <c r="M853" s="2">
        <f>logistics_data[[#This Row],[Cost]]/logistics_data[[#This Row],[Distance_miles]]</f>
        <v>0.16714139344262294</v>
      </c>
      <c r="N853" t="str">
        <f>IF(logistics_data[[#This Row],[Orginal staus of shipment]]&lt;&gt;"Delivered","not applicabel", IF(logistics_data[[#This Row],[Transit_Days]]&gt;=5,"slow","fast"))</f>
        <v>fast</v>
      </c>
    </row>
    <row r="854" spans="1:14" x14ac:dyDescent="0.3">
      <c r="A854" t="s">
        <v>900</v>
      </c>
      <c r="B854" t="s">
        <v>39</v>
      </c>
      <c r="C854" t="s">
        <v>81</v>
      </c>
      <c r="D854" t="s">
        <v>32</v>
      </c>
      <c r="E854" s="1">
        <v>45208</v>
      </c>
      <c r="F854" s="1">
        <v>45211</v>
      </c>
      <c r="G854">
        <v>13.7</v>
      </c>
      <c r="H854">
        <v>151.52000000000001</v>
      </c>
      <c r="I854" t="s">
        <v>15</v>
      </c>
      <c r="J854">
        <v>1030</v>
      </c>
      <c r="K854">
        <v>3</v>
      </c>
      <c r="L854" t="str">
        <f>IF(logistics_data[[#This Row],[Delivery_Date]]="","In Transit",
 IF(logistics_data[[#This Row],[Status]]="Lost","Lost",
 IF(logistics_data[[#This Row],[Status]]="Returned","Returned",
 IF(logistics_data[[#This Row],[Status]]="Delayed","Delayed",
 "Delivered"))))</f>
        <v>Delivered</v>
      </c>
      <c r="M854" s="2">
        <f>logistics_data[[#This Row],[Cost]]/logistics_data[[#This Row],[Distance_miles]]</f>
        <v>0.14710679611650487</v>
      </c>
      <c r="N854" t="str">
        <f>IF(logistics_data[[#This Row],[Orginal staus of shipment]]&lt;&gt;"Delivered","not applicabel", IF(logistics_data[[#This Row],[Transit_Days]]&gt;=5,"slow","fast"))</f>
        <v>fast</v>
      </c>
    </row>
    <row r="855" spans="1:14" x14ac:dyDescent="0.3">
      <c r="A855" t="s">
        <v>901</v>
      </c>
      <c r="B855" t="s">
        <v>23</v>
      </c>
      <c r="C855" t="s">
        <v>44</v>
      </c>
      <c r="D855" t="s">
        <v>59</v>
      </c>
      <c r="E855" s="1">
        <v>44973</v>
      </c>
      <c r="F855" s="1">
        <v>44977</v>
      </c>
      <c r="G855">
        <v>11.5</v>
      </c>
      <c r="H855">
        <v>215.48</v>
      </c>
      <c r="I855" t="s">
        <v>15</v>
      </c>
      <c r="J855">
        <v>1702</v>
      </c>
      <c r="K855">
        <v>4</v>
      </c>
      <c r="L855" t="str">
        <f>IF(logistics_data[[#This Row],[Delivery_Date]]="","In Transit",
 IF(logistics_data[[#This Row],[Status]]="Lost","Lost",
 IF(logistics_data[[#This Row],[Status]]="Returned","Returned",
 IF(logistics_data[[#This Row],[Status]]="Delayed","Delayed",
 "Delivered"))))</f>
        <v>Delivered</v>
      </c>
      <c r="M855" s="2">
        <f>logistics_data[[#This Row],[Cost]]/logistics_data[[#This Row],[Distance_miles]]</f>
        <v>0.12660399529964747</v>
      </c>
      <c r="N855" t="str">
        <f>IF(logistics_data[[#This Row],[Orginal staus of shipment]]&lt;&gt;"Delivered","not applicabel", IF(logistics_data[[#This Row],[Transit_Days]]&gt;=5,"slow","fast"))</f>
        <v>fast</v>
      </c>
    </row>
    <row r="856" spans="1:14" x14ac:dyDescent="0.3">
      <c r="A856" t="s">
        <v>902</v>
      </c>
      <c r="B856" t="s">
        <v>56</v>
      </c>
      <c r="C856" t="s">
        <v>70</v>
      </c>
      <c r="D856" t="s">
        <v>32</v>
      </c>
      <c r="E856" s="1">
        <v>45284</v>
      </c>
      <c r="F856" s="1">
        <v>45288</v>
      </c>
      <c r="G856">
        <v>7.2</v>
      </c>
      <c r="H856">
        <v>340.75</v>
      </c>
      <c r="I856" t="s">
        <v>67</v>
      </c>
      <c r="J856">
        <v>2010</v>
      </c>
      <c r="K856">
        <v>4</v>
      </c>
      <c r="L856" t="str">
        <f>IF(logistics_data[[#This Row],[Delivery_Date]]="","In Transit",
 IF(logistics_data[[#This Row],[Status]]="Lost","Lost",
 IF(logistics_data[[#This Row],[Status]]="Returned","Returned",
 IF(logistics_data[[#This Row],[Status]]="Delayed","Delayed",
 "Delivered"))))</f>
        <v>Returned</v>
      </c>
      <c r="M856" s="2">
        <f>logistics_data[[#This Row],[Cost]]/logistics_data[[#This Row],[Distance_miles]]</f>
        <v>0.1695273631840796</v>
      </c>
      <c r="N856" t="str">
        <f>IF(logistics_data[[#This Row],[Orginal staus of shipment]]&lt;&gt;"Delivered","not applicabel", IF(logistics_data[[#This Row],[Transit_Days]]&gt;=5,"slow","fast"))</f>
        <v>not applicabel</v>
      </c>
    </row>
    <row r="857" spans="1:14" x14ac:dyDescent="0.3">
      <c r="A857" t="s">
        <v>903</v>
      </c>
      <c r="B857" t="s">
        <v>39</v>
      </c>
      <c r="C857" t="s">
        <v>24</v>
      </c>
      <c r="D857" t="s">
        <v>37</v>
      </c>
      <c r="E857" s="1">
        <v>44984</v>
      </c>
      <c r="F857" s="1">
        <v>44990</v>
      </c>
      <c r="G857">
        <v>12.9</v>
      </c>
      <c r="H857">
        <v>311.31</v>
      </c>
      <c r="I857" t="s">
        <v>15</v>
      </c>
      <c r="J857">
        <v>2323</v>
      </c>
      <c r="K857">
        <v>6</v>
      </c>
      <c r="L857" t="str">
        <f>IF(logistics_data[[#This Row],[Delivery_Date]]="","In Transit",
 IF(logistics_data[[#This Row],[Status]]="Lost","Lost",
 IF(logistics_data[[#This Row],[Status]]="Returned","Returned",
 IF(logistics_data[[#This Row],[Status]]="Delayed","Delayed",
 "Delivered"))))</f>
        <v>Delivered</v>
      </c>
      <c r="M857" s="2">
        <f>logistics_data[[#This Row],[Cost]]/logistics_data[[#This Row],[Distance_miles]]</f>
        <v>0.13401205337925096</v>
      </c>
      <c r="N857" t="str">
        <f>IF(logistics_data[[#This Row],[Orginal staus of shipment]]&lt;&gt;"Delivered","not applicabel", IF(logistics_data[[#This Row],[Transit_Days]]&gt;=5,"slow","fast"))</f>
        <v>slow</v>
      </c>
    </row>
    <row r="858" spans="1:14" x14ac:dyDescent="0.3">
      <c r="A858" t="s">
        <v>904</v>
      </c>
      <c r="B858" t="s">
        <v>51</v>
      </c>
      <c r="C858" t="s">
        <v>40</v>
      </c>
      <c r="D858" t="s">
        <v>37</v>
      </c>
      <c r="E858" s="1">
        <v>44993</v>
      </c>
      <c r="F858" s="1">
        <v>44998</v>
      </c>
      <c r="G858">
        <v>16.3</v>
      </c>
      <c r="H858">
        <v>299.25</v>
      </c>
      <c r="I858" t="s">
        <v>15</v>
      </c>
      <c r="J858">
        <v>2263</v>
      </c>
      <c r="K858">
        <v>5</v>
      </c>
      <c r="L858" t="str">
        <f>IF(logistics_data[[#This Row],[Delivery_Date]]="","In Transit",
 IF(logistics_data[[#This Row],[Status]]="Lost","Lost",
 IF(logistics_data[[#This Row],[Status]]="Returned","Returned",
 IF(logistics_data[[#This Row],[Status]]="Delayed","Delayed",
 "Delivered"))))</f>
        <v>Delivered</v>
      </c>
      <c r="M858" s="2">
        <f>logistics_data[[#This Row],[Cost]]/logistics_data[[#This Row],[Distance_miles]]</f>
        <v>0.13223596995139195</v>
      </c>
      <c r="N858" t="str">
        <f>IF(logistics_data[[#This Row],[Orginal staus of shipment]]&lt;&gt;"Delivered","not applicabel", IF(logistics_data[[#This Row],[Transit_Days]]&gt;=5,"slow","fast"))</f>
        <v>slow</v>
      </c>
    </row>
    <row r="859" spans="1:14" x14ac:dyDescent="0.3">
      <c r="A859" t="s">
        <v>905</v>
      </c>
      <c r="B859" t="s">
        <v>49</v>
      </c>
      <c r="C859" t="s">
        <v>57</v>
      </c>
      <c r="D859" t="s">
        <v>32</v>
      </c>
      <c r="E859" s="1">
        <v>45244</v>
      </c>
      <c r="F859" s="1">
        <v>45247</v>
      </c>
      <c r="G859">
        <v>8.3000000000000007</v>
      </c>
      <c r="H859">
        <v>166.12</v>
      </c>
      <c r="I859" t="s">
        <v>15</v>
      </c>
      <c r="J859">
        <v>1054</v>
      </c>
      <c r="K859">
        <v>3</v>
      </c>
      <c r="L859" t="str">
        <f>IF(logistics_data[[#This Row],[Delivery_Date]]="","In Transit",
 IF(logistics_data[[#This Row],[Status]]="Lost","Lost",
 IF(logistics_data[[#This Row],[Status]]="Returned","Returned",
 IF(logistics_data[[#This Row],[Status]]="Delayed","Delayed",
 "Delivered"))))</f>
        <v>Delivered</v>
      </c>
      <c r="M859" s="2">
        <f>logistics_data[[#This Row],[Cost]]/logistics_data[[#This Row],[Distance_miles]]</f>
        <v>0.1576091081593928</v>
      </c>
      <c r="N859" t="str">
        <f>IF(logistics_data[[#This Row],[Orginal staus of shipment]]&lt;&gt;"Delivered","not applicabel", IF(logistics_data[[#This Row],[Transit_Days]]&gt;=5,"slow","fast"))</f>
        <v>fast</v>
      </c>
    </row>
    <row r="860" spans="1:14" x14ac:dyDescent="0.3">
      <c r="A860" t="s">
        <v>906</v>
      </c>
      <c r="B860" t="s">
        <v>27</v>
      </c>
      <c r="C860" t="s">
        <v>52</v>
      </c>
      <c r="D860" t="s">
        <v>32</v>
      </c>
      <c r="E860" s="1">
        <v>45224</v>
      </c>
      <c r="F860" s="1">
        <v>45228</v>
      </c>
      <c r="G860">
        <v>11.6</v>
      </c>
      <c r="H860">
        <v>147.12</v>
      </c>
      <c r="I860" t="s">
        <v>15</v>
      </c>
      <c r="J860">
        <v>905</v>
      </c>
      <c r="K860">
        <v>4</v>
      </c>
      <c r="L860" t="str">
        <f>IF(logistics_data[[#This Row],[Delivery_Date]]="","In Transit",
 IF(logistics_data[[#This Row],[Status]]="Lost","Lost",
 IF(logistics_data[[#This Row],[Status]]="Returned","Returned",
 IF(logistics_data[[#This Row],[Status]]="Delayed","Delayed",
 "Delivered"))))</f>
        <v>Delivered</v>
      </c>
      <c r="M860" s="2">
        <f>logistics_data[[#This Row],[Cost]]/logistics_data[[#This Row],[Distance_miles]]</f>
        <v>0.16256353591160222</v>
      </c>
      <c r="N860" t="str">
        <f>IF(logistics_data[[#This Row],[Orginal staus of shipment]]&lt;&gt;"Delivered","not applicabel", IF(logistics_data[[#This Row],[Transit_Days]]&gt;=5,"slow","fast"))</f>
        <v>fast</v>
      </c>
    </row>
    <row r="861" spans="1:14" x14ac:dyDescent="0.3">
      <c r="A861" t="s">
        <v>907</v>
      </c>
      <c r="B861" t="s">
        <v>56</v>
      </c>
      <c r="C861" t="s">
        <v>17</v>
      </c>
      <c r="D861" t="s">
        <v>59</v>
      </c>
      <c r="E861" s="1">
        <v>45142</v>
      </c>
      <c r="F861" s="1">
        <v>45147</v>
      </c>
      <c r="G861">
        <v>9.1</v>
      </c>
      <c r="H861">
        <v>144.68</v>
      </c>
      <c r="I861" t="s">
        <v>15</v>
      </c>
      <c r="J861">
        <v>1069</v>
      </c>
      <c r="K861">
        <v>5</v>
      </c>
      <c r="L861" t="str">
        <f>IF(logistics_data[[#This Row],[Delivery_Date]]="","In Transit",
 IF(logistics_data[[#This Row],[Status]]="Lost","Lost",
 IF(logistics_data[[#This Row],[Status]]="Returned","Returned",
 IF(logistics_data[[#This Row],[Status]]="Delayed","Delayed",
 "Delivered"))))</f>
        <v>Delivered</v>
      </c>
      <c r="M861" s="2">
        <f>logistics_data[[#This Row],[Cost]]/logistics_data[[#This Row],[Distance_miles]]</f>
        <v>0.13534144059869038</v>
      </c>
      <c r="N861" t="str">
        <f>IF(logistics_data[[#This Row],[Orginal staus of shipment]]&lt;&gt;"Delivered","not applicabel", IF(logistics_data[[#This Row],[Transit_Days]]&gt;=5,"slow","fast"))</f>
        <v>slow</v>
      </c>
    </row>
    <row r="862" spans="1:14" x14ac:dyDescent="0.3">
      <c r="A862" t="s">
        <v>908</v>
      </c>
      <c r="B862" t="s">
        <v>23</v>
      </c>
      <c r="C862" t="s">
        <v>28</v>
      </c>
      <c r="D862" t="s">
        <v>14</v>
      </c>
      <c r="E862" s="1">
        <v>44968</v>
      </c>
      <c r="F862" s="1">
        <v>44974</v>
      </c>
      <c r="G862">
        <v>26.8</v>
      </c>
      <c r="H862">
        <v>317.7</v>
      </c>
      <c r="I862" t="s">
        <v>15</v>
      </c>
      <c r="J862">
        <v>2274</v>
      </c>
      <c r="K862">
        <v>6</v>
      </c>
      <c r="L862" t="str">
        <f>IF(logistics_data[[#This Row],[Delivery_Date]]="","In Transit",
 IF(logistics_data[[#This Row],[Status]]="Lost","Lost",
 IF(logistics_data[[#This Row],[Status]]="Returned","Returned",
 IF(logistics_data[[#This Row],[Status]]="Delayed","Delayed",
 "Delivered"))))</f>
        <v>Delivered</v>
      </c>
      <c r="M862" s="2">
        <f>logistics_data[[#This Row],[Cost]]/logistics_data[[#This Row],[Distance_miles]]</f>
        <v>0.13970976253298154</v>
      </c>
      <c r="N862" t="str">
        <f>IF(logistics_data[[#This Row],[Orginal staus of shipment]]&lt;&gt;"Delivered","not applicabel", IF(logistics_data[[#This Row],[Transit_Days]]&gt;=5,"slow","fast"))</f>
        <v>slow</v>
      </c>
    </row>
    <row r="863" spans="1:14" x14ac:dyDescent="0.3">
      <c r="A863" t="s">
        <v>909</v>
      </c>
      <c r="B863" t="s">
        <v>27</v>
      </c>
      <c r="C863" t="s">
        <v>17</v>
      </c>
      <c r="D863" t="s">
        <v>14</v>
      </c>
      <c r="E863" s="1">
        <v>45233</v>
      </c>
      <c r="F863" s="1">
        <v>45235</v>
      </c>
      <c r="G863">
        <v>14.9</v>
      </c>
      <c r="H863">
        <v>50</v>
      </c>
      <c r="I863" t="s">
        <v>15</v>
      </c>
      <c r="J863">
        <v>161</v>
      </c>
      <c r="K863">
        <v>2</v>
      </c>
      <c r="L863" t="str">
        <f>IF(logistics_data[[#This Row],[Delivery_Date]]="","In Transit",
 IF(logistics_data[[#This Row],[Status]]="Lost","Lost",
 IF(logistics_data[[#This Row],[Status]]="Returned","Returned",
 IF(logistics_data[[#This Row],[Status]]="Delayed","Delayed",
 "Delivered"))))</f>
        <v>Delivered</v>
      </c>
      <c r="M863" s="2">
        <f>logistics_data[[#This Row],[Cost]]/logistics_data[[#This Row],[Distance_miles]]</f>
        <v>0.3105590062111801</v>
      </c>
      <c r="N863" t="str">
        <f>IF(logistics_data[[#This Row],[Orginal staus of shipment]]&lt;&gt;"Delivered","not applicabel", IF(logistics_data[[#This Row],[Transit_Days]]&gt;=5,"slow","fast"))</f>
        <v>fast</v>
      </c>
    </row>
    <row r="864" spans="1:14" x14ac:dyDescent="0.3">
      <c r="A864" t="s">
        <v>910</v>
      </c>
      <c r="B864" t="s">
        <v>12</v>
      </c>
      <c r="C864" t="s">
        <v>21</v>
      </c>
      <c r="D864" t="s">
        <v>25</v>
      </c>
      <c r="E864" s="1">
        <v>45189</v>
      </c>
      <c r="F864" s="1">
        <v>45193</v>
      </c>
      <c r="G864">
        <v>139.30000000000001</v>
      </c>
      <c r="H864">
        <v>235.27</v>
      </c>
      <c r="I864" t="s">
        <v>15</v>
      </c>
      <c r="J864">
        <v>547</v>
      </c>
      <c r="K864">
        <v>4</v>
      </c>
      <c r="L864" t="str">
        <f>IF(logistics_data[[#This Row],[Delivery_Date]]="","In Transit",
 IF(logistics_data[[#This Row],[Status]]="Lost","Lost",
 IF(logistics_data[[#This Row],[Status]]="Returned","Returned",
 IF(logistics_data[[#This Row],[Status]]="Delayed","Delayed",
 "Delivered"))))</f>
        <v>Delivered</v>
      </c>
      <c r="M864" s="2">
        <f>logistics_data[[#This Row],[Cost]]/logistics_data[[#This Row],[Distance_miles]]</f>
        <v>0.43010968921389398</v>
      </c>
      <c r="N864" t="str">
        <f>IF(logistics_data[[#This Row],[Orginal staus of shipment]]&lt;&gt;"Delivered","not applicabel", IF(logistics_data[[#This Row],[Transit_Days]]&gt;=5,"slow","fast"))</f>
        <v>fast</v>
      </c>
    </row>
    <row r="865" spans="1:14" x14ac:dyDescent="0.3">
      <c r="A865" t="s">
        <v>911</v>
      </c>
      <c r="B865" t="s">
        <v>51</v>
      </c>
      <c r="C865" t="s">
        <v>46</v>
      </c>
      <c r="D865" t="s">
        <v>37</v>
      </c>
      <c r="E865" s="1">
        <v>45059</v>
      </c>
      <c r="F865" s="1">
        <v>45061</v>
      </c>
      <c r="G865">
        <v>85.2</v>
      </c>
      <c r="H865">
        <v>135.66999999999999</v>
      </c>
      <c r="I865" t="s">
        <v>15</v>
      </c>
      <c r="J865">
        <v>215</v>
      </c>
      <c r="K865">
        <v>2</v>
      </c>
      <c r="L865" t="str">
        <f>IF(logistics_data[[#This Row],[Delivery_Date]]="","In Transit",
 IF(logistics_data[[#This Row],[Status]]="Lost","Lost",
 IF(logistics_data[[#This Row],[Status]]="Returned","Returned",
 IF(logistics_data[[#This Row],[Status]]="Delayed","Delayed",
 "Delivered"))))</f>
        <v>Delivered</v>
      </c>
      <c r="M865" s="2">
        <f>logistics_data[[#This Row],[Cost]]/logistics_data[[#This Row],[Distance_miles]]</f>
        <v>0.63102325581395347</v>
      </c>
      <c r="N865" t="str">
        <f>IF(logistics_data[[#This Row],[Orginal staus of shipment]]&lt;&gt;"Delivered","not applicabel", IF(logistics_data[[#This Row],[Transit_Days]]&gt;=5,"slow","fast"))</f>
        <v>fast</v>
      </c>
    </row>
    <row r="866" spans="1:14" x14ac:dyDescent="0.3">
      <c r="A866" t="s">
        <v>912</v>
      </c>
      <c r="B866" t="s">
        <v>39</v>
      </c>
      <c r="C866" t="s">
        <v>46</v>
      </c>
      <c r="D866" t="s">
        <v>32</v>
      </c>
      <c r="E866" s="1">
        <v>45202</v>
      </c>
      <c r="F866" s="1">
        <v>45208</v>
      </c>
      <c r="G866">
        <v>61.4</v>
      </c>
      <c r="H866">
        <v>405.09</v>
      </c>
      <c r="I866" t="s">
        <v>15</v>
      </c>
      <c r="J866">
        <v>2282</v>
      </c>
      <c r="K866">
        <v>6</v>
      </c>
      <c r="L866" t="str">
        <f>IF(logistics_data[[#This Row],[Delivery_Date]]="","In Transit",
 IF(logistics_data[[#This Row],[Status]]="Lost","Lost",
 IF(logistics_data[[#This Row],[Status]]="Returned","Returned",
 IF(logistics_data[[#This Row],[Status]]="Delayed","Delayed",
 "Delivered"))))</f>
        <v>Delivered</v>
      </c>
      <c r="M866" s="2">
        <f>logistics_data[[#This Row],[Cost]]/logistics_data[[#This Row],[Distance_miles]]</f>
        <v>0.17751533742331288</v>
      </c>
      <c r="N866" t="str">
        <f>IF(logistics_data[[#This Row],[Orginal staus of shipment]]&lt;&gt;"Delivered","not applicabel", IF(logistics_data[[#This Row],[Transit_Days]]&gt;=5,"slow","fast"))</f>
        <v>slow</v>
      </c>
    </row>
    <row r="867" spans="1:14" x14ac:dyDescent="0.3">
      <c r="A867" t="s">
        <v>913</v>
      </c>
      <c r="B867" t="s">
        <v>30</v>
      </c>
      <c r="C867" t="s">
        <v>44</v>
      </c>
      <c r="D867" t="s">
        <v>37</v>
      </c>
      <c r="E867" s="1">
        <v>45161</v>
      </c>
      <c r="F867" s="1">
        <v>45172</v>
      </c>
      <c r="G867">
        <v>72.5</v>
      </c>
      <c r="H867">
        <v>350.54</v>
      </c>
      <c r="I867" t="s">
        <v>47</v>
      </c>
      <c r="J867">
        <v>2411</v>
      </c>
      <c r="K867">
        <v>7</v>
      </c>
      <c r="L867" t="str">
        <f>IF(logistics_data[[#This Row],[Delivery_Date]]="","In Transit",
 IF(logistics_data[[#This Row],[Status]]="Lost","Lost",
 IF(logistics_data[[#This Row],[Status]]="Returned","Returned",
 IF(logistics_data[[#This Row],[Status]]="Delayed","Delayed",
 "Delivered"))))</f>
        <v>Delayed</v>
      </c>
      <c r="M867" s="2">
        <f>logistics_data[[#This Row],[Cost]]/logistics_data[[#This Row],[Distance_miles]]</f>
        <v>0.14539195354624637</v>
      </c>
      <c r="N867" t="str">
        <f>IF(logistics_data[[#This Row],[Orginal staus of shipment]]&lt;&gt;"Delivered","not applicabel", IF(logistics_data[[#This Row],[Transit_Days]]&gt;=5,"slow","fast"))</f>
        <v>not applicabel</v>
      </c>
    </row>
    <row r="868" spans="1:14" x14ac:dyDescent="0.3">
      <c r="A868" t="s">
        <v>914</v>
      </c>
      <c r="B868" t="s">
        <v>49</v>
      </c>
      <c r="C868" t="s">
        <v>28</v>
      </c>
      <c r="D868" t="s">
        <v>18</v>
      </c>
      <c r="E868" s="1">
        <v>45106</v>
      </c>
      <c r="F868" s="1">
        <v>45109</v>
      </c>
      <c r="G868">
        <v>26.8</v>
      </c>
      <c r="H868">
        <v>176.88</v>
      </c>
      <c r="I868" t="s">
        <v>15</v>
      </c>
      <c r="J868">
        <v>1008</v>
      </c>
      <c r="K868">
        <v>3</v>
      </c>
      <c r="L868" t="str">
        <f>IF(logistics_data[[#This Row],[Delivery_Date]]="","In Transit",
 IF(logistics_data[[#This Row],[Status]]="Lost","Lost",
 IF(logistics_data[[#This Row],[Status]]="Returned","Returned",
 IF(logistics_data[[#This Row],[Status]]="Delayed","Delayed",
 "Delivered"))))</f>
        <v>Delivered</v>
      </c>
      <c r="M868" s="2">
        <f>logistics_data[[#This Row],[Cost]]/logistics_data[[#This Row],[Distance_miles]]</f>
        <v>0.17547619047619048</v>
      </c>
      <c r="N868" t="str">
        <f>IF(logistics_data[[#This Row],[Orginal staus of shipment]]&lt;&gt;"Delivered","not applicabel", IF(logistics_data[[#This Row],[Transit_Days]]&gt;=5,"slow","fast"))</f>
        <v>fast</v>
      </c>
    </row>
    <row r="869" spans="1:14" x14ac:dyDescent="0.3">
      <c r="A869" t="s">
        <v>915</v>
      </c>
      <c r="B869" t="s">
        <v>30</v>
      </c>
      <c r="C869" t="s">
        <v>13</v>
      </c>
      <c r="D869" t="s">
        <v>32</v>
      </c>
      <c r="E869" s="1">
        <v>45115</v>
      </c>
      <c r="F869" s="1">
        <v>45125</v>
      </c>
      <c r="G869">
        <v>34.200000000000003</v>
      </c>
      <c r="H869">
        <v>93.52</v>
      </c>
      <c r="I869" t="s">
        <v>47</v>
      </c>
      <c r="J869">
        <v>439</v>
      </c>
      <c r="K869">
        <v>3</v>
      </c>
      <c r="L869" t="str">
        <f>IF(logistics_data[[#This Row],[Delivery_Date]]="","In Transit",
 IF(logistics_data[[#This Row],[Status]]="Lost","Lost",
 IF(logistics_data[[#This Row],[Status]]="Returned","Returned",
 IF(logistics_data[[#This Row],[Status]]="Delayed","Delayed",
 "Delivered"))))</f>
        <v>Delayed</v>
      </c>
      <c r="M869" s="2">
        <f>logistics_data[[#This Row],[Cost]]/logistics_data[[#This Row],[Distance_miles]]</f>
        <v>0.21302961275626422</v>
      </c>
      <c r="N869" t="str">
        <f>IF(logistics_data[[#This Row],[Orginal staus of shipment]]&lt;&gt;"Delivered","not applicabel", IF(logistics_data[[#This Row],[Transit_Days]]&gt;=5,"slow","fast"))</f>
        <v>not applicabel</v>
      </c>
    </row>
    <row r="870" spans="1:14" x14ac:dyDescent="0.3">
      <c r="A870" t="s">
        <v>916</v>
      </c>
      <c r="B870" t="s">
        <v>30</v>
      </c>
      <c r="C870" t="s">
        <v>44</v>
      </c>
      <c r="D870" t="s">
        <v>32</v>
      </c>
      <c r="E870" s="1">
        <v>44994</v>
      </c>
      <c r="G870">
        <v>45.4</v>
      </c>
      <c r="H870">
        <v>84.91</v>
      </c>
      <c r="I870" t="s">
        <v>15</v>
      </c>
      <c r="J870">
        <v>151</v>
      </c>
      <c r="K870">
        <v>2</v>
      </c>
      <c r="L870" t="str">
        <f>IF(logistics_data[[#This Row],[Delivery_Date]]="","In Transit",
 IF(logistics_data[[#This Row],[Status]]="Lost","Lost",
 IF(logistics_data[[#This Row],[Status]]="Returned","Returned",
 IF(logistics_data[[#This Row],[Status]]="Delayed","Delayed",
 "Delivered"))))</f>
        <v>In Transit</v>
      </c>
      <c r="M870" s="2">
        <f>logistics_data[[#This Row],[Cost]]/logistics_data[[#This Row],[Distance_miles]]</f>
        <v>0.56231788079470202</v>
      </c>
      <c r="N870" t="str">
        <f>IF(logistics_data[[#This Row],[Orginal staus of shipment]]&lt;&gt;"Delivered","not applicabel", IF(logistics_data[[#This Row],[Transit_Days]]&gt;=5,"slow","fast"))</f>
        <v>not applicabel</v>
      </c>
    </row>
    <row r="871" spans="1:14" x14ac:dyDescent="0.3">
      <c r="A871" t="s">
        <v>917</v>
      </c>
      <c r="B871" t="s">
        <v>12</v>
      </c>
      <c r="C871" t="s">
        <v>24</v>
      </c>
      <c r="D871" t="s">
        <v>42</v>
      </c>
      <c r="E871" s="1">
        <v>45115</v>
      </c>
      <c r="F871" s="1">
        <v>45120</v>
      </c>
      <c r="G871">
        <v>64</v>
      </c>
      <c r="H871">
        <v>233.21</v>
      </c>
      <c r="I871" t="s">
        <v>15</v>
      </c>
      <c r="J871">
        <v>1235</v>
      </c>
      <c r="K871">
        <v>5</v>
      </c>
      <c r="L871" t="str">
        <f>IF(logistics_data[[#This Row],[Delivery_Date]]="","In Transit",
 IF(logistics_data[[#This Row],[Status]]="Lost","Lost",
 IF(logistics_data[[#This Row],[Status]]="Returned","Returned",
 IF(logistics_data[[#This Row],[Status]]="Delayed","Delayed",
 "Delivered"))))</f>
        <v>Delivered</v>
      </c>
      <c r="M871" s="2">
        <f>logistics_data[[#This Row],[Cost]]/logistics_data[[#This Row],[Distance_miles]]</f>
        <v>0.188834008097166</v>
      </c>
      <c r="N871" t="str">
        <f>IF(logistics_data[[#This Row],[Orginal staus of shipment]]&lt;&gt;"Delivered","not applicabel", IF(logistics_data[[#This Row],[Transit_Days]]&gt;=5,"slow","fast"))</f>
        <v>slow</v>
      </c>
    </row>
    <row r="872" spans="1:14" x14ac:dyDescent="0.3">
      <c r="A872" t="s">
        <v>918</v>
      </c>
      <c r="B872" t="s">
        <v>30</v>
      </c>
      <c r="C872" t="s">
        <v>46</v>
      </c>
      <c r="D872" t="s">
        <v>37</v>
      </c>
      <c r="E872" s="1">
        <v>45178</v>
      </c>
      <c r="F872" s="1">
        <v>45182</v>
      </c>
      <c r="G872">
        <v>32.9</v>
      </c>
      <c r="H872">
        <v>227.09</v>
      </c>
      <c r="I872" t="s">
        <v>62</v>
      </c>
      <c r="J872">
        <v>1512</v>
      </c>
      <c r="K872">
        <v>4</v>
      </c>
      <c r="L872" t="str">
        <f>IF(logistics_data[[#This Row],[Delivery_Date]]="","In Transit",
 IF(logistics_data[[#This Row],[Status]]="Lost","Lost",
 IF(logistics_data[[#This Row],[Status]]="Returned","Returned",
 IF(logistics_data[[#This Row],[Status]]="Delayed","Delayed",
 "Delivered"))))</f>
        <v>Delivered</v>
      </c>
      <c r="M872" s="2">
        <f>logistics_data[[#This Row],[Cost]]/logistics_data[[#This Row],[Distance_miles]]</f>
        <v>0.15019179894179893</v>
      </c>
      <c r="N872" t="str">
        <f>IF(logistics_data[[#This Row],[Orginal staus of shipment]]&lt;&gt;"Delivered","not applicabel", IF(logistics_data[[#This Row],[Transit_Days]]&gt;=5,"slow","fast"))</f>
        <v>fast</v>
      </c>
    </row>
    <row r="873" spans="1:14" x14ac:dyDescent="0.3">
      <c r="A873" t="s">
        <v>919</v>
      </c>
      <c r="B873" t="s">
        <v>12</v>
      </c>
      <c r="C873" t="s">
        <v>24</v>
      </c>
      <c r="D873" t="s">
        <v>37</v>
      </c>
      <c r="E873" s="1">
        <v>45081</v>
      </c>
      <c r="F873" s="1">
        <v>45087</v>
      </c>
      <c r="G873">
        <v>81.900000000000006</v>
      </c>
      <c r="H873">
        <v>300.38</v>
      </c>
      <c r="I873" t="s">
        <v>15</v>
      </c>
      <c r="J873">
        <v>1836</v>
      </c>
      <c r="K873">
        <v>6</v>
      </c>
      <c r="L873" t="str">
        <f>IF(logistics_data[[#This Row],[Delivery_Date]]="","In Transit",
 IF(logistics_data[[#This Row],[Status]]="Lost","Lost",
 IF(logistics_data[[#This Row],[Status]]="Returned","Returned",
 IF(logistics_data[[#This Row],[Status]]="Delayed","Delayed",
 "Delivered"))))</f>
        <v>Delivered</v>
      </c>
      <c r="M873" s="2">
        <f>logistics_data[[#This Row],[Cost]]/logistics_data[[#This Row],[Distance_miles]]</f>
        <v>0.16360566448801742</v>
      </c>
      <c r="N873" t="str">
        <f>IF(logistics_data[[#This Row],[Orginal staus of shipment]]&lt;&gt;"Delivered","not applicabel", IF(logistics_data[[#This Row],[Transit_Days]]&gt;=5,"slow","fast"))</f>
        <v>slow</v>
      </c>
    </row>
    <row r="874" spans="1:14" x14ac:dyDescent="0.3">
      <c r="A874" t="s">
        <v>920</v>
      </c>
      <c r="B874" t="s">
        <v>12</v>
      </c>
      <c r="C874" t="s">
        <v>46</v>
      </c>
      <c r="D874" t="s">
        <v>25</v>
      </c>
      <c r="E874" s="1">
        <v>45017</v>
      </c>
      <c r="F874" s="1">
        <v>45024</v>
      </c>
      <c r="G874">
        <v>16.7</v>
      </c>
      <c r="H874">
        <v>340.65</v>
      </c>
      <c r="I874" t="s">
        <v>15</v>
      </c>
      <c r="J874">
        <v>2415</v>
      </c>
      <c r="K874">
        <v>7</v>
      </c>
      <c r="L874" t="str">
        <f>IF(logistics_data[[#This Row],[Delivery_Date]]="","In Transit",
 IF(logistics_data[[#This Row],[Status]]="Lost","Lost",
 IF(logistics_data[[#This Row],[Status]]="Returned","Returned",
 IF(logistics_data[[#This Row],[Status]]="Delayed","Delayed",
 "Delivered"))))</f>
        <v>Delivered</v>
      </c>
      <c r="M874" s="2">
        <f>logistics_data[[#This Row],[Cost]]/logistics_data[[#This Row],[Distance_miles]]</f>
        <v>0.141055900621118</v>
      </c>
      <c r="N874" t="str">
        <f>IF(logistics_data[[#This Row],[Orginal staus of shipment]]&lt;&gt;"Delivered","not applicabel", IF(logistics_data[[#This Row],[Transit_Days]]&gt;=5,"slow","fast"))</f>
        <v>slow</v>
      </c>
    </row>
    <row r="875" spans="1:14" x14ac:dyDescent="0.3">
      <c r="A875" t="s">
        <v>921</v>
      </c>
      <c r="B875" t="s">
        <v>27</v>
      </c>
      <c r="C875" t="s">
        <v>24</v>
      </c>
      <c r="D875" t="s">
        <v>37</v>
      </c>
      <c r="E875" s="1">
        <v>44952</v>
      </c>
      <c r="F875" s="1">
        <v>44958</v>
      </c>
      <c r="G875">
        <v>17.399999999999999</v>
      </c>
      <c r="H875">
        <v>249.13</v>
      </c>
      <c r="I875" t="s">
        <v>47</v>
      </c>
      <c r="J875">
        <v>1969</v>
      </c>
      <c r="K875">
        <v>5</v>
      </c>
      <c r="L875" t="str">
        <f>IF(logistics_data[[#This Row],[Delivery_Date]]="","In Transit",
 IF(logistics_data[[#This Row],[Status]]="Lost","Lost",
 IF(logistics_data[[#This Row],[Status]]="Returned","Returned",
 IF(logistics_data[[#This Row],[Status]]="Delayed","Delayed",
 "Delivered"))))</f>
        <v>Delayed</v>
      </c>
      <c r="M875" s="2">
        <f>logistics_data[[#This Row],[Cost]]/logistics_data[[#This Row],[Distance_miles]]</f>
        <v>0.12652615540883697</v>
      </c>
      <c r="N875" t="str">
        <f>IF(logistics_data[[#This Row],[Orginal staus of shipment]]&lt;&gt;"Delivered","not applicabel", IF(logistics_data[[#This Row],[Transit_Days]]&gt;=5,"slow","fast"))</f>
        <v>not applicabel</v>
      </c>
    </row>
    <row r="876" spans="1:14" x14ac:dyDescent="0.3">
      <c r="A876" t="s">
        <v>922</v>
      </c>
      <c r="B876" t="s">
        <v>56</v>
      </c>
      <c r="C876" t="s">
        <v>17</v>
      </c>
      <c r="D876" t="s">
        <v>25</v>
      </c>
      <c r="E876" s="1">
        <v>45137</v>
      </c>
      <c r="F876" s="1">
        <v>45140</v>
      </c>
      <c r="G876">
        <v>108.8</v>
      </c>
      <c r="H876">
        <v>204.71</v>
      </c>
      <c r="I876" t="s">
        <v>15</v>
      </c>
      <c r="J876">
        <v>784</v>
      </c>
      <c r="K876">
        <v>3</v>
      </c>
      <c r="L876" t="str">
        <f>IF(logistics_data[[#This Row],[Delivery_Date]]="","In Transit",
 IF(logistics_data[[#This Row],[Status]]="Lost","Lost",
 IF(logistics_data[[#This Row],[Status]]="Returned","Returned",
 IF(logistics_data[[#This Row],[Status]]="Delayed","Delayed",
 "Delivered"))))</f>
        <v>Delivered</v>
      </c>
      <c r="M876" s="2">
        <f>logistics_data[[#This Row],[Cost]]/logistics_data[[#This Row],[Distance_miles]]</f>
        <v>0.26110969387755101</v>
      </c>
      <c r="N876" t="str">
        <f>IF(logistics_data[[#This Row],[Orginal staus of shipment]]&lt;&gt;"Delivered","not applicabel", IF(logistics_data[[#This Row],[Transit_Days]]&gt;=5,"slow","fast"))</f>
        <v>fast</v>
      </c>
    </row>
    <row r="877" spans="1:14" x14ac:dyDescent="0.3">
      <c r="A877" t="s">
        <v>923</v>
      </c>
      <c r="B877" t="s">
        <v>30</v>
      </c>
      <c r="C877" t="s">
        <v>13</v>
      </c>
      <c r="D877" t="s">
        <v>42</v>
      </c>
      <c r="E877" s="1">
        <v>44954</v>
      </c>
      <c r="F877" s="1">
        <v>44959</v>
      </c>
      <c r="G877">
        <v>25.7</v>
      </c>
      <c r="H877">
        <v>227.68</v>
      </c>
      <c r="I877" t="s">
        <v>15</v>
      </c>
      <c r="J877">
        <v>1687</v>
      </c>
      <c r="K877">
        <v>5</v>
      </c>
      <c r="L877" t="str">
        <f>IF(logistics_data[[#This Row],[Delivery_Date]]="","In Transit",
 IF(logistics_data[[#This Row],[Status]]="Lost","Lost",
 IF(logistics_data[[#This Row],[Status]]="Returned","Returned",
 IF(logistics_data[[#This Row],[Status]]="Delayed","Delayed",
 "Delivered"))))</f>
        <v>Delivered</v>
      </c>
      <c r="M877" s="2">
        <f>logistics_data[[#This Row],[Cost]]/logistics_data[[#This Row],[Distance_miles]]</f>
        <v>0.13496147006520451</v>
      </c>
      <c r="N877" t="str">
        <f>IF(logistics_data[[#This Row],[Orginal staus of shipment]]&lt;&gt;"Delivered","not applicabel", IF(logistics_data[[#This Row],[Transit_Days]]&gt;=5,"slow","fast"))</f>
        <v>slow</v>
      </c>
    </row>
    <row r="878" spans="1:14" x14ac:dyDescent="0.3">
      <c r="A878" t="s">
        <v>924</v>
      </c>
      <c r="B878" t="s">
        <v>23</v>
      </c>
      <c r="C878" t="s">
        <v>21</v>
      </c>
      <c r="D878" t="s">
        <v>59</v>
      </c>
      <c r="E878" s="1">
        <v>45080</v>
      </c>
      <c r="F878" s="1">
        <v>45085</v>
      </c>
      <c r="G878">
        <v>11.6</v>
      </c>
      <c r="H878">
        <v>214.12</v>
      </c>
      <c r="I878" t="s">
        <v>15</v>
      </c>
      <c r="J878">
        <v>1624</v>
      </c>
      <c r="K878">
        <v>5</v>
      </c>
      <c r="L878" t="str">
        <f>IF(logistics_data[[#This Row],[Delivery_Date]]="","In Transit",
 IF(logistics_data[[#This Row],[Status]]="Lost","Lost",
 IF(logistics_data[[#This Row],[Status]]="Returned","Returned",
 IF(logistics_data[[#This Row],[Status]]="Delayed","Delayed",
 "Delivered"))))</f>
        <v>Delivered</v>
      </c>
      <c r="M878" s="2">
        <f>logistics_data[[#This Row],[Cost]]/logistics_data[[#This Row],[Distance_miles]]</f>
        <v>0.1318472906403941</v>
      </c>
      <c r="N878" t="str">
        <f>IF(logistics_data[[#This Row],[Orginal staus of shipment]]&lt;&gt;"Delivered","not applicabel", IF(logistics_data[[#This Row],[Transit_Days]]&gt;=5,"slow","fast"))</f>
        <v>slow</v>
      </c>
    </row>
    <row r="879" spans="1:14" x14ac:dyDescent="0.3">
      <c r="A879" t="s">
        <v>925</v>
      </c>
      <c r="B879" t="s">
        <v>30</v>
      </c>
      <c r="C879" t="s">
        <v>13</v>
      </c>
      <c r="D879" t="s">
        <v>37</v>
      </c>
      <c r="E879" s="1">
        <v>45137</v>
      </c>
      <c r="F879" s="1">
        <v>45139</v>
      </c>
      <c r="G879">
        <v>27.3</v>
      </c>
      <c r="H879">
        <v>70.849999999999994</v>
      </c>
      <c r="I879" t="s">
        <v>15</v>
      </c>
      <c r="J879">
        <v>337</v>
      </c>
      <c r="K879">
        <v>2</v>
      </c>
      <c r="L879" t="str">
        <f>IF(logistics_data[[#This Row],[Delivery_Date]]="","In Transit",
 IF(logistics_data[[#This Row],[Status]]="Lost","Lost",
 IF(logistics_data[[#This Row],[Status]]="Returned","Returned",
 IF(logistics_data[[#This Row],[Status]]="Delayed","Delayed",
 "Delivered"))))</f>
        <v>Delivered</v>
      </c>
      <c r="M879" s="2">
        <f>logistics_data[[#This Row],[Cost]]/logistics_data[[#This Row],[Distance_miles]]</f>
        <v>0.21023738872403558</v>
      </c>
      <c r="N879" t="str">
        <f>IF(logistics_data[[#This Row],[Orginal staus of shipment]]&lt;&gt;"Delivered","not applicabel", IF(logistics_data[[#This Row],[Transit_Days]]&gt;=5,"slow","fast"))</f>
        <v>fast</v>
      </c>
    </row>
    <row r="880" spans="1:14" x14ac:dyDescent="0.3">
      <c r="A880" t="s">
        <v>926</v>
      </c>
      <c r="B880" t="s">
        <v>27</v>
      </c>
      <c r="C880" t="s">
        <v>36</v>
      </c>
      <c r="D880" t="s">
        <v>37</v>
      </c>
      <c r="E880" s="1">
        <v>45019</v>
      </c>
      <c r="F880" s="1">
        <v>45024</v>
      </c>
      <c r="G880">
        <v>11.9</v>
      </c>
      <c r="H880">
        <v>260.02</v>
      </c>
      <c r="I880" t="s">
        <v>15</v>
      </c>
      <c r="J880">
        <v>2131</v>
      </c>
      <c r="K880">
        <v>5</v>
      </c>
      <c r="L880" t="str">
        <f>IF(logistics_data[[#This Row],[Delivery_Date]]="","In Transit",
 IF(logistics_data[[#This Row],[Status]]="Lost","Lost",
 IF(logistics_data[[#This Row],[Status]]="Returned","Returned",
 IF(logistics_data[[#This Row],[Status]]="Delayed","Delayed",
 "Delivered"))))</f>
        <v>Delivered</v>
      </c>
      <c r="M880" s="2">
        <f>logistics_data[[#This Row],[Cost]]/logistics_data[[#This Row],[Distance_miles]]</f>
        <v>0.1220178320037541</v>
      </c>
      <c r="N880" t="str">
        <f>IF(logistics_data[[#This Row],[Orginal staus of shipment]]&lt;&gt;"Delivered","not applicabel", IF(logistics_data[[#This Row],[Transit_Days]]&gt;=5,"slow","fast"))</f>
        <v>slow</v>
      </c>
    </row>
    <row r="881" spans="1:14" x14ac:dyDescent="0.3">
      <c r="A881" t="s">
        <v>927</v>
      </c>
      <c r="B881" t="s">
        <v>30</v>
      </c>
      <c r="C881" t="s">
        <v>70</v>
      </c>
      <c r="D881" t="s">
        <v>25</v>
      </c>
      <c r="E881" s="1">
        <v>45203</v>
      </c>
      <c r="F881" s="1">
        <v>45208</v>
      </c>
      <c r="G881">
        <v>125.8</v>
      </c>
      <c r="H881">
        <v>154.81</v>
      </c>
      <c r="I881" t="s">
        <v>15</v>
      </c>
      <c r="J881">
        <v>144</v>
      </c>
      <c r="K881">
        <v>5</v>
      </c>
      <c r="L881" t="str">
        <f>IF(logistics_data[[#This Row],[Delivery_Date]]="","In Transit",
 IF(logistics_data[[#This Row],[Status]]="Lost","Lost",
 IF(logistics_data[[#This Row],[Status]]="Returned","Returned",
 IF(logistics_data[[#This Row],[Status]]="Delayed","Delayed",
 "Delivered"))))</f>
        <v>Delivered</v>
      </c>
      <c r="M881" s="2">
        <f>logistics_data[[#This Row],[Cost]]/logistics_data[[#This Row],[Distance_miles]]</f>
        <v>1.0750694444444444</v>
      </c>
      <c r="N881" t="str">
        <f>IF(logistics_data[[#This Row],[Orginal staus of shipment]]&lt;&gt;"Delivered","not applicabel", IF(logistics_data[[#This Row],[Transit_Days]]&gt;=5,"slow","fast"))</f>
        <v>slow</v>
      </c>
    </row>
    <row r="882" spans="1:14" x14ac:dyDescent="0.3">
      <c r="A882" t="s">
        <v>928</v>
      </c>
      <c r="B882" t="s">
        <v>39</v>
      </c>
      <c r="C882" t="s">
        <v>52</v>
      </c>
      <c r="D882" t="s">
        <v>42</v>
      </c>
      <c r="E882" s="1">
        <v>45002</v>
      </c>
      <c r="F882" s="1">
        <v>45006</v>
      </c>
      <c r="G882">
        <v>24.7</v>
      </c>
      <c r="H882">
        <v>73.47</v>
      </c>
      <c r="I882" t="s">
        <v>15</v>
      </c>
      <c r="J882">
        <v>371</v>
      </c>
      <c r="K882">
        <v>4</v>
      </c>
      <c r="L882" t="str">
        <f>IF(logistics_data[[#This Row],[Delivery_Date]]="","In Transit",
 IF(logistics_data[[#This Row],[Status]]="Lost","Lost",
 IF(logistics_data[[#This Row],[Status]]="Returned","Returned",
 IF(logistics_data[[#This Row],[Status]]="Delayed","Delayed",
 "Delivered"))))</f>
        <v>Delivered</v>
      </c>
      <c r="M882" s="2">
        <f>logistics_data[[#This Row],[Cost]]/logistics_data[[#This Row],[Distance_miles]]</f>
        <v>0.19803234501347708</v>
      </c>
      <c r="N882" t="str">
        <f>IF(logistics_data[[#This Row],[Orginal staus of shipment]]&lt;&gt;"Delivered","not applicabel", IF(logistics_data[[#This Row],[Transit_Days]]&gt;=5,"slow","fast"))</f>
        <v>fast</v>
      </c>
    </row>
    <row r="883" spans="1:14" x14ac:dyDescent="0.3">
      <c r="A883" t="s">
        <v>929</v>
      </c>
      <c r="B883" t="s">
        <v>56</v>
      </c>
      <c r="C883" t="s">
        <v>57</v>
      </c>
      <c r="D883" t="s">
        <v>59</v>
      </c>
      <c r="E883" s="1">
        <v>45133</v>
      </c>
      <c r="F883" s="1">
        <v>45138</v>
      </c>
      <c r="G883">
        <v>22.8</v>
      </c>
      <c r="H883">
        <v>287.85000000000002</v>
      </c>
      <c r="I883" t="s">
        <v>15</v>
      </c>
      <c r="J883">
        <v>2393</v>
      </c>
      <c r="K883">
        <v>5</v>
      </c>
      <c r="L883" t="str">
        <f>IF(logistics_data[[#This Row],[Delivery_Date]]="","In Transit",
 IF(logistics_data[[#This Row],[Status]]="Lost","Lost",
 IF(logistics_data[[#This Row],[Status]]="Returned","Returned",
 IF(logistics_data[[#This Row],[Status]]="Delayed","Delayed",
 "Delivered"))))</f>
        <v>Delivered</v>
      </c>
      <c r="M883" s="2">
        <f>logistics_data[[#This Row],[Cost]]/logistics_data[[#This Row],[Distance_miles]]</f>
        <v>0.12028834099456749</v>
      </c>
      <c r="N883" t="str">
        <f>IF(logistics_data[[#This Row],[Orginal staus of shipment]]&lt;&gt;"Delivered","not applicabel", IF(logistics_data[[#This Row],[Transit_Days]]&gt;=5,"slow","fast"))</f>
        <v>slow</v>
      </c>
    </row>
    <row r="884" spans="1:14" x14ac:dyDescent="0.3">
      <c r="A884" t="s">
        <v>930</v>
      </c>
      <c r="B884" t="s">
        <v>27</v>
      </c>
      <c r="C884" t="s">
        <v>46</v>
      </c>
      <c r="D884" t="s">
        <v>18</v>
      </c>
      <c r="E884" s="1">
        <v>45054</v>
      </c>
      <c r="F884" s="1">
        <v>45059</v>
      </c>
      <c r="G884">
        <v>18.100000000000001</v>
      </c>
      <c r="H884">
        <v>236.64</v>
      </c>
      <c r="I884" t="s">
        <v>15</v>
      </c>
      <c r="J884">
        <v>1504</v>
      </c>
      <c r="K884">
        <v>5</v>
      </c>
      <c r="L884" t="str">
        <f>IF(logistics_data[[#This Row],[Delivery_Date]]="","In Transit",
 IF(logistics_data[[#This Row],[Status]]="Lost","Lost",
 IF(logistics_data[[#This Row],[Status]]="Returned","Returned",
 IF(logistics_data[[#This Row],[Status]]="Delayed","Delayed",
 "Delivered"))))</f>
        <v>Delivered</v>
      </c>
      <c r="M884" s="2">
        <f>logistics_data[[#This Row],[Cost]]/logistics_data[[#This Row],[Distance_miles]]</f>
        <v>0.15734042553191488</v>
      </c>
      <c r="N884" t="str">
        <f>IF(logistics_data[[#This Row],[Orginal staus of shipment]]&lt;&gt;"Delivered","not applicabel", IF(logistics_data[[#This Row],[Transit_Days]]&gt;=5,"slow","fast"))</f>
        <v>slow</v>
      </c>
    </row>
    <row r="885" spans="1:14" x14ac:dyDescent="0.3">
      <c r="A885" t="s">
        <v>931</v>
      </c>
      <c r="B885" t="s">
        <v>56</v>
      </c>
      <c r="C885" t="s">
        <v>44</v>
      </c>
      <c r="D885" t="s">
        <v>37</v>
      </c>
      <c r="E885" s="1">
        <v>45222</v>
      </c>
      <c r="F885" s="1">
        <v>45229</v>
      </c>
      <c r="G885">
        <v>8.6999999999999993</v>
      </c>
      <c r="H885">
        <v>296.81</v>
      </c>
      <c r="I885" t="s">
        <v>15</v>
      </c>
      <c r="J885">
        <v>2333</v>
      </c>
      <c r="K885">
        <v>7</v>
      </c>
      <c r="L885" t="str">
        <f>IF(logistics_data[[#This Row],[Delivery_Date]]="","In Transit",
 IF(logistics_data[[#This Row],[Status]]="Lost","Lost",
 IF(logistics_data[[#This Row],[Status]]="Returned","Returned",
 IF(logistics_data[[#This Row],[Status]]="Delayed","Delayed",
 "Delivered"))))</f>
        <v>Delivered</v>
      </c>
      <c r="M885" s="2">
        <f>logistics_data[[#This Row],[Cost]]/logistics_data[[#This Row],[Distance_miles]]</f>
        <v>0.12722246035147877</v>
      </c>
      <c r="N885" t="str">
        <f>IF(logistics_data[[#This Row],[Orginal staus of shipment]]&lt;&gt;"Delivered","not applicabel", IF(logistics_data[[#This Row],[Transit_Days]]&gt;=5,"slow","fast"))</f>
        <v>slow</v>
      </c>
    </row>
    <row r="886" spans="1:14" x14ac:dyDescent="0.3">
      <c r="A886" t="s">
        <v>932</v>
      </c>
      <c r="B886" t="s">
        <v>49</v>
      </c>
      <c r="C886" t="s">
        <v>28</v>
      </c>
      <c r="D886" t="s">
        <v>32</v>
      </c>
      <c r="E886" s="1">
        <v>45225</v>
      </c>
      <c r="F886" s="1">
        <v>45226</v>
      </c>
      <c r="G886">
        <v>27.5</v>
      </c>
      <c r="H886">
        <v>68.709999999999994</v>
      </c>
      <c r="I886" t="s">
        <v>15</v>
      </c>
      <c r="J886">
        <v>303</v>
      </c>
      <c r="K886">
        <v>1</v>
      </c>
      <c r="L886" t="str">
        <f>IF(logistics_data[[#This Row],[Delivery_Date]]="","In Transit",
 IF(logistics_data[[#This Row],[Status]]="Lost","Lost",
 IF(logistics_data[[#This Row],[Status]]="Returned","Returned",
 IF(logistics_data[[#This Row],[Status]]="Delayed","Delayed",
 "Delivered"))))</f>
        <v>Delivered</v>
      </c>
      <c r="M886" s="2">
        <f>logistics_data[[#This Row],[Cost]]/logistics_data[[#This Row],[Distance_miles]]</f>
        <v>0.22676567656765675</v>
      </c>
      <c r="N886" t="str">
        <f>IF(logistics_data[[#This Row],[Orginal staus of shipment]]&lt;&gt;"Delivered","not applicabel", IF(logistics_data[[#This Row],[Transit_Days]]&gt;=5,"slow","fast"))</f>
        <v>fast</v>
      </c>
    </row>
    <row r="887" spans="1:14" x14ac:dyDescent="0.3">
      <c r="A887" t="s">
        <v>933</v>
      </c>
      <c r="B887" t="s">
        <v>39</v>
      </c>
      <c r="C887" t="s">
        <v>24</v>
      </c>
      <c r="D887" t="s">
        <v>42</v>
      </c>
      <c r="E887" s="1">
        <v>45270</v>
      </c>
      <c r="F887" s="1">
        <v>45275</v>
      </c>
      <c r="G887">
        <v>10.5</v>
      </c>
      <c r="H887">
        <v>308.36</v>
      </c>
      <c r="I887" t="s">
        <v>62</v>
      </c>
      <c r="J887">
        <v>2147</v>
      </c>
      <c r="K887">
        <v>5</v>
      </c>
      <c r="L887" t="str">
        <f>IF(logistics_data[[#This Row],[Delivery_Date]]="","In Transit",
 IF(logistics_data[[#This Row],[Status]]="Lost","Lost",
 IF(logistics_data[[#This Row],[Status]]="Returned","Returned",
 IF(logistics_data[[#This Row],[Status]]="Delayed","Delayed",
 "Delivered"))))</f>
        <v>Delivered</v>
      </c>
      <c r="M887" s="2">
        <f>logistics_data[[#This Row],[Cost]]/logistics_data[[#This Row],[Distance_miles]]</f>
        <v>0.14362366092221707</v>
      </c>
      <c r="N887" t="str">
        <f>IF(logistics_data[[#This Row],[Orginal staus of shipment]]&lt;&gt;"Delivered","not applicabel", IF(logistics_data[[#This Row],[Transit_Days]]&gt;=5,"slow","fast"))</f>
        <v>slow</v>
      </c>
    </row>
    <row r="888" spans="1:14" x14ac:dyDescent="0.3">
      <c r="A888" t="s">
        <v>934</v>
      </c>
      <c r="B888" t="s">
        <v>56</v>
      </c>
      <c r="C888" t="s">
        <v>31</v>
      </c>
      <c r="D888" t="s">
        <v>59</v>
      </c>
      <c r="E888" s="1">
        <v>45285</v>
      </c>
      <c r="F888" s="1">
        <v>45297</v>
      </c>
      <c r="G888">
        <v>24.8</v>
      </c>
      <c r="H888">
        <v>54.1</v>
      </c>
      <c r="I888" t="s">
        <v>47</v>
      </c>
      <c r="J888">
        <v>118</v>
      </c>
      <c r="K888">
        <v>1</v>
      </c>
      <c r="L888" t="str">
        <f>IF(logistics_data[[#This Row],[Delivery_Date]]="","In Transit",
 IF(logistics_data[[#This Row],[Status]]="Lost","Lost",
 IF(logistics_data[[#This Row],[Status]]="Returned","Returned",
 IF(logistics_data[[#This Row],[Status]]="Delayed","Delayed",
 "Delivered"))))</f>
        <v>Delayed</v>
      </c>
      <c r="M888" s="2">
        <f>logistics_data[[#This Row],[Cost]]/logistics_data[[#This Row],[Distance_miles]]</f>
        <v>0.45847457627118643</v>
      </c>
      <c r="N888" t="str">
        <f>IF(logistics_data[[#This Row],[Orginal staus of shipment]]&lt;&gt;"Delivered","not applicabel", IF(logistics_data[[#This Row],[Transit_Days]]&gt;=5,"slow","fast"))</f>
        <v>not applicabel</v>
      </c>
    </row>
    <row r="889" spans="1:14" x14ac:dyDescent="0.3">
      <c r="A889" t="s">
        <v>935</v>
      </c>
      <c r="B889" t="s">
        <v>30</v>
      </c>
      <c r="C889" t="s">
        <v>46</v>
      </c>
      <c r="D889" t="s">
        <v>37</v>
      </c>
      <c r="E889" s="1">
        <v>45247</v>
      </c>
      <c r="F889" s="1">
        <v>45253</v>
      </c>
      <c r="G889">
        <v>42.3</v>
      </c>
      <c r="H889">
        <v>378.62</v>
      </c>
      <c r="I889" t="s">
        <v>15</v>
      </c>
      <c r="J889">
        <v>2282</v>
      </c>
      <c r="K889">
        <v>6</v>
      </c>
      <c r="L889" t="str">
        <f>IF(logistics_data[[#This Row],[Delivery_Date]]="","In Transit",
 IF(logistics_data[[#This Row],[Status]]="Lost","Lost",
 IF(logistics_data[[#This Row],[Status]]="Returned","Returned",
 IF(logistics_data[[#This Row],[Status]]="Delayed","Delayed",
 "Delivered"))))</f>
        <v>Delivered</v>
      </c>
      <c r="M889" s="2">
        <f>logistics_data[[#This Row],[Cost]]/logistics_data[[#This Row],[Distance_miles]]</f>
        <v>0.16591586327782648</v>
      </c>
      <c r="N889" t="str">
        <f>IF(logistics_data[[#This Row],[Orginal staus of shipment]]&lt;&gt;"Delivered","not applicabel", IF(logistics_data[[#This Row],[Transit_Days]]&gt;=5,"slow","fast"))</f>
        <v>slow</v>
      </c>
    </row>
    <row r="890" spans="1:14" x14ac:dyDescent="0.3">
      <c r="A890" t="s">
        <v>936</v>
      </c>
      <c r="B890" t="s">
        <v>35</v>
      </c>
      <c r="C890" t="s">
        <v>17</v>
      </c>
      <c r="D890" t="s">
        <v>59</v>
      </c>
      <c r="E890" s="1">
        <v>44982</v>
      </c>
      <c r="F890" s="1">
        <v>44989</v>
      </c>
      <c r="G890">
        <v>13.5</v>
      </c>
      <c r="H890">
        <v>246</v>
      </c>
      <c r="I890" t="s">
        <v>15</v>
      </c>
      <c r="J890">
        <v>2106</v>
      </c>
      <c r="K890">
        <v>7</v>
      </c>
      <c r="L890" t="str">
        <f>IF(logistics_data[[#This Row],[Delivery_Date]]="","In Transit",
 IF(logistics_data[[#This Row],[Status]]="Lost","Lost",
 IF(logistics_data[[#This Row],[Status]]="Returned","Returned",
 IF(logistics_data[[#This Row],[Status]]="Delayed","Delayed",
 "Delivered"))))</f>
        <v>Delivered</v>
      </c>
      <c r="M890" s="2">
        <f>logistics_data[[#This Row],[Cost]]/logistics_data[[#This Row],[Distance_miles]]</f>
        <v>0.11680911680911681</v>
      </c>
      <c r="N890" t="str">
        <f>IF(logistics_data[[#This Row],[Orginal staus of shipment]]&lt;&gt;"Delivered","not applicabel", IF(logistics_data[[#This Row],[Transit_Days]]&gt;=5,"slow","fast"))</f>
        <v>slow</v>
      </c>
    </row>
    <row r="891" spans="1:14" x14ac:dyDescent="0.3">
      <c r="A891" t="s">
        <v>937</v>
      </c>
      <c r="B891" t="s">
        <v>20</v>
      </c>
      <c r="C891" t="s">
        <v>52</v>
      </c>
      <c r="D891" t="s">
        <v>25</v>
      </c>
      <c r="E891" s="1">
        <v>45076</v>
      </c>
      <c r="F891" s="1">
        <v>45079</v>
      </c>
      <c r="G891">
        <v>9.4</v>
      </c>
      <c r="H891">
        <v>61.04</v>
      </c>
      <c r="I891" t="s">
        <v>15</v>
      </c>
      <c r="J891">
        <v>373</v>
      </c>
      <c r="K891">
        <v>3</v>
      </c>
      <c r="L891" t="str">
        <f>IF(logistics_data[[#This Row],[Delivery_Date]]="","In Transit",
 IF(logistics_data[[#This Row],[Status]]="Lost","Lost",
 IF(logistics_data[[#This Row],[Status]]="Returned","Returned",
 IF(logistics_data[[#This Row],[Status]]="Delayed","Delayed",
 "Delivered"))))</f>
        <v>Delivered</v>
      </c>
      <c r="M891" s="2">
        <f>logistics_data[[#This Row],[Cost]]/logistics_data[[#This Row],[Distance_miles]]</f>
        <v>0.16364611260053619</v>
      </c>
      <c r="N891" t="str">
        <f>IF(logistics_data[[#This Row],[Orginal staus of shipment]]&lt;&gt;"Delivered","not applicabel", IF(logistics_data[[#This Row],[Transit_Days]]&gt;=5,"slow","fast"))</f>
        <v>fast</v>
      </c>
    </row>
    <row r="892" spans="1:14" x14ac:dyDescent="0.3">
      <c r="A892" t="s">
        <v>938</v>
      </c>
      <c r="B892" t="s">
        <v>56</v>
      </c>
      <c r="C892" t="s">
        <v>13</v>
      </c>
      <c r="D892" t="s">
        <v>25</v>
      </c>
      <c r="E892" s="1">
        <v>45063</v>
      </c>
      <c r="F892" s="1">
        <v>45067</v>
      </c>
      <c r="G892">
        <v>20.6</v>
      </c>
      <c r="H892">
        <v>219.02</v>
      </c>
      <c r="I892" t="s">
        <v>15</v>
      </c>
      <c r="J892">
        <v>1611</v>
      </c>
      <c r="K892">
        <v>4</v>
      </c>
      <c r="L892" t="str">
        <f>IF(logistics_data[[#This Row],[Delivery_Date]]="","In Transit",
 IF(logistics_data[[#This Row],[Status]]="Lost","Lost",
 IF(logistics_data[[#This Row],[Status]]="Returned","Returned",
 IF(logistics_data[[#This Row],[Status]]="Delayed","Delayed",
 "Delivered"))))</f>
        <v>Delivered</v>
      </c>
      <c r="M892" s="2">
        <f>logistics_data[[#This Row],[Cost]]/logistics_data[[#This Row],[Distance_miles]]</f>
        <v>0.13595282433271261</v>
      </c>
      <c r="N892" t="str">
        <f>IF(logistics_data[[#This Row],[Orginal staus of shipment]]&lt;&gt;"Delivered","not applicabel", IF(logistics_data[[#This Row],[Transit_Days]]&gt;=5,"slow","fast"))</f>
        <v>fast</v>
      </c>
    </row>
    <row r="893" spans="1:14" x14ac:dyDescent="0.3">
      <c r="A893" t="s">
        <v>939</v>
      </c>
      <c r="B893" t="s">
        <v>51</v>
      </c>
      <c r="C893" t="s">
        <v>17</v>
      </c>
      <c r="D893" t="s">
        <v>42</v>
      </c>
      <c r="E893" s="1">
        <v>45214</v>
      </c>
      <c r="F893" s="1">
        <v>45218</v>
      </c>
      <c r="G893">
        <v>75.7</v>
      </c>
      <c r="H893">
        <v>211.3</v>
      </c>
      <c r="I893" t="s">
        <v>15</v>
      </c>
      <c r="J893">
        <v>870</v>
      </c>
      <c r="K893">
        <v>4</v>
      </c>
      <c r="L893" t="str">
        <f>IF(logistics_data[[#This Row],[Delivery_Date]]="","In Transit",
 IF(logistics_data[[#This Row],[Status]]="Lost","Lost",
 IF(logistics_data[[#This Row],[Status]]="Returned","Returned",
 IF(logistics_data[[#This Row],[Status]]="Delayed","Delayed",
 "Delivered"))))</f>
        <v>Delivered</v>
      </c>
      <c r="M893" s="2">
        <f>logistics_data[[#This Row],[Cost]]/logistics_data[[#This Row],[Distance_miles]]</f>
        <v>0.24287356321839082</v>
      </c>
      <c r="N893" t="str">
        <f>IF(logistics_data[[#This Row],[Orginal staus of shipment]]&lt;&gt;"Delivered","not applicabel", IF(logistics_data[[#This Row],[Transit_Days]]&gt;=5,"slow","fast"))</f>
        <v>fast</v>
      </c>
    </row>
    <row r="894" spans="1:14" x14ac:dyDescent="0.3">
      <c r="A894" t="s">
        <v>940</v>
      </c>
      <c r="B894" t="s">
        <v>27</v>
      </c>
      <c r="C894" t="s">
        <v>31</v>
      </c>
      <c r="D894" t="s">
        <v>42</v>
      </c>
      <c r="E894" s="1">
        <v>45260</v>
      </c>
      <c r="F894" s="1">
        <v>45261</v>
      </c>
      <c r="G894">
        <v>11.3</v>
      </c>
      <c r="H894">
        <v>29.98</v>
      </c>
      <c r="I894" t="s">
        <v>15</v>
      </c>
      <c r="J894">
        <v>104</v>
      </c>
      <c r="K894">
        <v>1</v>
      </c>
      <c r="L894" t="str">
        <f>IF(logistics_data[[#This Row],[Delivery_Date]]="","In Transit",
 IF(logistics_data[[#This Row],[Status]]="Lost","Lost",
 IF(logistics_data[[#This Row],[Status]]="Returned","Returned",
 IF(logistics_data[[#This Row],[Status]]="Delayed","Delayed",
 "Delivered"))))</f>
        <v>Delivered</v>
      </c>
      <c r="M894" s="2">
        <f>logistics_data[[#This Row],[Cost]]/logistics_data[[#This Row],[Distance_miles]]</f>
        <v>0.28826923076923078</v>
      </c>
      <c r="N894" t="str">
        <f>IF(logistics_data[[#This Row],[Orginal staus of shipment]]&lt;&gt;"Delivered","not applicabel", IF(logistics_data[[#This Row],[Transit_Days]]&gt;=5,"slow","fast"))</f>
        <v>fast</v>
      </c>
    </row>
    <row r="895" spans="1:14" x14ac:dyDescent="0.3">
      <c r="A895" t="s">
        <v>941</v>
      </c>
      <c r="B895" t="s">
        <v>27</v>
      </c>
      <c r="C895" t="s">
        <v>28</v>
      </c>
      <c r="D895" t="s">
        <v>25</v>
      </c>
      <c r="E895" s="1">
        <v>45247</v>
      </c>
      <c r="F895" s="1">
        <v>45250</v>
      </c>
      <c r="G895">
        <v>10.5</v>
      </c>
      <c r="H895">
        <v>154.75</v>
      </c>
      <c r="I895" t="s">
        <v>15</v>
      </c>
      <c r="J895">
        <v>917</v>
      </c>
      <c r="K895">
        <v>3</v>
      </c>
      <c r="L895" t="str">
        <f>IF(logistics_data[[#This Row],[Delivery_Date]]="","In Transit",
 IF(logistics_data[[#This Row],[Status]]="Lost","Lost",
 IF(logistics_data[[#This Row],[Status]]="Returned","Returned",
 IF(logistics_data[[#This Row],[Status]]="Delayed","Delayed",
 "Delivered"))))</f>
        <v>Delivered</v>
      </c>
      <c r="M895" s="2">
        <f>logistics_data[[#This Row],[Cost]]/logistics_data[[#This Row],[Distance_miles]]</f>
        <v>0.16875681570338058</v>
      </c>
      <c r="N895" t="str">
        <f>IF(logistics_data[[#This Row],[Orginal staus of shipment]]&lt;&gt;"Delivered","not applicabel", IF(logistics_data[[#This Row],[Transit_Days]]&gt;=5,"slow","fast"))</f>
        <v>fast</v>
      </c>
    </row>
    <row r="896" spans="1:14" x14ac:dyDescent="0.3">
      <c r="A896" t="s">
        <v>942</v>
      </c>
      <c r="B896" t="s">
        <v>20</v>
      </c>
      <c r="C896" t="s">
        <v>21</v>
      </c>
      <c r="D896" t="s">
        <v>59</v>
      </c>
      <c r="E896" s="1">
        <v>45233</v>
      </c>
      <c r="F896" s="1">
        <v>45236</v>
      </c>
      <c r="G896">
        <v>21</v>
      </c>
      <c r="H896">
        <v>186.14</v>
      </c>
      <c r="I896" t="s">
        <v>15</v>
      </c>
      <c r="J896">
        <v>1090</v>
      </c>
      <c r="K896">
        <v>3</v>
      </c>
      <c r="L896" t="str">
        <f>IF(logistics_data[[#This Row],[Delivery_Date]]="","In Transit",
 IF(logistics_data[[#This Row],[Status]]="Lost","Lost",
 IF(logistics_data[[#This Row],[Status]]="Returned","Returned",
 IF(logistics_data[[#This Row],[Status]]="Delayed","Delayed",
 "Delivered"))))</f>
        <v>Delivered</v>
      </c>
      <c r="M896" s="2">
        <f>logistics_data[[#This Row],[Cost]]/logistics_data[[#This Row],[Distance_miles]]</f>
        <v>0.17077064220183485</v>
      </c>
      <c r="N896" t="str">
        <f>IF(logistics_data[[#This Row],[Orginal staus of shipment]]&lt;&gt;"Delivered","not applicabel", IF(logistics_data[[#This Row],[Transit_Days]]&gt;=5,"slow","fast"))</f>
        <v>fast</v>
      </c>
    </row>
    <row r="897" spans="1:14" x14ac:dyDescent="0.3">
      <c r="A897" t="s">
        <v>943</v>
      </c>
      <c r="B897" t="s">
        <v>35</v>
      </c>
      <c r="C897" t="s">
        <v>81</v>
      </c>
      <c r="D897" t="s">
        <v>14</v>
      </c>
      <c r="E897" s="1">
        <v>45284</v>
      </c>
      <c r="F897" s="1">
        <v>45286</v>
      </c>
      <c r="G897">
        <v>28.7</v>
      </c>
      <c r="H897">
        <v>188.12</v>
      </c>
      <c r="I897" t="s">
        <v>15</v>
      </c>
      <c r="J897">
        <v>1000</v>
      </c>
      <c r="K897">
        <v>2</v>
      </c>
      <c r="L897" t="str">
        <f>IF(logistics_data[[#This Row],[Delivery_Date]]="","In Transit",
 IF(logistics_data[[#This Row],[Status]]="Lost","Lost",
 IF(logistics_data[[#This Row],[Status]]="Returned","Returned",
 IF(logistics_data[[#This Row],[Status]]="Delayed","Delayed",
 "Delivered"))))</f>
        <v>Delivered</v>
      </c>
      <c r="M897" s="2">
        <f>logistics_data[[#This Row],[Cost]]/logistics_data[[#This Row],[Distance_miles]]</f>
        <v>0.18812000000000001</v>
      </c>
      <c r="N897" t="str">
        <f>IF(logistics_data[[#This Row],[Orginal staus of shipment]]&lt;&gt;"Delivered","not applicabel", IF(logistics_data[[#This Row],[Transit_Days]]&gt;=5,"slow","fast"))</f>
        <v>fast</v>
      </c>
    </row>
    <row r="898" spans="1:14" x14ac:dyDescent="0.3">
      <c r="A898" t="s">
        <v>944</v>
      </c>
      <c r="B898" t="s">
        <v>12</v>
      </c>
      <c r="C898" t="s">
        <v>36</v>
      </c>
      <c r="D898" t="s">
        <v>42</v>
      </c>
      <c r="E898" s="1">
        <v>45083</v>
      </c>
      <c r="F898" s="1">
        <v>45085</v>
      </c>
      <c r="G898">
        <v>14.1</v>
      </c>
      <c r="H898">
        <v>42.48</v>
      </c>
      <c r="I898" t="s">
        <v>15</v>
      </c>
      <c r="J898">
        <v>181</v>
      </c>
      <c r="K898">
        <v>2</v>
      </c>
      <c r="L898" t="str">
        <f>IF(logistics_data[[#This Row],[Delivery_Date]]="","In Transit",
 IF(logistics_data[[#This Row],[Status]]="Lost","Lost",
 IF(logistics_data[[#This Row],[Status]]="Returned","Returned",
 IF(logistics_data[[#This Row],[Status]]="Delayed","Delayed",
 "Delivered"))))</f>
        <v>Delivered</v>
      </c>
      <c r="M898" s="2">
        <f>logistics_data[[#This Row],[Cost]]/logistics_data[[#This Row],[Distance_miles]]</f>
        <v>0.23469613259668506</v>
      </c>
      <c r="N898" t="str">
        <f>IF(logistics_data[[#This Row],[Orginal staus of shipment]]&lt;&gt;"Delivered","not applicabel", IF(logistics_data[[#This Row],[Transit_Days]]&gt;=5,"slow","fast"))</f>
        <v>fast</v>
      </c>
    </row>
    <row r="899" spans="1:14" x14ac:dyDescent="0.3">
      <c r="A899" t="s">
        <v>945</v>
      </c>
      <c r="B899" t="s">
        <v>39</v>
      </c>
      <c r="C899" t="s">
        <v>52</v>
      </c>
      <c r="D899" t="s">
        <v>14</v>
      </c>
      <c r="E899" s="1">
        <v>45005</v>
      </c>
      <c r="F899" s="1">
        <v>45012</v>
      </c>
      <c r="G899">
        <v>35.700000000000003</v>
      </c>
      <c r="H899">
        <v>341.41</v>
      </c>
      <c r="I899" t="s">
        <v>15</v>
      </c>
      <c r="J899">
        <v>2300</v>
      </c>
      <c r="K899">
        <v>7</v>
      </c>
      <c r="L899" t="str">
        <f>IF(logistics_data[[#This Row],[Delivery_Date]]="","In Transit",
 IF(logistics_data[[#This Row],[Status]]="Lost","Lost",
 IF(logistics_data[[#This Row],[Status]]="Returned","Returned",
 IF(logistics_data[[#This Row],[Status]]="Delayed","Delayed",
 "Delivered"))))</f>
        <v>Delivered</v>
      </c>
      <c r="M899" s="2">
        <f>logistics_data[[#This Row],[Cost]]/logistics_data[[#This Row],[Distance_miles]]</f>
        <v>0.14843913043478263</v>
      </c>
      <c r="N899" t="str">
        <f>IF(logistics_data[[#This Row],[Orginal staus of shipment]]&lt;&gt;"Delivered","not applicabel", IF(logistics_data[[#This Row],[Transit_Days]]&gt;=5,"slow","fast"))</f>
        <v>slow</v>
      </c>
    </row>
    <row r="900" spans="1:14" x14ac:dyDescent="0.3">
      <c r="A900" t="s">
        <v>946</v>
      </c>
      <c r="B900" t="s">
        <v>27</v>
      </c>
      <c r="C900" t="s">
        <v>81</v>
      </c>
      <c r="D900" t="s">
        <v>25</v>
      </c>
      <c r="E900" s="1">
        <v>45180</v>
      </c>
      <c r="F900" s="1">
        <v>45185</v>
      </c>
      <c r="G900">
        <v>40.5</v>
      </c>
      <c r="H900">
        <v>175.32</v>
      </c>
      <c r="I900" t="s">
        <v>15</v>
      </c>
      <c r="J900">
        <v>1176</v>
      </c>
      <c r="K900">
        <v>5</v>
      </c>
      <c r="L900" t="str">
        <f>IF(logistics_data[[#This Row],[Delivery_Date]]="","In Transit",
 IF(logistics_data[[#This Row],[Status]]="Lost","Lost",
 IF(logistics_data[[#This Row],[Status]]="Returned","Returned",
 IF(logistics_data[[#This Row],[Status]]="Delayed","Delayed",
 "Delivered"))))</f>
        <v>Delivered</v>
      </c>
      <c r="M900" s="2">
        <f>logistics_data[[#This Row],[Cost]]/logistics_data[[#This Row],[Distance_miles]]</f>
        <v>0.14908163265306121</v>
      </c>
      <c r="N900" t="str">
        <f>IF(logistics_data[[#This Row],[Orginal staus of shipment]]&lt;&gt;"Delivered","not applicabel", IF(logistics_data[[#This Row],[Transit_Days]]&gt;=5,"slow","fast"))</f>
        <v>slow</v>
      </c>
    </row>
    <row r="901" spans="1:14" x14ac:dyDescent="0.3">
      <c r="A901" t="s">
        <v>947</v>
      </c>
      <c r="B901" t="s">
        <v>39</v>
      </c>
      <c r="C901" t="s">
        <v>70</v>
      </c>
      <c r="D901" t="s">
        <v>14</v>
      </c>
      <c r="E901" s="1">
        <v>45006</v>
      </c>
      <c r="F901" s="1">
        <v>45021</v>
      </c>
      <c r="G901">
        <v>18.2</v>
      </c>
      <c r="H901">
        <v>150.78</v>
      </c>
      <c r="I901" t="s">
        <v>47</v>
      </c>
      <c r="J901">
        <v>915</v>
      </c>
      <c r="K901">
        <v>3</v>
      </c>
      <c r="L901" t="str">
        <f>IF(logistics_data[[#This Row],[Delivery_Date]]="","In Transit",
 IF(logistics_data[[#This Row],[Status]]="Lost","Lost",
 IF(logistics_data[[#This Row],[Status]]="Returned","Returned",
 IF(logistics_data[[#This Row],[Status]]="Delayed","Delayed",
 "Delivered"))))</f>
        <v>Delayed</v>
      </c>
      <c r="M901" s="2">
        <f>logistics_data[[#This Row],[Cost]]/logistics_data[[#This Row],[Distance_miles]]</f>
        <v>0.16478688524590165</v>
      </c>
      <c r="N901" t="str">
        <f>IF(logistics_data[[#This Row],[Orginal staus of shipment]]&lt;&gt;"Delivered","not applicabel", IF(logistics_data[[#This Row],[Transit_Days]]&gt;=5,"slow","fast"))</f>
        <v>not applicabel</v>
      </c>
    </row>
    <row r="902" spans="1:14" x14ac:dyDescent="0.3">
      <c r="A902" t="s">
        <v>948</v>
      </c>
      <c r="B902" t="s">
        <v>20</v>
      </c>
      <c r="C902" t="s">
        <v>70</v>
      </c>
      <c r="D902" t="s">
        <v>18</v>
      </c>
      <c r="E902" s="1">
        <v>45238</v>
      </c>
      <c r="F902" s="1">
        <v>45253</v>
      </c>
      <c r="G902">
        <v>11.9</v>
      </c>
      <c r="H902">
        <v>103</v>
      </c>
      <c r="I902" t="s">
        <v>47</v>
      </c>
      <c r="J902">
        <v>495</v>
      </c>
      <c r="K902">
        <v>6</v>
      </c>
      <c r="L902" t="str">
        <f>IF(logistics_data[[#This Row],[Delivery_Date]]="","In Transit",
 IF(logistics_data[[#This Row],[Status]]="Lost","Lost",
 IF(logistics_data[[#This Row],[Status]]="Returned","Returned",
 IF(logistics_data[[#This Row],[Status]]="Delayed","Delayed",
 "Delivered"))))</f>
        <v>Delayed</v>
      </c>
      <c r="M902" s="2">
        <f>logistics_data[[#This Row],[Cost]]/logistics_data[[#This Row],[Distance_miles]]</f>
        <v>0.20808080808080809</v>
      </c>
      <c r="N902" t="str">
        <f>IF(logistics_data[[#This Row],[Orginal staus of shipment]]&lt;&gt;"Delivered","not applicabel", IF(logistics_data[[#This Row],[Transit_Days]]&gt;=5,"slow","fast"))</f>
        <v>not applicabel</v>
      </c>
    </row>
    <row r="903" spans="1:14" x14ac:dyDescent="0.3">
      <c r="A903" t="s">
        <v>949</v>
      </c>
      <c r="B903" t="s">
        <v>12</v>
      </c>
      <c r="C903" t="s">
        <v>57</v>
      </c>
      <c r="D903" t="s">
        <v>18</v>
      </c>
      <c r="E903" s="1">
        <v>45245</v>
      </c>
      <c r="F903" s="1">
        <v>45247</v>
      </c>
      <c r="G903">
        <v>24.4</v>
      </c>
      <c r="H903">
        <v>146.91</v>
      </c>
      <c r="I903" t="s">
        <v>15</v>
      </c>
      <c r="J903">
        <v>605</v>
      </c>
      <c r="K903">
        <v>2</v>
      </c>
      <c r="L903" t="str">
        <f>IF(logistics_data[[#This Row],[Delivery_Date]]="","In Transit",
 IF(logistics_data[[#This Row],[Status]]="Lost","Lost",
 IF(logistics_data[[#This Row],[Status]]="Returned","Returned",
 IF(logistics_data[[#This Row],[Status]]="Delayed","Delayed",
 "Delivered"))))</f>
        <v>Delivered</v>
      </c>
      <c r="M903" s="2">
        <f>logistics_data[[#This Row],[Cost]]/logistics_data[[#This Row],[Distance_miles]]</f>
        <v>0.24282644628099173</v>
      </c>
      <c r="N903" t="str">
        <f>IF(logistics_data[[#This Row],[Orginal staus of shipment]]&lt;&gt;"Delivered","not applicabel", IF(logistics_data[[#This Row],[Transit_Days]]&gt;=5,"slow","fast"))</f>
        <v>fast</v>
      </c>
    </row>
    <row r="904" spans="1:14" x14ac:dyDescent="0.3">
      <c r="A904" t="s">
        <v>950</v>
      </c>
      <c r="B904" t="s">
        <v>20</v>
      </c>
      <c r="C904" t="s">
        <v>28</v>
      </c>
      <c r="D904" t="s">
        <v>18</v>
      </c>
      <c r="E904" s="1">
        <v>45255</v>
      </c>
      <c r="F904" s="1">
        <v>45258</v>
      </c>
      <c r="G904">
        <v>18</v>
      </c>
      <c r="H904">
        <v>271.66000000000003</v>
      </c>
      <c r="I904" t="s">
        <v>15</v>
      </c>
      <c r="J904">
        <v>1435</v>
      </c>
      <c r="K904">
        <v>3</v>
      </c>
      <c r="L904" t="str">
        <f>IF(logistics_data[[#This Row],[Delivery_Date]]="","In Transit",
 IF(logistics_data[[#This Row],[Status]]="Lost","Lost",
 IF(logistics_data[[#This Row],[Status]]="Returned","Returned",
 IF(logistics_data[[#This Row],[Status]]="Delayed","Delayed",
 "Delivered"))))</f>
        <v>Delivered</v>
      </c>
      <c r="M904" s="2">
        <f>logistics_data[[#This Row],[Cost]]/logistics_data[[#This Row],[Distance_miles]]</f>
        <v>0.18931010452961675</v>
      </c>
      <c r="N904" t="str">
        <f>IF(logistics_data[[#This Row],[Orginal staus of shipment]]&lt;&gt;"Delivered","not applicabel", IF(logistics_data[[#This Row],[Transit_Days]]&gt;=5,"slow","fast"))</f>
        <v>fast</v>
      </c>
    </row>
    <row r="905" spans="1:14" x14ac:dyDescent="0.3">
      <c r="A905" t="s">
        <v>951</v>
      </c>
      <c r="B905" t="s">
        <v>12</v>
      </c>
      <c r="C905" t="s">
        <v>70</v>
      </c>
      <c r="D905" t="s">
        <v>37</v>
      </c>
      <c r="E905" s="1">
        <v>45189</v>
      </c>
      <c r="F905" s="1">
        <v>45194</v>
      </c>
      <c r="G905">
        <v>11.8</v>
      </c>
      <c r="H905">
        <v>268.58999999999997</v>
      </c>
      <c r="I905" t="s">
        <v>15</v>
      </c>
      <c r="J905">
        <v>1973</v>
      </c>
      <c r="K905">
        <v>5</v>
      </c>
      <c r="L905" t="str">
        <f>IF(logistics_data[[#This Row],[Delivery_Date]]="","In Transit",
 IF(logistics_data[[#This Row],[Status]]="Lost","Lost",
 IF(logistics_data[[#This Row],[Status]]="Returned","Returned",
 IF(logistics_data[[#This Row],[Status]]="Delayed","Delayed",
 "Delivered"))))</f>
        <v>Delivered</v>
      </c>
      <c r="M905" s="2">
        <f>logistics_data[[#This Row],[Cost]]/logistics_data[[#This Row],[Distance_miles]]</f>
        <v>0.13613279270146983</v>
      </c>
      <c r="N905" t="str">
        <f>IF(logistics_data[[#This Row],[Orginal staus of shipment]]&lt;&gt;"Delivered","not applicabel", IF(logistics_data[[#This Row],[Transit_Days]]&gt;=5,"slow","fast"))</f>
        <v>slow</v>
      </c>
    </row>
    <row r="906" spans="1:14" x14ac:dyDescent="0.3">
      <c r="A906" t="s">
        <v>952</v>
      </c>
      <c r="B906" t="s">
        <v>35</v>
      </c>
      <c r="C906" t="s">
        <v>57</v>
      </c>
      <c r="D906" t="s">
        <v>42</v>
      </c>
      <c r="E906" s="1">
        <v>45019</v>
      </c>
      <c r="F906" s="1">
        <v>45022</v>
      </c>
      <c r="G906">
        <v>30.9</v>
      </c>
      <c r="H906">
        <v>46.94</v>
      </c>
      <c r="I906" t="s">
        <v>15</v>
      </c>
      <c r="J906">
        <v>106</v>
      </c>
      <c r="K906">
        <v>3</v>
      </c>
      <c r="L906" t="str">
        <f>IF(logistics_data[[#This Row],[Delivery_Date]]="","In Transit",
 IF(logistics_data[[#This Row],[Status]]="Lost","Lost",
 IF(logistics_data[[#This Row],[Status]]="Returned","Returned",
 IF(logistics_data[[#This Row],[Status]]="Delayed","Delayed",
 "Delivered"))))</f>
        <v>Delivered</v>
      </c>
      <c r="M906" s="2">
        <f>logistics_data[[#This Row],[Cost]]/logistics_data[[#This Row],[Distance_miles]]</f>
        <v>0.44283018867924528</v>
      </c>
      <c r="N906" t="str">
        <f>IF(logistics_data[[#This Row],[Orginal staus of shipment]]&lt;&gt;"Delivered","not applicabel", IF(logistics_data[[#This Row],[Transit_Days]]&gt;=5,"slow","fast"))</f>
        <v>fast</v>
      </c>
    </row>
    <row r="907" spans="1:14" x14ac:dyDescent="0.3">
      <c r="A907" t="s">
        <v>953</v>
      </c>
      <c r="B907" t="s">
        <v>39</v>
      </c>
      <c r="C907" t="s">
        <v>54</v>
      </c>
      <c r="D907" t="s">
        <v>25</v>
      </c>
      <c r="E907" s="1">
        <v>45222</v>
      </c>
      <c r="F907" s="1">
        <v>45225</v>
      </c>
      <c r="G907">
        <v>59.4</v>
      </c>
      <c r="H907">
        <v>192.19</v>
      </c>
      <c r="I907" t="s">
        <v>15</v>
      </c>
      <c r="J907">
        <v>1118</v>
      </c>
      <c r="K907">
        <v>3</v>
      </c>
      <c r="L907" t="str">
        <f>IF(logistics_data[[#This Row],[Delivery_Date]]="","In Transit",
 IF(logistics_data[[#This Row],[Status]]="Lost","Lost",
 IF(logistics_data[[#This Row],[Status]]="Returned","Returned",
 IF(logistics_data[[#This Row],[Status]]="Delayed","Delayed",
 "Delivered"))))</f>
        <v>Delivered</v>
      </c>
      <c r="M907" s="2">
        <f>logistics_data[[#This Row],[Cost]]/logistics_data[[#This Row],[Distance_miles]]</f>
        <v>0.17190518783542039</v>
      </c>
      <c r="N907" t="str">
        <f>IF(logistics_data[[#This Row],[Orginal staus of shipment]]&lt;&gt;"Delivered","not applicabel", IF(logistics_data[[#This Row],[Transit_Days]]&gt;=5,"slow","fast"))</f>
        <v>fast</v>
      </c>
    </row>
    <row r="908" spans="1:14" x14ac:dyDescent="0.3">
      <c r="A908" t="s">
        <v>954</v>
      </c>
      <c r="B908" t="s">
        <v>27</v>
      </c>
      <c r="C908" t="s">
        <v>13</v>
      </c>
      <c r="D908" t="s">
        <v>37</v>
      </c>
      <c r="E908" s="1">
        <v>45258</v>
      </c>
      <c r="F908" s="1">
        <v>45263</v>
      </c>
      <c r="G908">
        <v>40.299999999999997</v>
      </c>
      <c r="H908">
        <v>208.84</v>
      </c>
      <c r="I908" t="s">
        <v>15</v>
      </c>
      <c r="J908">
        <v>1034</v>
      </c>
      <c r="K908">
        <v>5</v>
      </c>
      <c r="L908" t="str">
        <f>IF(logistics_data[[#This Row],[Delivery_Date]]="","In Transit",
 IF(logistics_data[[#This Row],[Status]]="Lost","Lost",
 IF(logistics_data[[#This Row],[Status]]="Returned","Returned",
 IF(logistics_data[[#This Row],[Status]]="Delayed","Delayed",
 "Delivered"))))</f>
        <v>Delivered</v>
      </c>
      <c r="M908" s="2">
        <f>logistics_data[[#This Row],[Cost]]/logistics_data[[#This Row],[Distance_miles]]</f>
        <v>0.20197292069632494</v>
      </c>
      <c r="N908" t="str">
        <f>IF(logistics_data[[#This Row],[Orginal staus of shipment]]&lt;&gt;"Delivered","not applicabel", IF(logistics_data[[#This Row],[Transit_Days]]&gt;=5,"slow","fast"))</f>
        <v>slow</v>
      </c>
    </row>
    <row r="909" spans="1:14" x14ac:dyDescent="0.3">
      <c r="A909" t="s">
        <v>955</v>
      </c>
      <c r="B909" t="s">
        <v>35</v>
      </c>
      <c r="C909" t="s">
        <v>24</v>
      </c>
      <c r="D909" t="s">
        <v>32</v>
      </c>
      <c r="E909" s="1">
        <v>45244</v>
      </c>
      <c r="F909" s="1">
        <v>45249</v>
      </c>
      <c r="G909">
        <v>14</v>
      </c>
      <c r="H909">
        <v>337</v>
      </c>
      <c r="I909" t="s">
        <v>15</v>
      </c>
      <c r="J909">
        <v>1878</v>
      </c>
      <c r="K909">
        <v>5</v>
      </c>
      <c r="L909" t="str">
        <f>IF(logistics_data[[#This Row],[Delivery_Date]]="","In Transit",
 IF(logistics_data[[#This Row],[Status]]="Lost","Lost",
 IF(logistics_data[[#This Row],[Status]]="Returned","Returned",
 IF(logistics_data[[#This Row],[Status]]="Delayed","Delayed",
 "Delivered"))))</f>
        <v>Delivered</v>
      </c>
      <c r="M909" s="2">
        <f>logistics_data[[#This Row],[Cost]]/logistics_data[[#This Row],[Distance_miles]]</f>
        <v>0.17944621938232161</v>
      </c>
      <c r="N909" t="str">
        <f>IF(logistics_data[[#This Row],[Orginal staus of shipment]]&lt;&gt;"Delivered","not applicabel", IF(logistics_data[[#This Row],[Transit_Days]]&gt;=5,"slow","fast"))</f>
        <v>slow</v>
      </c>
    </row>
    <row r="910" spans="1:14" x14ac:dyDescent="0.3">
      <c r="A910" t="s">
        <v>956</v>
      </c>
      <c r="B910" t="s">
        <v>27</v>
      </c>
      <c r="C910" t="s">
        <v>24</v>
      </c>
      <c r="D910" t="s">
        <v>18</v>
      </c>
      <c r="E910" s="1">
        <v>45031</v>
      </c>
      <c r="F910" s="1">
        <v>45035</v>
      </c>
      <c r="G910">
        <v>33.700000000000003</v>
      </c>
      <c r="H910">
        <v>302.22000000000003</v>
      </c>
      <c r="I910" t="s">
        <v>15</v>
      </c>
      <c r="J910">
        <v>1819</v>
      </c>
      <c r="K910">
        <v>4</v>
      </c>
      <c r="L910" t="str">
        <f>IF(logistics_data[[#This Row],[Delivery_Date]]="","In Transit",
 IF(logistics_data[[#This Row],[Status]]="Lost","Lost",
 IF(logistics_data[[#This Row],[Status]]="Returned","Returned",
 IF(logistics_data[[#This Row],[Status]]="Delayed","Delayed",
 "Delivered"))))</f>
        <v>Delivered</v>
      </c>
      <c r="M910" s="2">
        <f>logistics_data[[#This Row],[Cost]]/logistics_data[[#This Row],[Distance_miles]]</f>
        <v>0.16614623419461244</v>
      </c>
      <c r="N910" t="str">
        <f>IF(logistics_data[[#This Row],[Orginal staus of shipment]]&lt;&gt;"Delivered","not applicabel", IF(logistics_data[[#This Row],[Transit_Days]]&gt;=5,"slow","fast"))</f>
        <v>fast</v>
      </c>
    </row>
    <row r="911" spans="1:14" x14ac:dyDescent="0.3">
      <c r="A911" t="s">
        <v>957</v>
      </c>
      <c r="B911" t="s">
        <v>27</v>
      </c>
      <c r="C911" t="s">
        <v>28</v>
      </c>
      <c r="D911" t="s">
        <v>42</v>
      </c>
      <c r="E911" s="1">
        <v>44930</v>
      </c>
      <c r="F911" s="1">
        <v>44938</v>
      </c>
      <c r="G911">
        <v>32</v>
      </c>
      <c r="H911">
        <v>327.10000000000002</v>
      </c>
      <c r="I911" t="s">
        <v>15</v>
      </c>
      <c r="J911">
        <v>2355</v>
      </c>
      <c r="K911">
        <v>8</v>
      </c>
      <c r="L911" t="str">
        <f>IF(logistics_data[[#This Row],[Delivery_Date]]="","In Transit",
 IF(logistics_data[[#This Row],[Status]]="Lost","Lost",
 IF(logistics_data[[#This Row],[Status]]="Returned","Returned",
 IF(logistics_data[[#This Row],[Status]]="Delayed","Delayed",
 "Delivered"))))</f>
        <v>Delivered</v>
      </c>
      <c r="M911" s="2">
        <f>logistics_data[[#This Row],[Cost]]/logistics_data[[#This Row],[Distance_miles]]</f>
        <v>0.13889596602972401</v>
      </c>
      <c r="N911" t="str">
        <f>IF(logistics_data[[#This Row],[Orginal staus of shipment]]&lt;&gt;"Delivered","not applicabel", IF(logistics_data[[#This Row],[Transit_Days]]&gt;=5,"slow","fast"))</f>
        <v>slow</v>
      </c>
    </row>
    <row r="912" spans="1:14" x14ac:dyDescent="0.3">
      <c r="A912" t="s">
        <v>958</v>
      </c>
      <c r="B912" t="s">
        <v>27</v>
      </c>
      <c r="C912" t="s">
        <v>46</v>
      </c>
      <c r="D912" t="s">
        <v>37</v>
      </c>
      <c r="E912" s="1">
        <v>44969</v>
      </c>
      <c r="F912" s="1">
        <v>44974</v>
      </c>
      <c r="G912">
        <v>15.9</v>
      </c>
      <c r="H912">
        <v>308.5</v>
      </c>
      <c r="I912" t="s">
        <v>15</v>
      </c>
      <c r="J912">
        <v>2282</v>
      </c>
      <c r="K912">
        <v>5</v>
      </c>
      <c r="L912" t="str">
        <f>IF(logistics_data[[#This Row],[Delivery_Date]]="","In Transit",
 IF(logistics_data[[#This Row],[Status]]="Lost","Lost",
 IF(logistics_data[[#This Row],[Status]]="Returned","Returned",
 IF(logistics_data[[#This Row],[Status]]="Delayed","Delayed",
 "Delivered"))))</f>
        <v>Delivered</v>
      </c>
      <c r="M912" s="2">
        <f>logistics_data[[#This Row],[Cost]]/logistics_data[[#This Row],[Distance_miles]]</f>
        <v>0.13518843120070115</v>
      </c>
      <c r="N912" t="str">
        <f>IF(logistics_data[[#This Row],[Orginal staus of shipment]]&lt;&gt;"Delivered","not applicabel", IF(logistics_data[[#This Row],[Transit_Days]]&gt;=5,"slow","fast"))</f>
        <v>slow</v>
      </c>
    </row>
    <row r="913" spans="1:14" x14ac:dyDescent="0.3">
      <c r="A913" t="s">
        <v>959</v>
      </c>
      <c r="B913" t="s">
        <v>23</v>
      </c>
      <c r="C913" t="s">
        <v>31</v>
      </c>
      <c r="D913" t="s">
        <v>42</v>
      </c>
      <c r="E913" s="1">
        <v>45219</v>
      </c>
      <c r="F913" s="1">
        <v>45221</v>
      </c>
      <c r="G913">
        <v>31.6</v>
      </c>
      <c r="H913">
        <v>74.81</v>
      </c>
      <c r="I913" t="s">
        <v>15</v>
      </c>
      <c r="J913">
        <v>308</v>
      </c>
      <c r="K913">
        <v>2</v>
      </c>
      <c r="L913" t="str">
        <f>IF(logistics_data[[#This Row],[Delivery_Date]]="","In Transit",
 IF(logistics_data[[#This Row],[Status]]="Lost","Lost",
 IF(logistics_data[[#This Row],[Status]]="Returned","Returned",
 IF(logistics_data[[#This Row],[Status]]="Delayed","Delayed",
 "Delivered"))))</f>
        <v>Delivered</v>
      </c>
      <c r="M913" s="2">
        <f>logistics_data[[#This Row],[Cost]]/logistics_data[[#This Row],[Distance_miles]]</f>
        <v>0.24288961038961041</v>
      </c>
      <c r="N913" t="str">
        <f>IF(logistics_data[[#This Row],[Orginal staus of shipment]]&lt;&gt;"Delivered","not applicabel", IF(logistics_data[[#This Row],[Transit_Days]]&gt;=5,"slow","fast"))</f>
        <v>fast</v>
      </c>
    </row>
    <row r="914" spans="1:14" x14ac:dyDescent="0.3">
      <c r="A914" t="s">
        <v>960</v>
      </c>
      <c r="B914" t="s">
        <v>27</v>
      </c>
      <c r="C914" t="s">
        <v>36</v>
      </c>
      <c r="D914" t="s">
        <v>37</v>
      </c>
      <c r="E914" s="1">
        <v>45208</v>
      </c>
      <c r="F914" s="1">
        <v>45212</v>
      </c>
      <c r="G914">
        <v>16.5</v>
      </c>
      <c r="H914">
        <v>169.6</v>
      </c>
      <c r="I914" t="s">
        <v>60</v>
      </c>
      <c r="J914">
        <v>1221</v>
      </c>
      <c r="K914">
        <v>4</v>
      </c>
      <c r="L914" t="str">
        <f>IF(logistics_data[[#This Row],[Delivery_Date]]="","In Transit",
 IF(logistics_data[[#This Row],[Status]]="Lost","Lost",
 IF(logistics_data[[#This Row],[Status]]="Returned","Returned",
 IF(logistics_data[[#This Row],[Status]]="Delayed","Delayed",
 "Delivered"))))</f>
        <v>Lost</v>
      </c>
      <c r="M914" s="2">
        <f>logistics_data[[#This Row],[Cost]]/logistics_data[[#This Row],[Distance_miles]]</f>
        <v>0.1389025389025389</v>
      </c>
      <c r="N914" t="str">
        <f>IF(logistics_data[[#This Row],[Orginal staus of shipment]]&lt;&gt;"Delivered","not applicabel", IF(logistics_data[[#This Row],[Transit_Days]]&gt;=5,"slow","fast"))</f>
        <v>not applicabel</v>
      </c>
    </row>
    <row r="915" spans="1:14" x14ac:dyDescent="0.3">
      <c r="A915" t="s">
        <v>961</v>
      </c>
      <c r="B915" t="s">
        <v>23</v>
      </c>
      <c r="C915" t="s">
        <v>70</v>
      </c>
      <c r="D915" t="s">
        <v>14</v>
      </c>
      <c r="E915" s="1">
        <v>45214</v>
      </c>
      <c r="F915" s="1">
        <v>45228</v>
      </c>
      <c r="G915">
        <v>24.6</v>
      </c>
      <c r="H915">
        <v>150.37</v>
      </c>
      <c r="I915" t="s">
        <v>47</v>
      </c>
      <c r="J915">
        <v>852</v>
      </c>
      <c r="K915">
        <v>4</v>
      </c>
      <c r="L915" t="str">
        <f>IF(logistics_data[[#This Row],[Delivery_Date]]="","In Transit",
 IF(logistics_data[[#This Row],[Status]]="Lost","Lost",
 IF(logistics_data[[#This Row],[Status]]="Returned","Returned",
 IF(logistics_data[[#This Row],[Status]]="Delayed","Delayed",
 "Delivered"))))</f>
        <v>Delayed</v>
      </c>
      <c r="M915" s="2">
        <f>logistics_data[[#This Row],[Cost]]/logistics_data[[#This Row],[Distance_miles]]</f>
        <v>0.1764906103286385</v>
      </c>
      <c r="N915" t="str">
        <f>IF(logistics_data[[#This Row],[Orginal staus of shipment]]&lt;&gt;"Delivered","not applicabel", IF(logistics_data[[#This Row],[Transit_Days]]&gt;=5,"slow","fast"))</f>
        <v>not applicabel</v>
      </c>
    </row>
    <row r="916" spans="1:14" x14ac:dyDescent="0.3">
      <c r="A916" t="s">
        <v>962</v>
      </c>
      <c r="B916" t="s">
        <v>30</v>
      </c>
      <c r="C916" t="s">
        <v>21</v>
      </c>
      <c r="D916" t="s">
        <v>25</v>
      </c>
      <c r="E916" s="1">
        <v>45243</v>
      </c>
      <c r="F916" s="1">
        <v>45246</v>
      </c>
      <c r="G916">
        <v>22.5</v>
      </c>
      <c r="H916">
        <v>172.21</v>
      </c>
      <c r="I916" t="s">
        <v>15</v>
      </c>
      <c r="J916">
        <v>945</v>
      </c>
      <c r="K916">
        <v>3</v>
      </c>
      <c r="L916" t="str">
        <f>IF(logistics_data[[#This Row],[Delivery_Date]]="","In Transit",
 IF(logistics_data[[#This Row],[Status]]="Lost","Lost",
 IF(logistics_data[[#This Row],[Status]]="Returned","Returned",
 IF(logistics_data[[#This Row],[Status]]="Delayed","Delayed",
 "Delivered"))))</f>
        <v>Delivered</v>
      </c>
      <c r="M916" s="2">
        <f>logistics_data[[#This Row],[Cost]]/logistics_data[[#This Row],[Distance_miles]]</f>
        <v>0.18223280423280425</v>
      </c>
      <c r="N916" t="str">
        <f>IF(logistics_data[[#This Row],[Orginal staus of shipment]]&lt;&gt;"Delivered","not applicabel", IF(logistics_data[[#This Row],[Transit_Days]]&gt;=5,"slow","fast"))</f>
        <v>fast</v>
      </c>
    </row>
    <row r="917" spans="1:14" x14ac:dyDescent="0.3">
      <c r="A917" t="s">
        <v>963</v>
      </c>
      <c r="B917" t="s">
        <v>23</v>
      </c>
      <c r="C917" t="s">
        <v>52</v>
      </c>
      <c r="D917" t="s">
        <v>14</v>
      </c>
      <c r="E917" s="1">
        <v>45131</v>
      </c>
      <c r="F917" s="1">
        <v>45137</v>
      </c>
      <c r="G917">
        <v>14</v>
      </c>
      <c r="H917">
        <v>295.74</v>
      </c>
      <c r="I917" t="s">
        <v>15</v>
      </c>
      <c r="J917">
        <v>2256</v>
      </c>
      <c r="K917">
        <v>6</v>
      </c>
      <c r="L917" t="str">
        <f>IF(logistics_data[[#This Row],[Delivery_Date]]="","In Transit",
 IF(logistics_data[[#This Row],[Status]]="Lost","Lost",
 IF(logistics_data[[#This Row],[Status]]="Returned","Returned",
 IF(logistics_data[[#This Row],[Status]]="Delayed","Delayed",
 "Delivered"))))</f>
        <v>Delivered</v>
      </c>
      <c r="M917" s="2">
        <f>logistics_data[[#This Row],[Cost]]/logistics_data[[#This Row],[Distance_miles]]</f>
        <v>0.13109042553191491</v>
      </c>
      <c r="N917" t="str">
        <f>IF(logistics_data[[#This Row],[Orginal staus of shipment]]&lt;&gt;"Delivered","not applicabel", IF(logistics_data[[#This Row],[Transit_Days]]&gt;=5,"slow","fast"))</f>
        <v>slow</v>
      </c>
    </row>
    <row r="918" spans="1:14" x14ac:dyDescent="0.3">
      <c r="A918" t="s">
        <v>964</v>
      </c>
      <c r="B918" t="s">
        <v>51</v>
      </c>
      <c r="C918" t="s">
        <v>57</v>
      </c>
      <c r="D918" t="s">
        <v>32</v>
      </c>
      <c r="E918" s="1">
        <v>45227</v>
      </c>
      <c r="F918" s="1">
        <v>45228</v>
      </c>
      <c r="G918">
        <v>8.1</v>
      </c>
      <c r="H918">
        <v>81.180000000000007</v>
      </c>
      <c r="I918" t="s">
        <v>15</v>
      </c>
      <c r="J918">
        <v>481</v>
      </c>
      <c r="K918">
        <v>1</v>
      </c>
      <c r="L918" t="str">
        <f>IF(logistics_data[[#This Row],[Delivery_Date]]="","In Transit",
 IF(logistics_data[[#This Row],[Status]]="Lost","Lost",
 IF(logistics_data[[#This Row],[Status]]="Returned","Returned",
 IF(logistics_data[[#This Row],[Status]]="Delayed","Delayed",
 "Delivered"))))</f>
        <v>Delivered</v>
      </c>
      <c r="M918" s="2">
        <f>logistics_data[[#This Row],[Cost]]/logistics_data[[#This Row],[Distance_miles]]</f>
        <v>0.16877338877338879</v>
      </c>
      <c r="N918" t="str">
        <f>IF(logistics_data[[#This Row],[Orginal staus of shipment]]&lt;&gt;"Delivered","not applicabel", IF(logistics_data[[#This Row],[Transit_Days]]&gt;=5,"slow","fast"))</f>
        <v>fast</v>
      </c>
    </row>
    <row r="919" spans="1:14" x14ac:dyDescent="0.3">
      <c r="A919" t="s">
        <v>965</v>
      </c>
      <c r="B919" t="s">
        <v>23</v>
      </c>
      <c r="C919" t="s">
        <v>36</v>
      </c>
      <c r="D919" t="s">
        <v>37</v>
      </c>
      <c r="E919" s="1">
        <v>45066</v>
      </c>
      <c r="F919" s="1">
        <v>45070</v>
      </c>
      <c r="G919">
        <v>20</v>
      </c>
      <c r="H919">
        <v>254.01</v>
      </c>
      <c r="I919" t="s">
        <v>15</v>
      </c>
      <c r="J919">
        <v>1767</v>
      </c>
      <c r="K919">
        <v>4</v>
      </c>
      <c r="L919" t="str">
        <f>IF(logistics_data[[#This Row],[Delivery_Date]]="","In Transit",
 IF(logistics_data[[#This Row],[Status]]="Lost","Lost",
 IF(logistics_data[[#This Row],[Status]]="Returned","Returned",
 IF(logistics_data[[#This Row],[Status]]="Delayed","Delayed",
 "Delivered"))))</f>
        <v>Delivered</v>
      </c>
      <c r="M919" s="2">
        <f>logistics_data[[#This Row],[Cost]]/logistics_data[[#This Row],[Distance_miles]]</f>
        <v>0.14375212224108658</v>
      </c>
      <c r="N919" t="str">
        <f>IF(logistics_data[[#This Row],[Orginal staus of shipment]]&lt;&gt;"Delivered","not applicabel", IF(logistics_data[[#This Row],[Transit_Days]]&gt;=5,"slow","fast"))</f>
        <v>fast</v>
      </c>
    </row>
    <row r="920" spans="1:14" x14ac:dyDescent="0.3">
      <c r="A920" t="s">
        <v>966</v>
      </c>
      <c r="B920" t="s">
        <v>12</v>
      </c>
      <c r="C920" t="s">
        <v>52</v>
      </c>
      <c r="D920" t="s">
        <v>32</v>
      </c>
      <c r="E920" s="1">
        <v>45077</v>
      </c>
      <c r="F920" s="1">
        <v>45084</v>
      </c>
      <c r="G920">
        <v>35.9</v>
      </c>
      <c r="H920">
        <v>140.38</v>
      </c>
      <c r="I920" t="s">
        <v>15</v>
      </c>
      <c r="J920">
        <v>788</v>
      </c>
      <c r="K920">
        <v>7</v>
      </c>
      <c r="L920" t="str">
        <f>IF(logistics_data[[#This Row],[Delivery_Date]]="","In Transit",
 IF(logistics_data[[#This Row],[Status]]="Lost","Lost",
 IF(logistics_data[[#This Row],[Status]]="Returned","Returned",
 IF(logistics_data[[#This Row],[Status]]="Delayed","Delayed",
 "Delivered"))))</f>
        <v>Delivered</v>
      </c>
      <c r="M920" s="2">
        <f>logistics_data[[#This Row],[Cost]]/logistics_data[[#This Row],[Distance_miles]]</f>
        <v>0.17814720812182741</v>
      </c>
      <c r="N920" t="str">
        <f>IF(logistics_data[[#This Row],[Orginal staus of shipment]]&lt;&gt;"Delivered","not applicabel", IF(logistics_data[[#This Row],[Transit_Days]]&gt;=5,"slow","fast"))</f>
        <v>slow</v>
      </c>
    </row>
    <row r="921" spans="1:14" x14ac:dyDescent="0.3">
      <c r="A921" t="s">
        <v>967</v>
      </c>
      <c r="B921" t="s">
        <v>39</v>
      </c>
      <c r="C921" t="s">
        <v>57</v>
      </c>
      <c r="D921" t="s">
        <v>18</v>
      </c>
      <c r="E921" s="1">
        <v>45147</v>
      </c>
      <c r="F921" s="1">
        <v>45150</v>
      </c>
      <c r="G921">
        <v>22.5</v>
      </c>
      <c r="H921">
        <v>171.17</v>
      </c>
      <c r="I921" t="s">
        <v>15</v>
      </c>
      <c r="J921">
        <v>1017</v>
      </c>
      <c r="K921">
        <v>3</v>
      </c>
      <c r="L921" t="str">
        <f>IF(logistics_data[[#This Row],[Delivery_Date]]="","In Transit",
 IF(logistics_data[[#This Row],[Status]]="Lost","Lost",
 IF(logistics_data[[#This Row],[Status]]="Returned","Returned",
 IF(logistics_data[[#This Row],[Status]]="Delayed","Delayed",
 "Delivered"))))</f>
        <v>Delivered</v>
      </c>
      <c r="M921" s="2">
        <f>logistics_data[[#This Row],[Cost]]/logistics_data[[#This Row],[Distance_miles]]</f>
        <v>0.16830875122910519</v>
      </c>
      <c r="N921" t="str">
        <f>IF(logistics_data[[#This Row],[Orginal staus of shipment]]&lt;&gt;"Delivered","not applicabel", IF(logistics_data[[#This Row],[Transit_Days]]&gt;=5,"slow","fast"))</f>
        <v>fast</v>
      </c>
    </row>
    <row r="922" spans="1:14" x14ac:dyDescent="0.3">
      <c r="A922" t="s">
        <v>968</v>
      </c>
      <c r="B922" t="s">
        <v>56</v>
      </c>
      <c r="C922" t="s">
        <v>24</v>
      </c>
      <c r="D922" t="s">
        <v>14</v>
      </c>
      <c r="E922" s="1">
        <v>44934</v>
      </c>
      <c r="F922" s="1">
        <v>44938</v>
      </c>
      <c r="G922">
        <v>17.600000000000001</v>
      </c>
      <c r="H922">
        <v>242.22</v>
      </c>
      <c r="I922" t="s">
        <v>15</v>
      </c>
      <c r="J922">
        <v>1577</v>
      </c>
      <c r="K922">
        <v>4</v>
      </c>
      <c r="L922" t="str">
        <f>IF(logistics_data[[#This Row],[Delivery_Date]]="","In Transit",
 IF(logistics_data[[#This Row],[Status]]="Lost","Lost",
 IF(logistics_data[[#This Row],[Status]]="Returned","Returned",
 IF(logistics_data[[#This Row],[Status]]="Delayed","Delayed",
 "Delivered"))))</f>
        <v>Delivered</v>
      </c>
      <c r="M922" s="2">
        <f>logistics_data[[#This Row],[Cost]]/logistics_data[[#This Row],[Distance_miles]]</f>
        <v>0.15359543436905518</v>
      </c>
      <c r="N922" t="str">
        <f>IF(logistics_data[[#This Row],[Orginal staus of shipment]]&lt;&gt;"Delivered","not applicabel", IF(logistics_data[[#This Row],[Transit_Days]]&gt;=5,"slow","fast"))</f>
        <v>fast</v>
      </c>
    </row>
    <row r="923" spans="1:14" x14ac:dyDescent="0.3">
      <c r="A923" t="s">
        <v>969</v>
      </c>
      <c r="B923" t="s">
        <v>30</v>
      </c>
      <c r="C923" t="s">
        <v>40</v>
      </c>
      <c r="D923" t="s">
        <v>18</v>
      </c>
      <c r="E923" s="1">
        <v>45003</v>
      </c>
      <c r="F923" s="1">
        <v>45005</v>
      </c>
      <c r="G923">
        <v>12.9</v>
      </c>
      <c r="H923">
        <v>74.16</v>
      </c>
      <c r="I923" t="s">
        <v>62</v>
      </c>
      <c r="J923">
        <v>419</v>
      </c>
      <c r="K923">
        <v>2</v>
      </c>
      <c r="L923" t="str">
        <f>IF(logistics_data[[#This Row],[Delivery_Date]]="","In Transit",
 IF(logistics_data[[#This Row],[Status]]="Lost","Lost",
 IF(logistics_data[[#This Row],[Status]]="Returned","Returned",
 IF(logistics_data[[#This Row],[Status]]="Delayed","Delayed",
 "Delivered"))))</f>
        <v>Delivered</v>
      </c>
      <c r="M923" s="2">
        <f>logistics_data[[#This Row],[Cost]]/logistics_data[[#This Row],[Distance_miles]]</f>
        <v>0.1769928400954654</v>
      </c>
      <c r="N923" t="str">
        <f>IF(logistics_data[[#This Row],[Orginal staus of shipment]]&lt;&gt;"Delivered","not applicabel", IF(logistics_data[[#This Row],[Transit_Days]]&gt;=5,"slow","fast"))</f>
        <v>fast</v>
      </c>
    </row>
    <row r="924" spans="1:14" x14ac:dyDescent="0.3">
      <c r="A924" t="s">
        <v>970</v>
      </c>
      <c r="B924" t="s">
        <v>39</v>
      </c>
      <c r="C924" t="s">
        <v>40</v>
      </c>
      <c r="D924" t="s">
        <v>14</v>
      </c>
      <c r="E924" s="1">
        <v>45155</v>
      </c>
      <c r="F924" s="1">
        <v>45161</v>
      </c>
      <c r="G924">
        <v>12.8</v>
      </c>
      <c r="H924">
        <v>6229.12</v>
      </c>
      <c r="I924" t="s">
        <v>15</v>
      </c>
      <c r="J924">
        <v>2490</v>
      </c>
      <c r="K924">
        <v>6</v>
      </c>
      <c r="L924" t="str">
        <f>IF(logistics_data[[#This Row],[Delivery_Date]]="","In Transit",
 IF(logistics_data[[#This Row],[Status]]="Lost","Lost",
 IF(logistics_data[[#This Row],[Status]]="Returned","Returned",
 IF(logistics_data[[#This Row],[Status]]="Delayed","Delayed",
 "Delivered"))))</f>
        <v>Delivered</v>
      </c>
      <c r="M924" s="2">
        <f>logistics_data[[#This Row],[Cost]]/logistics_data[[#This Row],[Distance_miles]]</f>
        <v>2.5016546184738955</v>
      </c>
      <c r="N924" t="str">
        <f>IF(logistics_data[[#This Row],[Orginal staus of shipment]]&lt;&gt;"Delivered","not applicabel", IF(logistics_data[[#This Row],[Transit_Days]]&gt;=5,"slow","fast"))</f>
        <v>slow</v>
      </c>
    </row>
    <row r="925" spans="1:14" x14ac:dyDescent="0.3">
      <c r="A925" t="s">
        <v>971</v>
      </c>
      <c r="B925" t="s">
        <v>12</v>
      </c>
      <c r="C925" t="s">
        <v>52</v>
      </c>
      <c r="D925" t="s">
        <v>25</v>
      </c>
      <c r="E925" s="1">
        <v>44951</v>
      </c>
      <c r="F925" s="1">
        <v>44952</v>
      </c>
      <c r="G925">
        <v>71.099999999999994</v>
      </c>
      <c r="H925">
        <v>114.32</v>
      </c>
      <c r="I925" t="s">
        <v>15</v>
      </c>
      <c r="J925">
        <v>167</v>
      </c>
      <c r="K925">
        <v>1</v>
      </c>
      <c r="L925" t="str">
        <f>IF(logistics_data[[#This Row],[Delivery_Date]]="","In Transit",
 IF(logistics_data[[#This Row],[Status]]="Lost","Lost",
 IF(logistics_data[[#This Row],[Status]]="Returned","Returned",
 IF(logistics_data[[#This Row],[Status]]="Delayed","Delayed",
 "Delivered"))))</f>
        <v>Delivered</v>
      </c>
      <c r="M925" s="2">
        <f>logistics_data[[#This Row],[Cost]]/logistics_data[[#This Row],[Distance_miles]]</f>
        <v>0.68455089820359283</v>
      </c>
      <c r="N925" t="str">
        <f>IF(logistics_data[[#This Row],[Orginal staus of shipment]]&lt;&gt;"Delivered","not applicabel", IF(logistics_data[[#This Row],[Transit_Days]]&gt;=5,"slow","fast"))</f>
        <v>fast</v>
      </c>
    </row>
    <row r="926" spans="1:14" x14ac:dyDescent="0.3">
      <c r="A926" t="s">
        <v>972</v>
      </c>
      <c r="B926" t="s">
        <v>23</v>
      </c>
      <c r="C926" t="s">
        <v>21</v>
      </c>
      <c r="D926" t="s">
        <v>32</v>
      </c>
      <c r="E926" s="1">
        <v>45161</v>
      </c>
      <c r="F926" s="1">
        <v>45167</v>
      </c>
      <c r="G926">
        <v>13.6</v>
      </c>
      <c r="H926">
        <v>326.70999999999998</v>
      </c>
      <c r="I926" t="s">
        <v>15</v>
      </c>
      <c r="J926">
        <v>2328</v>
      </c>
      <c r="K926">
        <v>6</v>
      </c>
      <c r="L926" t="str">
        <f>IF(logistics_data[[#This Row],[Delivery_Date]]="","In Transit",
 IF(logistics_data[[#This Row],[Status]]="Lost","Lost",
 IF(logistics_data[[#This Row],[Status]]="Returned","Returned",
 IF(logistics_data[[#This Row],[Status]]="Delayed","Delayed",
 "Delivered"))))</f>
        <v>Delivered</v>
      </c>
      <c r="M926" s="2">
        <f>logistics_data[[#This Row],[Cost]]/logistics_data[[#This Row],[Distance_miles]]</f>
        <v>0.14033934707903778</v>
      </c>
      <c r="N926" t="str">
        <f>IF(logistics_data[[#This Row],[Orginal staus of shipment]]&lt;&gt;"Delivered","not applicabel", IF(logistics_data[[#This Row],[Transit_Days]]&gt;=5,"slow","fast"))</f>
        <v>slow</v>
      </c>
    </row>
    <row r="927" spans="1:14" x14ac:dyDescent="0.3">
      <c r="A927" t="s">
        <v>973</v>
      </c>
      <c r="B927" t="s">
        <v>30</v>
      </c>
      <c r="C927" t="s">
        <v>31</v>
      </c>
      <c r="D927" t="s">
        <v>25</v>
      </c>
      <c r="E927" s="1">
        <v>45045</v>
      </c>
      <c r="F927" s="1">
        <v>45048</v>
      </c>
      <c r="G927">
        <v>24.2</v>
      </c>
      <c r="H927">
        <v>107.33</v>
      </c>
      <c r="I927" t="s">
        <v>15</v>
      </c>
      <c r="J927">
        <v>669</v>
      </c>
      <c r="K927">
        <v>3</v>
      </c>
      <c r="L927" t="str">
        <f>IF(logistics_data[[#This Row],[Delivery_Date]]="","In Transit",
 IF(logistics_data[[#This Row],[Status]]="Lost","Lost",
 IF(logistics_data[[#This Row],[Status]]="Returned","Returned",
 IF(logistics_data[[#This Row],[Status]]="Delayed","Delayed",
 "Delivered"))))</f>
        <v>Delivered</v>
      </c>
      <c r="M927" s="2">
        <f>logistics_data[[#This Row],[Cost]]/logistics_data[[#This Row],[Distance_miles]]</f>
        <v>0.16043348281016442</v>
      </c>
      <c r="N927" t="str">
        <f>IF(logistics_data[[#This Row],[Orginal staus of shipment]]&lt;&gt;"Delivered","not applicabel", IF(logistics_data[[#This Row],[Transit_Days]]&gt;=5,"slow","fast"))</f>
        <v>fast</v>
      </c>
    </row>
    <row r="928" spans="1:14" x14ac:dyDescent="0.3">
      <c r="A928" t="s">
        <v>974</v>
      </c>
      <c r="B928" t="s">
        <v>27</v>
      </c>
      <c r="C928" t="s">
        <v>81</v>
      </c>
      <c r="D928" t="s">
        <v>25</v>
      </c>
      <c r="E928" s="1">
        <v>45291</v>
      </c>
      <c r="F928" s="1">
        <v>45293</v>
      </c>
      <c r="G928">
        <v>39.700000000000003</v>
      </c>
      <c r="H928">
        <v>130.72999999999999</v>
      </c>
      <c r="I928" t="s">
        <v>15</v>
      </c>
      <c r="J928">
        <v>468</v>
      </c>
      <c r="K928">
        <v>2</v>
      </c>
      <c r="L928" t="str">
        <f>IF(logistics_data[[#This Row],[Delivery_Date]]="","In Transit",
 IF(logistics_data[[#This Row],[Status]]="Lost","Lost",
 IF(logistics_data[[#This Row],[Status]]="Returned","Returned",
 IF(logistics_data[[#This Row],[Status]]="Delayed","Delayed",
 "Delivered"))))</f>
        <v>Delivered</v>
      </c>
      <c r="M928" s="2">
        <f>logistics_data[[#This Row],[Cost]]/logistics_data[[#This Row],[Distance_miles]]</f>
        <v>0.27933760683760683</v>
      </c>
      <c r="N928" t="str">
        <f>IF(logistics_data[[#This Row],[Orginal staus of shipment]]&lt;&gt;"Delivered","not applicabel", IF(logistics_data[[#This Row],[Transit_Days]]&gt;=5,"slow","fast"))</f>
        <v>fast</v>
      </c>
    </row>
    <row r="929" spans="1:14" x14ac:dyDescent="0.3">
      <c r="A929" t="s">
        <v>975</v>
      </c>
      <c r="B929" t="s">
        <v>56</v>
      </c>
      <c r="C929" t="s">
        <v>13</v>
      </c>
      <c r="D929" t="s">
        <v>37</v>
      </c>
      <c r="E929" s="1">
        <v>44991</v>
      </c>
      <c r="F929" s="1">
        <v>44994</v>
      </c>
      <c r="G929">
        <v>9.4</v>
      </c>
      <c r="H929">
        <v>84.83</v>
      </c>
      <c r="I929" t="s">
        <v>15</v>
      </c>
      <c r="J929">
        <v>563</v>
      </c>
      <c r="K929">
        <v>3</v>
      </c>
      <c r="L929" t="str">
        <f>IF(logistics_data[[#This Row],[Delivery_Date]]="","In Transit",
 IF(logistics_data[[#This Row],[Status]]="Lost","Lost",
 IF(logistics_data[[#This Row],[Status]]="Returned","Returned",
 IF(logistics_data[[#This Row],[Status]]="Delayed","Delayed",
 "Delivered"))))</f>
        <v>Delivered</v>
      </c>
      <c r="M929" s="2">
        <f>logistics_data[[#This Row],[Cost]]/logistics_data[[#This Row],[Distance_miles]]</f>
        <v>0.15067495559502664</v>
      </c>
      <c r="N929" t="str">
        <f>IF(logistics_data[[#This Row],[Orginal staus of shipment]]&lt;&gt;"Delivered","not applicabel", IF(logistics_data[[#This Row],[Transit_Days]]&gt;=5,"slow","fast"))</f>
        <v>fast</v>
      </c>
    </row>
    <row r="930" spans="1:14" x14ac:dyDescent="0.3">
      <c r="A930" t="s">
        <v>976</v>
      </c>
      <c r="B930" t="s">
        <v>12</v>
      </c>
      <c r="C930" t="s">
        <v>52</v>
      </c>
      <c r="D930" t="s">
        <v>37</v>
      </c>
      <c r="E930" s="1">
        <v>45223</v>
      </c>
      <c r="F930" s="1">
        <v>45227</v>
      </c>
      <c r="G930">
        <v>13.6</v>
      </c>
      <c r="H930">
        <v>187.79</v>
      </c>
      <c r="I930" t="s">
        <v>15</v>
      </c>
      <c r="J930">
        <v>1584</v>
      </c>
      <c r="K930">
        <v>4</v>
      </c>
      <c r="L930" t="str">
        <f>IF(logistics_data[[#This Row],[Delivery_Date]]="","In Transit",
 IF(logistics_data[[#This Row],[Status]]="Lost","Lost",
 IF(logistics_data[[#This Row],[Status]]="Returned","Returned",
 IF(logistics_data[[#This Row],[Status]]="Delayed","Delayed",
 "Delivered"))))</f>
        <v>Delivered</v>
      </c>
      <c r="M930" s="2">
        <f>logistics_data[[#This Row],[Cost]]/logistics_data[[#This Row],[Distance_miles]]</f>
        <v>0.11855429292929293</v>
      </c>
      <c r="N930" t="str">
        <f>IF(logistics_data[[#This Row],[Orginal staus of shipment]]&lt;&gt;"Delivered","not applicabel", IF(logistics_data[[#This Row],[Transit_Days]]&gt;=5,"slow","fast"))</f>
        <v>fast</v>
      </c>
    </row>
    <row r="931" spans="1:14" x14ac:dyDescent="0.3">
      <c r="A931" t="s">
        <v>977</v>
      </c>
      <c r="B931" t="s">
        <v>49</v>
      </c>
      <c r="C931" t="s">
        <v>57</v>
      </c>
      <c r="D931" t="s">
        <v>59</v>
      </c>
      <c r="E931" s="1">
        <v>45067</v>
      </c>
      <c r="F931" s="1">
        <v>45072</v>
      </c>
      <c r="G931">
        <v>32.5</v>
      </c>
      <c r="H931">
        <v>252.22</v>
      </c>
      <c r="I931" t="s">
        <v>15</v>
      </c>
      <c r="J931">
        <v>2107</v>
      </c>
      <c r="K931">
        <v>5</v>
      </c>
      <c r="L931" t="str">
        <f>IF(logistics_data[[#This Row],[Delivery_Date]]="","In Transit",
 IF(logistics_data[[#This Row],[Status]]="Lost","Lost",
 IF(logistics_data[[#This Row],[Status]]="Returned","Returned",
 IF(logistics_data[[#This Row],[Status]]="Delayed","Delayed",
 "Delivered"))))</f>
        <v>Delivered</v>
      </c>
      <c r="M931" s="2">
        <f>logistics_data[[#This Row],[Cost]]/logistics_data[[#This Row],[Distance_miles]]</f>
        <v>0.11970574276222117</v>
      </c>
      <c r="N931" t="str">
        <f>IF(logistics_data[[#This Row],[Orginal staus of shipment]]&lt;&gt;"Delivered","not applicabel", IF(logistics_data[[#This Row],[Transit_Days]]&gt;=5,"slow","fast"))</f>
        <v>slow</v>
      </c>
    </row>
    <row r="932" spans="1:14" x14ac:dyDescent="0.3">
      <c r="A932" t="s">
        <v>978</v>
      </c>
      <c r="B932" t="s">
        <v>12</v>
      </c>
      <c r="C932" t="s">
        <v>70</v>
      </c>
      <c r="D932" t="s">
        <v>14</v>
      </c>
      <c r="E932" s="1">
        <v>45261</v>
      </c>
      <c r="F932" s="1">
        <v>45265</v>
      </c>
      <c r="G932">
        <v>23.3</v>
      </c>
      <c r="H932">
        <v>266.08</v>
      </c>
      <c r="I932" t="s">
        <v>15</v>
      </c>
      <c r="J932">
        <v>1473</v>
      </c>
      <c r="K932">
        <v>4</v>
      </c>
      <c r="L932" t="str">
        <f>IF(logistics_data[[#This Row],[Delivery_Date]]="","In Transit",
 IF(logistics_data[[#This Row],[Status]]="Lost","Lost",
 IF(logistics_data[[#This Row],[Status]]="Returned","Returned",
 IF(logistics_data[[#This Row],[Status]]="Delayed","Delayed",
 "Delivered"))))</f>
        <v>Delivered</v>
      </c>
      <c r="M932" s="2">
        <f>logistics_data[[#This Row],[Cost]]/logistics_data[[#This Row],[Distance_miles]]</f>
        <v>0.18063815342837744</v>
      </c>
      <c r="N932" t="str">
        <f>IF(logistics_data[[#This Row],[Orginal staus of shipment]]&lt;&gt;"Delivered","not applicabel", IF(logistics_data[[#This Row],[Transit_Days]]&gt;=5,"slow","fast"))</f>
        <v>fast</v>
      </c>
    </row>
    <row r="933" spans="1:14" x14ac:dyDescent="0.3">
      <c r="A933" t="s">
        <v>979</v>
      </c>
      <c r="B933" t="s">
        <v>51</v>
      </c>
      <c r="C933" t="s">
        <v>81</v>
      </c>
      <c r="D933" t="s">
        <v>18</v>
      </c>
      <c r="E933" s="1">
        <v>45100</v>
      </c>
      <c r="F933" s="1">
        <v>45103</v>
      </c>
      <c r="G933">
        <v>88.7</v>
      </c>
      <c r="H933">
        <v>196.15</v>
      </c>
      <c r="I933" t="s">
        <v>15</v>
      </c>
      <c r="J933">
        <v>509</v>
      </c>
      <c r="K933">
        <v>3</v>
      </c>
      <c r="L933" t="str">
        <f>IF(logistics_data[[#This Row],[Delivery_Date]]="","In Transit",
 IF(logistics_data[[#This Row],[Status]]="Lost","Lost",
 IF(logistics_data[[#This Row],[Status]]="Returned","Returned",
 IF(logistics_data[[#This Row],[Status]]="Delayed","Delayed",
 "Delivered"))))</f>
        <v>Delivered</v>
      </c>
      <c r="M933" s="2">
        <f>logistics_data[[#This Row],[Cost]]/logistics_data[[#This Row],[Distance_miles]]</f>
        <v>0.38536345776031433</v>
      </c>
      <c r="N933" t="str">
        <f>IF(logistics_data[[#This Row],[Orginal staus of shipment]]&lt;&gt;"Delivered","not applicabel", IF(logistics_data[[#This Row],[Transit_Days]]&gt;=5,"slow","fast"))</f>
        <v>fast</v>
      </c>
    </row>
    <row r="934" spans="1:14" x14ac:dyDescent="0.3">
      <c r="A934" t="s">
        <v>980</v>
      </c>
      <c r="B934" t="s">
        <v>30</v>
      </c>
      <c r="C934" t="s">
        <v>57</v>
      </c>
      <c r="D934" t="s">
        <v>25</v>
      </c>
      <c r="E934" s="1">
        <v>45020</v>
      </c>
      <c r="F934" s="1">
        <v>45022</v>
      </c>
      <c r="G934">
        <v>36.299999999999997</v>
      </c>
      <c r="H934">
        <v>74.959999999999994</v>
      </c>
      <c r="I934" t="s">
        <v>15</v>
      </c>
      <c r="J934">
        <v>253</v>
      </c>
      <c r="K934">
        <v>2</v>
      </c>
      <c r="L934" t="str">
        <f>IF(logistics_data[[#This Row],[Delivery_Date]]="","In Transit",
 IF(logistics_data[[#This Row],[Status]]="Lost","Lost",
 IF(logistics_data[[#This Row],[Status]]="Returned","Returned",
 IF(logistics_data[[#This Row],[Status]]="Delayed","Delayed",
 "Delivered"))))</f>
        <v>Delivered</v>
      </c>
      <c r="M934" s="2">
        <f>logistics_data[[#This Row],[Cost]]/logistics_data[[#This Row],[Distance_miles]]</f>
        <v>0.29628458498023713</v>
      </c>
      <c r="N934" t="str">
        <f>IF(logistics_data[[#This Row],[Orginal staus of shipment]]&lt;&gt;"Delivered","not applicabel", IF(logistics_data[[#This Row],[Transit_Days]]&gt;=5,"slow","fast"))</f>
        <v>fast</v>
      </c>
    </row>
    <row r="935" spans="1:14" x14ac:dyDescent="0.3">
      <c r="A935" t="s">
        <v>981</v>
      </c>
      <c r="B935" t="s">
        <v>27</v>
      </c>
      <c r="C935" t="s">
        <v>46</v>
      </c>
      <c r="D935" t="s">
        <v>25</v>
      </c>
      <c r="E935" s="1">
        <v>45171</v>
      </c>
      <c r="F935" s="1">
        <v>45174</v>
      </c>
      <c r="G935">
        <v>36.5</v>
      </c>
      <c r="H935">
        <v>128</v>
      </c>
      <c r="I935" t="s">
        <v>15</v>
      </c>
      <c r="J935">
        <v>757</v>
      </c>
      <c r="K935">
        <v>3</v>
      </c>
      <c r="L935" t="str">
        <f>IF(logistics_data[[#This Row],[Delivery_Date]]="","In Transit",
 IF(logistics_data[[#This Row],[Status]]="Lost","Lost",
 IF(logistics_data[[#This Row],[Status]]="Returned","Returned",
 IF(logistics_data[[#This Row],[Status]]="Delayed","Delayed",
 "Delivered"))))</f>
        <v>Delivered</v>
      </c>
      <c r="M935" s="2">
        <f>logistics_data[[#This Row],[Cost]]/logistics_data[[#This Row],[Distance_miles]]</f>
        <v>0.1690885072655218</v>
      </c>
      <c r="N935" t="str">
        <f>IF(logistics_data[[#This Row],[Orginal staus of shipment]]&lt;&gt;"Delivered","not applicabel", IF(logistics_data[[#This Row],[Transit_Days]]&gt;=5,"slow","fast"))</f>
        <v>fast</v>
      </c>
    </row>
    <row r="936" spans="1:14" x14ac:dyDescent="0.3">
      <c r="A936" t="s">
        <v>982</v>
      </c>
      <c r="B936" t="s">
        <v>49</v>
      </c>
      <c r="C936" t="s">
        <v>13</v>
      </c>
      <c r="D936" t="s">
        <v>59</v>
      </c>
      <c r="E936" s="1">
        <v>45043</v>
      </c>
      <c r="F936" s="1">
        <v>45047</v>
      </c>
      <c r="G936">
        <v>26.9</v>
      </c>
      <c r="H936">
        <v>221.1</v>
      </c>
      <c r="I936" t="s">
        <v>15</v>
      </c>
      <c r="J936">
        <v>1796</v>
      </c>
      <c r="K936">
        <v>4</v>
      </c>
      <c r="L936" t="str">
        <f>IF(logistics_data[[#This Row],[Delivery_Date]]="","In Transit",
 IF(logistics_data[[#This Row],[Status]]="Lost","Lost",
 IF(logistics_data[[#This Row],[Status]]="Returned","Returned",
 IF(logistics_data[[#This Row],[Status]]="Delayed","Delayed",
 "Delivered"))))</f>
        <v>Delivered</v>
      </c>
      <c r="M936" s="2">
        <f>logistics_data[[#This Row],[Cost]]/logistics_data[[#This Row],[Distance_miles]]</f>
        <v>0.12310690423162583</v>
      </c>
      <c r="N936" t="str">
        <f>IF(logistics_data[[#This Row],[Orginal staus of shipment]]&lt;&gt;"Delivered","not applicabel", IF(logistics_data[[#This Row],[Transit_Days]]&gt;=5,"slow","fast"))</f>
        <v>fast</v>
      </c>
    </row>
    <row r="937" spans="1:14" x14ac:dyDescent="0.3">
      <c r="A937" t="s">
        <v>983</v>
      </c>
      <c r="B937" t="s">
        <v>49</v>
      </c>
      <c r="C937" t="s">
        <v>24</v>
      </c>
      <c r="D937" t="s">
        <v>32</v>
      </c>
      <c r="E937" s="1">
        <v>45104</v>
      </c>
      <c r="F937" s="1">
        <v>45109</v>
      </c>
      <c r="G937">
        <v>4.4000000000000004</v>
      </c>
      <c r="H937">
        <v>301.81</v>
      </c>
      <c r="I937" t="s">
        <v>15</v>
      </c>
      <c r="J937">
        <v>2087</v>
      </c>
      <c r="K937">
        <v>5</v>
      </c>
      <c r="L937" t="str">
        <f>IF(logistics_data[[#This Row],[Delivery_Date]]="","In Transit",
 IF(logistics_data[[#This Row],[Status]]="Lost","Lost",
 IF(logistics_data[[#This Row],[Status]]="Returned","Returned",
 IF(logistics_data[[#This Row],[Status]]="Delayed","Delayed",
 "Delivered"))))</f>
        <v>Delivered</v>
      </c>
      <c r="M937" s="2">
        <f>logistics_data[[#This Row],[Cost]]/logistics_data[[#This Row],[Distance_miles]]</f>
        <v>0.14461427886919023</v>
      </c>
      <c r="N937" t="str">
        <f>IF(logistics_data[[#This Row],[Orginal staus of shipment]]&lt;&gt;"Delivered","not applicabel", IF(logistics_data[[#This Row],[Transit_Days]]&gt;=5,"slow","fast"))</f>
        <v>slow</v>
      </c>
    </row>
    <row r="938" spans="1:14" x14ac:dyDescent="0.3">
      <c r="A938" t="s">
        <v>984</v>
      </c>
      <c r="B938" t="s">
        <v>23</v>
      </c>
      <c r="C938" t="s">
        <v>44</v>
      </c>
      <c r="D938" t="s">
        <v>42</v>
      </c>
      <c r="E938" s="1">
        <v>45016</v>
      </c>
      <c r="F938" s="1">
        <v>45019</v>
      </c>
      <c r="G938">
        <v>16.5</v>
      </c>
      <c r="H938">
        <v>152.12</v>
      </c>
      <c r="I938" t="s">
        <v>15</v>
      </c>
      <c r="J938">
        <v>1027</v>
      </c>
      <c r="K938">
        <v>3</v>
      </c>
      <c r="L938" t="str">
        <f>IF(logistics_data[[#This Row],[Delivery_Date]]="","In Transit",
 IF(logistics_data[[#This Row],[Status]]="Lost","Lost",
 IF(logistics_data[[#This Row],[Status]]="Returned","Returned",
 IF(logistics_data[[#This Row],[Status]]="Delayed","Delayed",
 "Delivered"))))</f>
        <v>Delivered</v>
      </c>
      <c r="M938" s="2">
        <f>logistics_data[[#This Row],[Cost]]/logistics_data[[#This Row],[Distance_miles]]</f>
        <v>0.1481207400194742</v>
      </c>
      <c r="N938" t="str">
        <f>IF(logistics_data[[#This Row],[Orginal staus of shipment]]&lt;&gt;"Delivered","not applicabel", IF(logistics_data[[#This Row],[Transit_Days]]&gt;=5,"slow","fast"))</f>
        <v>fast</v>
      </c>
    </row>
    <row r="939" spans="1:14" x14ac:dyDescent="0.3">
      <c r="A939" t="s">
        <v>985</v>
      </c>
      <c r="B939" t="s">
        <v>30</v>
      </c>
      <c r="C939" t="s">
        <v>81</v>
      </c>
      <c r="D939" t="s">
        <v>32</v>
      </c>
      <c r="E939" s="1">
        <v>44959</v>
      </c>
      <c r="F939" s="1">
        <v>44966</v>
      </c>
      <c r="G939">
        <v>11.8</v>
      </c>
      <c r="H939">
        <v>306.43</v>
      </c>
      <c r="I939" t="s">
        <v>15</v>
      </c>
      <c r="J939">
        <v>2442</v>
      </c>
      <c r="K939">
        <v>7</v>
      </c>
      <c r="L939" t="str">
        <f>IF(logistics_data[[#This Row],[Delivery_Date]]="","In Transit",
 IF(logistics_data[[#This Row],[Status]]="Lost","Lost",
 IF(logistics_data[[#This Row],[Status]]="Returned","Returned",
 IF(logistics_data[[#This Row],[Status]]="Delayed","Delayed",
 "Delivered"))))</f>
        <v>Delivered</v>
      </c>
      <c r="M939" s="2">
        <f>logistics_data[[#This Row],[Cost]]/logistics_data[[#This Row],[Distance_miles]]</f>
        <v>0.12548321048321048</v>
      </c>
      <c r="N939" t="str">
        <f>IF(logistics_data[[#This Row],[Orginal staus of shipment]]&lt;&gt;"Delivered","not applicabel", IF(logistics_data[[#This Row],[Transit_Days]]&gt;=5,"slow","fast"))</f>
        <v>slow</v>
      </c>
    </row>
    <row r="940" spans="1:14" x14ac:dyDescent="0.3">
      <c r="A940" t="s">
        <v>986</v>
      </c>
      <c r="B940" t="s">
        <v>27</v>
      </c>
      <c r="C940" t="s">
        <v>13</v>
      </c>
      <c r="D940" t="s">
        <v>32</v>
      </c>
      <c r="E940" s="1">
        <v>45266</v>
      </c>
      <c r="F940" s="1">
        <v>45270</v>
      </c>
      <c r="G940">
        <v>22.4</v>
      </c>
      <c r="H940">
        <v>162.76</v>
      </c>
      <c r="I940" t="s">
        <v>15</v>
      </c>
      <c r="J940">
        <v>862</v>
      </c>
      <c r="K940">
        <v>4</v>
      </c>
      <c r="L940" t="str">
        <f>IF(logistics_data[[#This Row],[Delivery_Date]]="","In Transit",
 IF(logistics_data[[#This Row],[Status]]="Lost","Lost",
 IF(logistics_data[[#This Row],[Status]]="Returned","Returned",
 IF(logistics_data[[#This Row],[Status]]="Delayed","Delayed",
 "Delivered"))))</f>
        <v>Delivered</v>
      </c>
      <c r="M940" s="2">
        <f>logistics_data[[#This Row],[Cost]]/logistics_data[[#This Row],[Distance_miles]]</f>
        <v>0.18881670533642692</v>
      </c>
      <c r="N940" t="str">
        <f>IF(logistics_data[[#This Row],[Orginal staus of shipment]]&lt;&gt;"Delivered","not applicabel", IF(logistics_data[[#This Row],[Transit_Days]]&gt;=5,"slow","fast"))</f>
        <v>fast</v>
      </c>
    </row>
    <row r="941" spans="1:14" x14ac:dyDescent="0.3">
      <c r="A941" t="s">
        <v>987</v>
      </c>
      <c r="B941" t="s">
        <v>39</v>
      </c>
      <c r="C941" t="s">
        <v>28</v>
      </c>
      <c r="D941" t="s">
        <v>32</v>
      </c>
      <c r="E941" s="1">
        <v>45124</v>
      </c>
      <c r="F941" s="1">
        <v>45137</v>
      </c>
      <c r="G941">
        <v>9.3000000000000007</v>
      </c>
      <c r="H941">
        <v>108.95</v>
      </c>
      <c r="I941" t="s">
        <v>47</v>
      </c>
      <c r="J941">
        <v>813</v>
      </c>
      <c r="K941">
        <v>3</v>
      </c>
      <c r="L941" t="str">
        <f>IF(logistics_data[[#This Row],[Delivery_Date]]="","In Transit",
 IF(logistics_data[[#This Row],[Status]]="Lost","Lost",
 IF(logistics_data[[#This Row],[Status]]="Returned","Returned",
 IF(logistics_data[[#This Row],[Status]]="Delayed","Delayed",
 "Delivered"))))</f>
        <v>Delayed</v>
      </c>
      <c r="M941" s="2">
        <f>logistics_data[[#This Row],[Cost]]/logistics_data[[#This Row],[Distance_miles]]</f>
        <v>0.134009840098401</v>
      </c>
      <c r="N941" t="str">
        <f>IF(logistics_data[[#This Row],[Orginal staus of shipment]]&lt;&gt;"Delivered","not applicabel", IF(logistics_data[[#This Row],[Transit_Days]]&gt;=5,"slow","fast"))</f>
        <v>not applicabel</v>
      </c>
    </row>
    <row r="942" spans="1:14" x14ac:dyDescent="0.3">
      <c r="A942" t="s">
        <v>988</v>
      </c>
      <c r="B942" t="s">
        <v>56</v>
      </c>
      <c r="C942" t="s">
        <v>57</v>
      </c>
      <c r="D942" t="s">
        <v>32</v>
      </c>
      <c r="E942" s="1">
        <v>44955</v>
      </c>
      <c r="F942" s="1">
        <v>44964</v>
      </c>
      <c r="G942">
        <v>40.9</v>
      </c>
      <c r="H942">
        <v>307.95999999999998</v>
      </c>
      <c r="I942" t="s">
        <v>15</v>
      </c>
      <c r="J942">
        <v>1805</v>
      </c>
      <c r="K942">
        <v>9</v>
      </c>
      <c r="L942" t="str">
        <f>IF(logistics_data[[#This Row],[Delivery_Date]]="","In Transit",
 IF(logistics_data[[#This Row],[Status]]="Lost","Lost",
 IF(logistics_data[[#This Row],[Status]]="Returned","Returned",
 IF(logistics_data[[#This Row],[Status]]="Delayed","Delayed",
 "Delivered"))))</f>
        <v>Delivered</v>
      </c>
      <c r="M942" s="2">
        <f>logistics_data[[#This Row],[Cost]]/logistics_data[[#This Row],[Distance_miles]]</f>
        <v>0.17061495844875346</v>
      </c>
      <c r="N942" t="str">
        <f>IF(logistics_data[[#This Row],[Orginal staus of shipment]]&lt;&gt;"Delivered","not applicabel", IF(logistics_data[[#This Row],[Transit_Days]]&gt;=5,"slow","fast"))</f>
        <v>slow</v>
      </c>
    </row>
    <row r="943" spans="1:14" x14ac:dyDescent="0.3">
      <c r="A943" t="s">
        <v>989</v>
      </c>
      <c r="B943" t="s">
        <v>51</v>
      </c>
      <c r="C943" t="s">
        <v>57</v>
      </c>
      <c r="D943" t="s">
        <v>32</v>
      </c>
      <c r="E943" s="1">
        <v>45288</v>
      </c>
      <c r="F943" s="1">
        <v>45298</v>
      </c>
      <c r="G943">
        <v>11.8</v>
      </c>
      <c r="H943">
        <v>345.46</v>
      </c>
      <c r="I943" t="s">
        <v>47</v>
      </c>
      <c r="J943">
        <v>1958</v>
      </c>
      <c r="K943">
        <v>5</v>
      </c>
      <c r="L943" t="str">
        <f>IF(logistics_data[[#This Row],[Delivery_Date]]="","In Transit",
 IF(logistics_data[[#This Row],[Status]]="Lost","Lost",
 IF(logistics_data[[#This Row],[Status]]="Returned","Returned",
 IF(logistics_data[[#This Row],[Status]]="Delayed","Delayed",
 "Delivered"))))</f>
        <v>Delayed</v>
      </c>
      <c r="M943" s="2">
        <f>logistics_data[[#This Row],[Cost]]/logistics_data[[#This Row],[Distance_miles]]</f>
        <v>0.17643513789581206</v>
      </c>
      <c r="N943" t="str">
        <f>IF(logistics_data[[#This Row],[Orginal staus of shipment]]&lt;&gt;"Delivered","not applicabel", IF(logistics_data[[#This Row],[Transit_Days]]&gt;=5,"slow","fast"))</f>
        <v>not applicabel</v>
      </c>
    </row>
    <row r="944" spans="1:14" x14ac:dyDescent="0.3">
      <c r="A944" t="s">
        <v>990</v>
      </c>
      <c r="B944" t="s">
        <v>27</v>
      </c>
      <c r="C944" t="s">
        <v>31</v>
      </c>
      <c r="D944" t="s">
        <v>37</v>
      </c>
      <c r="E944" s="1">
        <v>45044</v>
      </c>
      <c r="F944" s="1">
        <v>45050</v>
      </c>
      <c r="G944">
        <v>10.1</v>
      </c>
      <c r="H944">
        <v>221.55</v>
      </c>
      <c r="I944" t="s">
        <v>15</v>
      </c>
      <c r="J944">
        <v>1943</v>
      </c>
      <c r="K944">
        <v>6</v>
      </c>
      <c r="L944" t="str">
        <f>IF(logistics_data[[#This Row],[Delivery_Date]]="","In Transit",
 IF(logistics_data[[#This Row],[Status]]="Lost","Lost",
 IF(logistics_data[[#This Row],[Status]]="Returned","Returned",
 IF(logistics_data[[#This Row],[Status]]="Delayed","Delayed",
 "Delivered"))))</f>
        <v>Delivered</v>
      </c>
      <c r="M944" s="2">
        <f>logistics_data[[#This Row],[Cost]]/logistics_data[[#This Row],[Distance_miles]]</f>
        <v>0.11402470406587752</v>
      </c>
      <c r="N944" t="str">
        <f>IF(logistics_data[[#This Row],[Orginal staus of shipment]]&lt;&gt;"Delivered","not applicabel", IF(logistics_data[[#This Row],[Transit_Days]]&gt;=5,"slow","fast"))</f>
        <v>slow</v>
      </c>
    </row>
    <row r="945" spans="1:14" x14ac:dyDescent="0.3">
      <c r="A945" t="s">
        <v>991</v>
      </c>
      <c r="B945" t="s">
        <v>35</v>
      </c>
      <c r="C945" t="s">
        <v>44</v>
      </c>
      <c r="D945" t="s">
        <v>37</v>
      </c>
      <c r="E945" s="1">
        <v>45231</v>
      </c>
      <c r="F945" s="1">
        <v>45238</v>
      </c>
      <c r="G945">
        <v>8.9</v>
      </c>
      <c r="H945">
        <v>390.8</v>
      </c>
      <c r="I945" t="s">
        <v>15</v>
      </c>
      <c r="J945">
        <v>2441</v>
      </c>
      <c r="K945">
        <v>7</v>
      </c>
      <c r="L945" t="str">
        <f>IF(logistics_data[[#This Row],[Delivery_Date]]="","In Transit",
 IF(logistics_data[[#This Row],[Status]]="Lost","Lost",
 IF(logistics_data[[#This Row],[Status]]="Returned","Returned",
 IF(logistics_data[[#This Row],[Status]]="Delayed","Delayed",
 "Delivered"))))</f>
        <v>Delivered</v>
      </c>
      <c r="M945" s="2">
        <f>logistics_data[[#This Row],[Cost]]/logistics_data[[#This Row],[Distance_miles]]</f>
        <v>0.160098320360508</v>
      </c>
      <c r="N945" t="str">
        <f>IF(logistics_data[[#This Row],[Orginal staus of shipment]]&lt;&gt;"Delivered","not applicabel", IF(logistics_data[[#This Row],[Transit_Days]]&gt;=5,"slow","fast"))</f>
        <v>slow</v>
      </c>
    </row>
    <row r="946" spans="1:14" x14ac:dyDescent="0.3">
      <c r="A946" t="s">
        <v>992</v>
      </c>
      <c r="B946" t="s">
        <v>51</v>
      </c>
      <c r="C946" t="s">
        <v>52</v>
      </c>
      <c r="D946" t="s">
        <v>59</v>
      </c>
      <c r="E946" s="1">
        <v>45064</v>
      </c>
      <c r="F946" s="1">
        <v>45034</v>
      </c>
      <c r="G946">
        <v>55.4</v>
      </c>
      <c r="H946">
        <v>237.06</v>
      </c>
      <c r="I946" t="s">
        <v>62</v>
      </c>
      <c r="J946">
        <v>1644</v>
      </c>
      <c r="K946">
        <v>5</v>
      </c>
      <c r="L946" t="str">
        <f>IF(logistics_data[[#This Row],[Delivery_Date]]="","In Transit",
 IF(logistics_data[[#This Row],[Status]]="Lost","Lost",
 IF(logistics_data[[#This Row],[Status]]="Returned","Returned",
 IF(logistics_data[[#This Row],[Status]]="Delayed","Delayed",
 "Delivered"))))</f>
        <v>Delivered</v>
      </c>
      <c r="M946" s="2">
        <f>logistics_data[[#This Row],[Cost]]/logistics_data[[#This Row],[Distance_miles]]</f>
        <v>0.14419708029197081</v>
      </c>
      <c r="N946" t="str">
        <f>IF(logistics_data[[#This Row],[Orginal staus of shipment]]&lt;&gt;"Delivered","not applicabel", IF(logistics_data[[#This Row],[Transit_Days]]&gt;=5,"slow","fast"))</f>
        <v>slow</v>
      </c>
    </row>
    <row r="947" spans="1:14" x14ac:dyDescent="0.3">
      <c r="A947" t="s">
        <v>993</v>
      </c>
      <c r="B947" t="s">
        <v>39</v>
      </c>
      <c r="C947" t="s">
        <v>36</v>
      </c>
      <c r="D947" t="s">
        <v>42</v>
      </c>
      <c r="E947" s="1">
        <v>45206</v>
      </c>
      <c r="F947" s="1">
        <v>45209</v>
      </c>
      <c r="G947">
        <v>7.1</v>
      </c>
      <c r="H947">
        <v>164.49</v>
      </c>
      <c r="I947" t="s">
        <v>15</v>
      </c>
      <c r="J947">
        <v>1336</v>
      </c>
      <c r="K947">
        <v>3</v>
      </c>
      <c r="L947" t="str">
        <f>IF(logistics_data[[#This Row],[Delivery_Date]]="","In Transit",
 IF(logistics_data[[#This Row],[Status]]="Lost","Lost",
 IF(logistics_data[[#This Row],[Status]]="Returned","Returned",
 IF(logistics_data[[#This Row],[Status]]="Delayed","Delayed",
 "Delivered"))))</f>
        <v>Delivered</v>
      </c>
      <c r="M947" s="2">
        <f>logistics_data[[#This Row],[Cost]]/logistics_data[[#This Row],[Distance_miles]]</f>
        <v>0.12312125748502994</v>
      </c>
      <c r="N947" t="str">
        <f>IF(logistics_data[[#This Row],[Orginal staus of shipment]]&lt;&gt;"Delivered","not applicabel", IF(logistics_data[[#This Row],[Transit_Days]]&gt;=5,"slow","fast"))</f>
        <v>fast</v>
      </c>
    </row>
    <row r="948" spans="1:14" x14ac:dyDescent="0.3">
      <c r="A948" t="s">
        <v>994</v>
      </c>
      <c r="B948" t="s">
        <v>20</v>
      </c>
      <c r="C948" t="s">
        <v>36</v>
      </c>
      <c r="D948" t="s">
        <v>14</v>
      </c>
      <c r="E948" s="1">
        <v>44949</v>
      </c>
      <c r="F948" s="1">
        <v>44953</v>
      </c>
      <c r="G948">
        <v>45.4</v>
      </c>
      <c r="H948">
        <v>172.09</v>
      </c>
      <c r="I948" t="s">
        <v>15</v>
      </c>
      <c r="J948">
        <v>1050</v>
      </c>
      <c r="K948">
        <v>4</v>
      </c>
      <c r="L948" t="str">
        <f>IF(logistics_data[[#This Row],[Delivery_Date]]="","In Transit",
 IF(logistics_data[[#This Row],[Status]]="Lost","Lost",
 IF(logistics_data[[#This Row],[Status]]="Returned","Returned",
 IF(logistics_data[[#This Row],[Status]]="Delayed","Delayed",
 "Delivered"))))</f>
        <v>Delivered</v>
      </c>
      <c r="M948" s="2">
        <f>logistics_data[[#This Row],[Cost]]/logistics_data[[#This Row],[Distance_miles]]</f>
        <v>0.16389523809523809</v>
      </c>
      <c r="N948" t="str">
        <f>IF(logistics_data[[#This Row],[Orginal staus of shipment]]&lt;&gt;"Delivered","not applicabel", IF(logistics_data[[#This Row],[Transit_Days]]&gt;=5,"slow","fast"))</f>
        <v>fast</v>
      </c>
    </row>
    <row r="949" spans="1:14" x14ac:dyDescent="0.3">
      <c r="A949" t="s">
        <v>995</v>
      </c>
      <c r="B949" t="s">
        <v>30</v>
      </c>
      <c r="C949" t="s">
        <v>17</v>
      </c>
      <c r="D949" t="s">
        <v>14</v>
      </c>
      <c r="E949" s="1">
        <v>45216</v>
      </c>
      <c r="F949" s="1">
        <v>45222</v>
      </c>
      <c r="G949">
        <v>53.8</v>
      </c>
      <c r="H949">
        <v>334.19</v>
      </c>
      <c r="I949" t="s">
        <v>15</v>
      </c>
      <c r="J949">
        <v>2107</v>
      </c>
      <c r="K949">
        <v>6</v>
      </c>
      <c r="L949" t="str">
        <f>IF(logistics_data[[#This Row],[Delivery_Date]]="","In Transit",
 IF(logistics_data[[#This Row],[Status]]="Lost","Lost",
 IF(logistics_data[[#This Row],[Status]]="Returned","Returned",
 IF(logistics_data[[#This Row],[Status]]="Delayed","Delayed",
 "Delivered"))))</f>
        <v>Delivered</v>
      </c>
      <c r="M949" s="2">
        <f>logistics_data[[#This Row],[Cost]]/logistics_data[[#This Row],[Distance_miles]]</f>
        <v>0.15860939724727099</v>
      </c>
      <c r="N949" t="str">
        <f>IF(logistics_data[[#This Row],[Orginal staus of shipment]]&lt;&gt;"Delivered","not applicabel", IF(logistics_data[[#This Row],[Transit_Days]]&gt;=5,"slow","fast"))</f>
        <v>slow</v>
      </c>
    </row>
    <row r="950" spans="1:14" x14ac:dyDescent="0.3">
      <c r="A950" t="s">
        <v>996</v>
      </c>
      <c r="B950" t="s">
        <v>12</v>
      </c>
      <c r="C950" t="s">
        <v>28</v>
      </c>
      <c r="D950" t="s">
        <v>14</v>
      </c>
      <c r="E950" s="1">
        <v>45033</v>
      </c>
      <c r="F950" s="1">
        <v>45035</v>
      </c>
      <c r="G950">
        <v>20</v>
      </c>
      <c r="H950">
        <v>96.84</v>
      </c>
      <c r="I950" t="s">
        <v>15</v>
      </c>
      <c r="J950">
        <v>517</v>
      </c>
      <c r="K950">
        <v>2</v>
      </c>
      <c r="L950" t="str">
        <f>IF(logistics_data[[#This Row],[Delivery_Date]]="","In Transit",
 IF(logistics_data[[#This Row],[Status]]="Lost","Lost",
 IF(logistics_data[[#This Row],[Status]]="Returned","Returned",
 IF(logistics_data[[#This Row],[Status]]="Delayed","Delayed",
 "Delivered"))))</f>
        <v>Delivered</v>
      </c>
      <c r="M950" s="2">
        <f>logistics_data[[#This Row],[Cost]]/logistics_data[[#This Row],[Distance_miles]]</f>
        <v>0.18731141199226306</v>
      </c>
      <c r="N950" t="str">
        <f>IF(logistics_data[[#This Row],[Orginal staus of shipment]]&lt;&gt;"Delivered","not applicabel", IF(logistics_data[[#This Row],[Transit_Days]]&gt;=5,"slow","fast"))</f>
        <v>fast</v>
      </c>
    </row>
    <row r="951" spans="1:14" x14ac:dyDescent="0.3">
      <c r="A951" t="s">
        <v>997</v>
      </c>
      <c r="B951" t="s">
        <v>30</v>
      </c>
      <c r="C951" t="s">
        <v>28</v>
      </c>
      <c r="D951" t="s">
        <v>14</v>
      </c>
      <c r="E951" s="1">
        <v>45247</v>
      </c>
      <c r="F951" s="1">
        <v>45263</v>
      </c>
      <c r="G951">
        <v>47.6</v>
      </c>
      <c r="H951">
        <v>267.76</v>
      </c>
      <c r="I951" t="s">
        <v>47</v>
      </c>
      <c r="J951">
        <v>1263</v>
      </c>
      <c r="K951">
        <v>4</v>
      </c>
      <c r="L951" t="str">
        <f>IF(logistics_data[[#This Row],[Delivery_Date]]="","In Transit",
 IF(logistics_data[[#This Row],[Status]]="Lost","Lost",
 IF(logistics_data[[#This Row],[Status]]="Returned","Returned",
 IF(logistics_data[[#This Row],[Status]]="Delayed","Delayed",
 "Delivered"))))</f>
        <v>Delayed</v>
      </c>
      <c r="M951" s="2">
        <f>logistics_data[[#This Row],[Cost]]/logistics_data[[#This Row],[Distance_miles]]</f>
        <v>0.21200316706254949</v>
      </c>
      <c r="N951" t="str">
        <f>IF(logistics_data[[#This Row],[Orginal staus of shipment]]&lt;&gt;"Delivered","not applicabel", IF(logistics_data[[#This Row],[Transit_Days]]&gt;=5,"slow","fast"))</f>
        <v>not applicabel</v>
      </c>
    </row>
    <row r="952" spans="1:14" x14ac:dyDescent="0.3">
      <c r="A952" t="s">
        <v>998</v>
      </c>
      <c r="B952" t="s">
        <v>27</v>
      </c>
      <c r="C952" t="s">
        <v>28</v>
      </c>
      <c r="D952" t="s">
        <v>42</v>
      </c>
      <c r="E952" s="1">
        <v>44989</v>
      </c>
      <c r="F952" s="1">
        <v>44992</v>
      </c>
      <c r="G952">
        <v>14.9</v>
      </c>
      <c r="H952">
        <v>148</v>
      </c>
      <c r="I952" t="s">
        <v>15</v>
      </c>
      <c r="J952">
        <v>1154</v>
      </c>
      <c r="K952">
        <v>3</v>
      </c>
      <c r="L952" t="str">
        <f>IF(logistics_data[[#This Row],[Delivery_Date]]="","In Transit",
 IF(logistics_data[[#This Row],[Status]]="Lost","Lost",
 IF(logistics_data[[#This Row],[Status]]="Returned","Returned",
 IF(logistics_data[[#This Row],[Status]]="Delayed","Delayed",
 "Delivered"))))</f>
        <v>Delivered</v>
      </c>
      <c r="M952" s="2">
        <f>logistics_data[[#This Row],[Cost]]/logistics_data[[#This Row],[Distance_miles]]</f>
        <v>0.12824956672443674</v>
      </c>
      <c r="N952" t="str">
        <f>IF(logistics_data[[#This Row],[Orginal staus of shipment]]&lt;&gt;"Delivered","not applicabel", IF(logistics_data[[#This Row],[Transit_Days]]&gt;=5,"slow","fast"))</f>
        <v>fast</v>
      </c>
    </row>
    <row r="953" spans="1:14" x14ac:dyDescent="0.3">
      <c r="A953" t="s">
        <v>999</v>
      </c>
      <c r="B953" t="s">
        <v>30</v>
      </c>
      <c r="C953" t="s">
        <v>13</v>
      </c>
      <c r="D953" t="s">
        <v>25</v>
      </c>
      <c r="E953" s="1">
        <v>45127</v>
      </c>
      <c r="F953" s="1">
        <v>45131</v>
      </c>
      <c r="G953">
        <v>62.4</v>
      </c>
      <c r="H953">
        <v>118.11</v>
      </c>
      <c r="I953" t="s">
        <v>15</v>
      </c>
      <c r="J953">
        <v>407</v>
      </c>
      <c r="K953">
        <v>4</v>
      </c>
      <c r="L953" t="str">
        <f>IF(logistics_data[[#This Row],[Delivery_Date]]="","In Transit",
 IF(logistics_data[[#This Row],[Status]]="Lost","Lost",
 IF(logistics_data[[#This Row],[Status]]="Returned","Returned",
 IF(logistics_data[[#This Row],[Status]]="Delayed","Delayed",
 "Delivered"))))</f>
        <v>Delivered</v>
      </c>
      <c r="M953" s="2">
        <f>logistics_data[[#This Row],[Cost]]/logistics_data[[#This Row],[Distance_miles]]</f>
        <v>0.2901965601965602</v>
      </c>
      <c r="N953" t="str">
        <f>IF(logistics_data[[#This Row],[Orginal staus of shipment]]&lt;&gt;"Delivered","not applicabel", IF(logistics_data[[#This Row],[Transit_Days]]&gt;=5,"slow","fast"))</f>
        <v>fast</v>
      </c>
    </row>
    <row r="954" spans="1:14" x14ac:dyDescent="0.3">
      <c r="A954" t="s">
        <v>1000</v>
      </c>
      <c r="B954" t="s">
        <v>51</v>
      </c>
      <c r="C954" t="s">
        <v>70</v>
      </c>
      <c r="D954" t="s">
        <v>32</v>
      </c>
      <c r="E954" s="1">
        <v>45159</v>
      </c>
      <c r="F954" s="1">
        <v>45165</v>
      </c>
      <c r="G954">
        <v>28.3</v>
      </c>
      <c r="H954">
        <v>318.33999999999997</v>
      </c>
      <c r="I954" t="s">
        <v>15</v>
      </c>
      <c r="J954">
        <v>2076</v>
      </c>
      <c r="K954">
        <v>6</v>
      </c>
      <c r="L954" t="str">
        <f>IF(logistics_data[[#This Row],[Delivery_Date]]="","In Transit",
 IF(logistics_data[[#This Row],[Status]]="Lost","Lost",
 IF(logistics_data[[#This Row],[Status]]="Returned","Returned",
 IF(logistics_data[[#This Row],[Status]]="Delayed","Delayed",
 "Delivered"))))</f>
        <v>Delivered</v>
      </c>
      <c r="M954" s="2">
        <f>logistics_data[[#This Row],[Cost]]/logistics_data[[#This Row],[Distance_miles]]</f>
        <v>0.15334296724470134</v>
      </c>
      <c r="N954" t="str">
        <f>IF(logistics_data[[#This Row],[Orginal staus of shipment]]&lt;&gt;"Delivered","not applicabel", IF(logistics_data[[#This Row],[Transit_Days]]&gt;=5,"slow","fast"))</f>
        <v>slow</v>
      </c>
    </row>
    <row r="955" spans="1:14" x14ac:dyDescent="0.3">
      <c r="A955" t="s">
        <v>1001</v>
      </c>
      <c r="B955" t="s">
        <v>51</v>
      </c>
      <c r="C955" t="s">
        <v>81</v>
      </c>
      <c r="D955" t="s">
        <v>59</v>
      </c>
      <c r="E955" s="1">
        <v>45196</v>
      </c>
      <c r="F955" s="1">
        <v>45202</v>
      </c>
      <c r="G955">
        <v>26.6</v>
      </c>
      <c r="H955">
        <v>295.92</v>
      </c>
      <c r="I955" t="s">
        <v>15</v>
      </c>
      <c r="J955">
        <v>2346</v>
      </c>
      <c r="K955">
        <v>6</v>
      </c>
      <c r="L955" t="str">
        <f>IF(logistics_data[[#This Row],[Delivery_Date]]="","In Transit",
 IF(logistics_data[[#This Row],[Status]]="Lost","Lost",
 IF(logistics_data[[#This Row],[Status]]="Returned","Returned",
 IF(logistics_data[[#This Row],[Status]]="Delayed","Delayed",
 "Delivered"))))</f>
        <v>Delivered</v>
      </c>
      <c r="M955" s="2">
        <f>logistics_data[[#This Row],[Cost]]/logistics_data[[#This Row],[Distance_miles]]</f>
        <v>0.12613810741687981</v>
      </c>
      <c r="N955" t="str">
        <f>IF(logistics_data[[#This Row],[Orginal staus of shipment]]&lt;&gt;"Delivered","not applicabel", IF(logistics_data[[#This Row],[Transit_Days]]&gt;=5,"slow","fast"))</f>
        <v>slow</v>
      </c>
    </row>
    <row r="956" spans="1:14" x14ac:dyDescent="0.3">
      <c r="A956" t="s">
        <v>1002</v>
      </c>
      <c r="B956" t="s">
        <v>23</v>
      </c>
      <c r="C956" t="s">
        <v>36</v>
      </c>
      <c r="D956" t="s">
        <v>37</v>
      </c>
      <c r="E956" s="1">
        <v>44964</v>
      </c>
      <c r="F956" s="1">
        <v>44966</v>
      </c>
      <c r="G956">
        <v>29.9</v>
      </c>
      <c r="H956">
        <v>108.93</v>
      </c>
      <c r="I956" t="s">
        <v>15</v>
      </c>
      <c r="J956">
        <v>576</v>
      </c>
      <c r="K956">
        <v>2</v>
      </c>
      <c r="L956" t="str">
        <f>IF(logistics_data[[#This Row],[Delivery_Date]]="","In Transit",
 IF(logistics_data[[#This Row],[Status]]="Lost","Lost",
 IF(logistics_data[[#This Row],[Status]]="Returned","Returned",
 IF(logistics_data[[#This Row],[Status]]="Delayed","Delayed",
 "Delivered"))))</f>
        <v>Delivered</v>
      </c>
      <c r="M956" s="2">
        <f>logistics_data[[#This Row],[Cost]]/logistics_data[[#This Row],[Distance_miles]]</f>
        <v>0.18911458333333334</v>
      </c>
      <c r="N956" t="str">
        <f>IF(logistics_data[[#This Row],[Orginal staus of shipment]]&lt;&gt;"Delivered","not applicabel", IF(logistics_data[[#This Row],[Transit_Days]]&gt;=5,"slow","fast"))</f>
        <v>fast</v>
      </c>
    </row>
    <row r="957" spans="1:14" x14ac:dyDescent="0.3">
      <c r="A957" t="s">
        <v>1003</v>
      </c>
      <c r="B957" t="s">
        <v>12</v>
      </c>
      <c r="C957" t="s">
        <v>17</v>
      </c>
      <c r="D957" t="s">
        <v>18</v>
      </c>
      <c r="E957" s="1">
        <v>44954</v>
      </c>
      <c r="F957" s="1">
        <v>44959</v>
      </c>
      <c r="G957">
        <v>5.0999999999999996</v>
      </c>
      <c r="H957">
        <v>236.05</v>
      </c>
      <c r="I957" t="s">
        <v>15</v>
      </c>
      <c r="J957">
        <v>1773</v>
      </c>
      <c r="K957">
        <v>5</v>
      </c>
      <c r="L957" t="str">
        <f>IF(logistics_data[[#This Row],[Delivery_Date]]="","In Transit",
 IF(logistics_data[[#This Row],[Status]]="Lost","Lost",
 IF(logistics_data[[#This Row],[Status]]="Returned","Returned",
 IF(logistics_data[[#This Row],[Status]]="Delayed","Delayed",
 "Delivered"))))</f>
        <v>Delivered</v>
      </c>
      <c r="M957" s="2">
        <f>logistics_data[[#This Row],[Cost]]/logistics_data[[#This Row],[Distance_miles]]</f>
        <v>0.13313592780597858</v>
      </c>
      <c r="N957" t="str">
        <f>IF(logistics_data[[#This Row],[Orginal staus of shipment]]&lt;&gt;"Delivered","not applicabel", IF(logistics_data[[#This Row],[Transit_Days]]&gt;=5,"slow","fast"))</f>
        <v>slow</v>
      </c>
    </row>
    <row r="958" spans="1:14" x14ac:dyDescent="0.3">
      <c r="A958" t="s">
        <v>1004</v>
      </c>
      <c r="B958" t="s">
        <v>56</v>
      </c>
      <c r="C958" t="s">
        <v>17</v>
      </c>
      <c r="D958" t="s">
        <v>42</v>
      </c>
      <c r="E958" s="1">
        <v>45098</v>
      </c>
      <c r="F958" s="1">
        <v>45101</v>
      </c>
      <c r="G958">
        <v>24.3</v>
      </c>
      <c r="H958">
        <v>160.77000000000001</v>
      </c>
      <c r="I958" t="s">
        <v>62</v>
      </c>
      <c r="J958">
        <v>1144</v>
      </c>
      <c r="K958">
        <v>3</v>
      </c>
      <c r="L958" t="str">
        <f>IF(logistics_data[[#This Row],[Delivery_Date]]="","In Transit",
 IF(logistics_data[[#This Row],[Status]]="Lost","Lost",
 IF(logistics_data[[#This Row],[Status]]="Returned","Returned",
 IF(logistics_data[[#This Row],[Status]]="Delayed","Delayed",
 "Delivered"))))</f>
        <v>Delivered</v>
      </c>
      <c r="M958" s="2">
        <f>logistics_data[[#This Row],[Cost]]/logistics_data[[#This Row],[Distance_miles]]</f>
        <v>0.14053321678321679</v>
      </c>
      <c r="N958" t="str">
        <f>IF(logistics_data[[#This Row],[Orginal staus of shipment]]&lt;&gt;"Delivered","not applicabel", IF(logistics_data[[#This Row],[Transit_Days]]&gt;=5,"slow","fast"))</f>
        <v>fast</v>
      </c>
    </row>
    <row r="959" spans="1:14" x14ac:dyDescent="0.3">
      <c r="A959" t="s">
        <v>1005</v>
      </c>
      <c r="B959" t="s">
        <v>49</v>
      </c>
      <c r="C959" t="s">
        <v>46</v>
      </c>
      <c r="D959" t="s">
        <v>32</v>
      </c>
      <c r="E959" s="1">
        <v>45175</v>
      </c>
      <c r="F959" s="1">
        <v>45180</v>
      </c>
      <c r="G959">
        <v>75</v>
      </c>
      <c r="H959">
        <v>402.46</v>
      </c>
      <c r="I959" t="s">
        <v>15</v>
      </c>
      <c r="J959">
        <v>2200</v>
      </c>
      <c r="K959">
        <v>5</v>
      </c>
      <c r="L959" t="str">
        <f>IF(logistics_data[[#This Row],[Delivery_Date]]="","In Transit",
 IF(logistics_data[[#This Row],[Status]]="Lost","Lost",
 IF(logistics_data[[#This Row],[Status]]="Returned","Returned",
 IF(logistics_data[[#This Row],[Status]]="Delayed","Delayed",
 "Delivered"))))</f>
        <v>Delivered</v>
      </c>
      <c r="M959" s="2">
        <f>logistics_data[[#This Row],[Cost]]/logistics_data[[#This Row],[Distance_miles]]</f>
        <v>0.18293636363636362</v>
      </c>
      <c r="N959" t="str">
        <f>IF(logistics_data[[#This Row],[Orginal staus of shipment]]&lt;&gt;"Delivered","not applicabel", IF(logistics_data[[#This Row],[Transit_Days]]&gt;=5,"slow","fast"))</f>
        <v>slow</v>
      </c>
    </row>
    <row r="960" spans="1:14" x14ac:dyDescent="0.3">
      <c r="A960" t="s">
        <v>1006</v>
      </c>
      <c r="B960" t="s">
        <v>49</v>
      </c>
      <c r="C960" t="s">
        <v>81</v>
      </c>
      <c r="D960" t="s">
        <v>25</v>
      </c>
      <c r="E960" s="1">
        <v>45123</v>
      </c>
      <c r="F960" s="1">
        <v>45128</v>
      </c>
      <c r="G960">
        <v>29.6</v>
      </c>
      <c r="H960">
        <v>276.98</v>
      </c>
      <c r="I960" t="s">
        <v>15</v>
      </c>
      <c r="J960">
        <v>2049</v>
      </c>
      <c r="K960">
        <v>5</v>
      </c>
      <c r="L960" t="str">
        <f>IF(logistics_data[[#This Row],[Delivery_Date]]="","In Transit",
 IF(logistics_data[[#This Row],[Status]]="Lost","Lost",
 IF(logistics_data[[#This Row],[Status]]="Returned","Returned",
 IF(logistics_data[[#This Row],[Status]]="Delayed","Delayed",
 "Delivered"))))</f>
        <v>Delivered</v>
      </c>
      <c r="M960" s="2">
        <f>logistics_data[[#This Row],[Cost]]/logistics_data[[#This Row],[Distance_miles]]</f>
        <v>0.1351781356759395</v>
      </c>
      <c r="N960" t="str">
        <f>IF(logistics_data[[#This Row],[Orginal staus of shipment]]&lt;&gt;"Delivered","not applicabel", IF(logistics_data[[#This Row],[Transit_Days]]&gt;=5,"slow","fast"))</f>
        <v>slow</v>
      </c>
    </row>
    <row r="961" spans="1:14" x14ac:dyDescent="0.3">
      <c r="A961" t="s">
        <v>1007</v>
      </c>
      <c r="B961" t="s">
        <v>39</v>
      </c>
      <c r="C961" t="s">
        <v>81</v>
      </c>
      <c r="D961" t="s">
        <v>25</v>
      </c>
      <c r="E961" s="1">
        <v>45264</v>
      </c>
      <c r="F961" s="1">
        <v>45271</v>
      </c>
      <c r="G961">
        <v>3.2</v>
      </c>
      <c r="H961">
        <v>140.80000000000001</v>
      </c>
      <c r="I961" t="s">
        <v>15</v>
      </c>
      <c r="J961">
        <v>1030</v>
      </c>
      <c r="K961">
        <v>7</v>
      </c>
      <c r="L961" t="str">
        <f>IF(logistics_data[[#This Row],[Delivery_Date]]="","In Transit",
 IF(logistics_data[[#This Row],[Status]]="Lost","Lost",
 IF(logistics_data[[#This Row],[Status]]="Returned","Returned",
 IF(logistics_data[[#This Row],[Status]]="Delayed","Delayed",
 "Delivered"))))</f>
        <v>Delivered</v>
      </c>
      <c r="M961" s="2">
        <f>logistics_data[[#This Row],[Cost]]/logistics_data[[#This Row],[Distance_miles]]</f>
        <v>0.13669902912621359</v>
      </c>
      <c r="N961" t="str">
        <f>IF(logistics_data[[#This Row],[Orginal staus of shipment]]&lt;&gt;"Delivered","not applicabel", IF(logistics_data[[#This Row],[Transit_Days]]&gt;=5,"slow","fast"))</f>
        <v>slow</v>
      </c>
    </row>
    <row r="962" spans="1:14" x14ac:dyDescent="0.3">
      <c r="A962" t="s">
        <v>1008</v>
      </c>
      <c r="B962" t="s">
        <v>51</v>
      </c>
      <c r="C962" t="s">
        <v>28</v>
      </c>
      <c r="D962" t="s">
        <v>18</v>
      </c>
      <c r="E962" s="1">
        <v>45021</v>
      </c>
      <c r="F962" s="1">
        <v>45031</v>
      </c>
      <c r="G962">
        <v>18.899999999999999</v>
      </c>
      <c r="H962">
        <v>196.91</v>
      </c>
      <c r="I962" t="s">
        <v>15</v>
      </c>
      <c r="J962">
        <v>1319</v>
      </c>
      <c r="K962">
        <v>10</v>
      </c>
      <c r="L962" t="str">
        <f>IF(logistics_data[[#This Row],[Delivery_Date]]="","In Transit",
 IF(logistics_data[[#This Row],[Status]]="Lost","Lost",
 IF(logistics_data[[#This Row],[Status]]="Returned","Returned",
 IF(logistics_data[[#This Row],[Status]]="Delayed","Delayed",
 "Delivered"))))</f>
        <v>Delivered</v>
      </c>
      <c r="M962" s="2">
        <f>logistics_data[[#This Row],[Cost]]/logistics_data[[#This Row],[Distance_miles]]</f>
        <v>0.14928733889310083</v>
      </c>
      <c r="N962" t="str">
        <f>IF(logistics_data[[#This Row],[Orginal staus of shipment]]&lt;&gt;"Delivered","not applicabel", IF(logistics_data[[#This Row],[Transit_Days]]&gt;=5,"slow","fast"))</f>
        <v>slow</v>
      </c>
    </row>
    <row r="963" spans="1:14" x14ac:dyDescent="0.3">
      <c r="A963" t="s">
        <v>1009</v>
      </c>
      <c r="B963" t="s">
        <v>30</v>
      </c>
      <c r="C963" t="s">
        <v>54</v>
      </c>
      <c r="D963" t="s">
        <v>14</v>
      </c>
      <c r="E963" s="1">
        <v>45219</v>
      </c>
      <c r="F963" s="1">
        <v>45221</v>
      </c>
      <c r="G963">
        <v>16.100000000000001</v>
      </c>
      <c r="H963">
        <v>102.41</v>
      </c>
      <c r="I963" t="s">
        <v>15</v>
      </c>
      <c r="J963">
        <v>625</v>
      </c>
      <c r="K963">
        <v>2</v>
      </c>
      <c r="L963" t="str">
        <f>IF(logistics_data[[#This Row],[Delivery_Date]]="","In Transit",
 IF(logistics_data[[#This Row],[Status]]="Lost","Lost",
 IF(logistics_data[[#This Row],[Status]]="Returned","Returned",
 IF(logistics_data[[#This Row],[Status]]="Delayed","Delayed",
 "Delivered"))))</f>
        <v>Delivered</v>
      </c>
      <c r="M963" s="2">
        <f>logistics_data[[#This Row],[Cost]]/logistics_data[[#This Row],[Distance_miles]]</f>
        <v>0.163856</v>
      </c>
      <c r="N963" t="str">
        <f>IF(logistics_data[[#This Row],[Orginal staus of shipment]]&lt;&gt;"Delivered","not applicabel", IF(logistics_data[[#This Row],[Transit_Days]]&gt;=5,"slow","fast"))</f>
        <v>fast</v>
      </c>
    </row>
    <row r="964" spans="1:14" x14ac:dyDescent="0.3">
      <c r="A964" t="s">
        <v>1010</v>
      </c>
      <c r="B964" t="s">
        <v>35</v>
      </c>
      <c r="C964" t="s">
        <v>40</v>
      </c>
      <c r="D964" t="s">
        <v>25</v>
      </c>
      <c r="E964" s="1">
        <v>44976</v>
      </c>
      <c r="F964" s="1">
        <v>44979</v>
      </c>
      <c r="G964">
        <v>36.700000000000003</v>
      </c>
      <c r="H964">
        <v>80.239999999999995</v>
      </c>
      <c r="I964" t="s">
        <v>15</v>
      </c>
      <c r="J964">
        <v>283</v>
      </c>
      <c r="K964">
        <v>3</v>
      </c>
      <c r="L964" t="str">
        <f>IF(logistics_data[[#This Row],[Delivery_Date]]="","In Transit",
 IF(logistics_data[[#This Row],[Status]]="Lost","Lost",
 IF(logistics_data[[#This Row],[Status]]="Returned","Returned",
 IF(logistics_data[[#This Row],[Status]]="Delayed","Delayed",
 "Delivered"))))</f>
        <v>Delivered</v>
      </c>
      <c r="M964" s="2">
        <f>logistics_data[[#This Row],[Cost]]/logistics_data[[#This Row],[Distance_miles]]</f>
        <v>0.28353356890459364</v>
      </c>
      <c r="N964" t="str">
        <f>IF(logistics_data[[#This Row],[Orginal staus of shipment]]&lt;&gt;"Delivered","not applicabel", IF(logistics_data[[#This Row],[Transit_Days]]&gt;=5,"slow","fast"))</f>
        <v>fast</v>
      </c>
    </row>
    <row r="965" spans="1:14" x14ac:dyDescent="0.3">
      <c r="A965" t="s">
        <v>1011</v>
      </c>
      <c r="B965" t="s">
        <v>56</v>
      </c>
      <c r="C965" t="s">
        <v>46</v>
      </c>
      <c r="D965" t="s">
        <v>42</v>
      </c>
      <c r="E965" s="1">
        <v>45163</v>
      </c>
      <c r="F965" s="1">
        <v>45168</v>
      </c>
      <c r="G965">
        <v>49.6</v>
      </c>
      <c r="H965">
        <v>169.64</v>
      </c>
      <c r="I965" t="s">
        <v>15</v>
      </c>
      <c r="J965">
        <v>820</v>
      </c>
      <c r="K965">
        <v>5</v>
      </c>
      <c r="L965" t="str">
        <f>IF(logistics_data[[#This Row],[Delivery_Date]]="","In Transit",
 IF(logistics_data[[#This Row],[Status]]="Lost","Lost",
 IF(logistics_data[[#This Row],[Status]]="Returned","Returned",
 IF(logistics_data[[#This Row],[Status]]="Delayed","Delayed",
 "Delivered"))))</f>
        <v>Delivered</v>
      </c>
      <c r="M965" s="2">
        <f>logistics_data[[#This Row],[Cost]]/logistics_data[[#This Row],[Distance_miles]]</f>
        <v>0.20687804878048779</v>
      </c>
      <c r="N965" t="str">
        <f>IF(logistics_data[[#This Row],[Orginal staus of shipment]]&lt;&gt;"Delivered","not applicabel", IF(logistics_data[[#This Row],[Transit_Days]]&gt;=5,"slow","fast"))</f>
        <v>slow</v>
      </c>
    </row>
    <row r="966" spans="1:14" x14ac:dyDescent="0.3">
      <c r="A966" t="s">
        <v>1012</v>
      </c>
      <c r="B966" t="s">
        <v>35</v>
      </c>
      <c r="C966" t="s">
        <v>44</v>
      </c>
      <c r="D966" t="s">
        <v>59</v>
      </c>
      <c r="E966" s="1">
        <v>45073</v>
      </c>
      <c r="F966" s="1">
        <v>45075</v>
      </c>
      <c r="G966">
        <v>7.2</v>
      </c>
      <c r="I966" t="s">
        <v>15</v>
      </c>
      <c r="J966">
        <v>858</v>
      </c>
      <c r="K966">
        <v>2</v>
      </c>
      <c r="L966" t="str">
        <f>IF(logistics_data[[#This Row],[Delivery_Date]]="","In Transit",
 IF(logistics_data[[#This Row],[Status]]="Lost","Lost",
 IF(logistics_data[[#This Row],[Status]]="Returned","Returned",
 IF(logistics_data[[#This Row],[Status]]="Delayed","Delayed",
 "Delivered"))))</f>
        <v>Delivered</v>
      </c>
      <c r="M966" s="2">
        <f>logistics_data[[#This Row],[Cost]]/logistics_data[[#This Row],[Distance_miles]]</f>
        <v>0</v>
      </c>
      <c r="N966" t="str">
        <f>IF(logistics_data[[#This Row],[Orginal staus of shipment]]&lt;&gt;"Delivered","not applicabel", IF(logistics_data[[#This Row],[Transit_Days]]&gt;=5,"slow","fast"))</f>
        <v>fast</v>
      </c>
    </row>
    <row r="967" spans="1:14" x14ac:dyDescent="0.3">
      <c r="A967" t="s">
        <v>1013</v>
      </c>
      <c r="B967" t="s">
        <v>30</v>
      </c>
      <c r="C967" t="s">
        <v>13</v>
      </c>
      <c r="D967" t="s">
        <v>18</v>
      </c>
      <c r="E967" s="1">
        <v>45090</v>
      </c>
      <c r="F967" s="1">
        <v>45097</v>
      </c>
      <c r="G967">
        <v>24.2</v>
      </c>
      <c r="H967">
        <v>318.02999999999997</v>
      </c>
      <c r="I967" t="s">
        <v>62</v>
      </c>
      <c r="J967">
        <v>2036</v>
      </c>
      <c r="K967">
        <v>7</v>
      </c>
      <c r="L967" t="str">
        <f>IF(logistics_data[[#This Row],[Delivery_Date]]="","In Transit",
 IF(logistics_data[[#This Row],[Status]]="Lost","Lost",
 IF(logistics_data[[#This Row],[Status]]="Returned","Returned",
 IF(logistics_data[[#This Row],[Status]]="Delayed","Delayed",
 "Delivered"))))</f>
        <v>Delivered</v>
      </c>
      <c r="M967" s="2">
        <f>logistics_data[[#This Row],[Cost]]/logistics_data[[#This Row],[Distance_miles]]</f>
        <v>0.15620333988212179</v>
      </c>
      <c r="N967" t="str">
        <f>IF(logistics_data[[#This Row],[Orginal staus of shipment]]&lt;&gt;"Delivered","not applicabel", IF(logistics_data[[#This Row],[Transit_Days]]&gt;=5,"slow","fast"))</f>
        <v>slow</v>
      </c>
    </row>
    <row r="968" spans="1:14" x14ac:dyDescent="0.3">
      <c r="A968" t="s">
        <v>1014</v>
      </c>
      <c r="B968" t="s">
        <v>35</v>
      </c>
      <c r="C968" t="s">
        <v>17</v>
      </c>
      <c r="D968" t="s">
        <v>14</v>
      </c>
      <c r="E968" s="1">
        <v>44996</v>
      </c>
      <c r="F968" s="1">
        <v>45000</v>
      </c>
      <c r="G968">
        <v>18.600000000000001</v>
      </c>
      <c r="H968">
        <v>264.57</v>
      </c>
      <c r="I968" t="s">
        <v>15</v>
      </c>
      <c r="J968">
        <v>1771</v>
      </c>
      <c r="K968">
        <v>4</v>
      </c>
      <c r="L968" t="str">
        <f>IF(logistics_data[[#This Row],[Delivery_Date]]="","In Transit",
 IF(logistics_data[[#This Row],[Status]]="Lost","Lost",
 IF(logistics_data[[#This Row],[Status]]="Returned","Returned",
 IF(logistics_data[[#This Row],[Status]]="Delayed","Delayed",
 "Delivered"))))</f>
        <v>Delivered</v>
      </c>
      <c r="M968" s="2">
        <f>logistics_data[[#This Row],[Cost]]/logistics_data[[#This Row],[Distance_miles]]</f>
        <v>0.14939017504234894</v>
      </c>
      <c r="N968" t="str">
        <f>IF(logistics_data[[#This Row],[Orginal staus of shipment]]&lt;&gt;"Delivered","not applicabel", IF(logistics_data[[#This Row],[Transit_Days]]&gt;=5,"slow","fast"))</f>
        <v>fast</v>
      </c>
    </row>
    <row r="969" spans="1:14" x14ac:dyDescent="0.3">
      <c r="A969" t="s">
        <v>1015</v>
      </c>
      <c r="B969" t="s">
        <v>23</v>
      </c>
      <c r="C969" t="s">
        <v>24</v>
      </c>
      <c r="D969" t="s">
        <v>32</v>
      </c>
      <c r="E969" s="1">
        <v>45065</v>
      </c>
      <c r="F969" s="1">
        <v>45070</v>
      </c>
      <c r="G969">
        <v>26.6</v>
      </c>
      <c r="H969">
        <v>302.89</v>
      </c>
      <c r="I969" t="s">
        <v>15</v>
      </c>
      <c r="J969">
        <v>1841</v>
      </c>
      <c r="K969">
        <v>5</v>
      </c>
      <c r="L969" t="str">
        <f>IF(logistics_data[[#This Row],[Delivery_Date]]="","In Transit",
 IF(logistics_data[[#This Row],[Status]]="Lost","Lost",
 IF(logistics_data[[#This Row],[Status]]="Returned","Returned",
 IF(logistics_data[[#This Row],[Status]]="Delayed","Delayed",
 "Delivered"))))</f>
        <v>Delivered</v>
      </c>
      <c r="M969" s="2">
        <f>logistics_data[[#This Row],[Cost]]/logistics_data[[#This Row],[Distance_miles]]</f>
        <v>0.16452471482889733</v>
      </c>
      <c r="N969" t="str">
        <f>IF(logistics_data[[#This Row],[Orginal staus of shipment]]&lt;&gt;"Delivered","not applicabel", IF(logistics_data[[#This Row],[Transit_Days]]&gt;=5,"slow","fast"))</f>
        <v>slow</v>
      </c>
    </row>
    <row r="970" spans="1:14" x14ac:dyDescent="0.3">
      <c r="A970" t="s">
        <v>1016</v>
      </c>
      <c r="B970" t="s">
        <v>49</v>
      </c>
      <c r="C970" t="s">
        <v>81</v>
      </c>
      <c r="D970" t="s">
        <v>14</v>
      </c>
      <c r="E970" s="1">
        <v>44939</v>
      </c>
      <c r="F970" s="1">
        <v>44943</v>
      </c>
      <c r="G970">
        <v>27.5</v>
      </c>
      <c r="H970">
        <v>272.07</v>
      </c>
      <c r="I970" t="s">
        <v>15</v>
      </c>
      <c r="J970">
        <v>1875</v>
      </c>
      <c r="K970">
        <v>4</v>
      </c>
      <c r="L970" t="str">
        <f>IF(logistics_data[[#This Row],[Delivery_Date]]="","In Transit",
 IF(logistics_data[[#This Row],[Status]]="Lost","Lost",
 IF(logistics_data[[#This Row],[Status]]="Returned","Returned",
 IF(logistics_data[[#This Row],[Status]]="Delayed","Delayed",
 "Delivered"))))</f>
        <v>Delivered</v>
      </c>
      <c r="M970" s="2">
        <f>logistics_data[[#This Row],[Cost]]/logistics_data[[#This Row],[Distance_miles]]</f>
        <v>0.14510399999999998</v>
      </c>
      <c r="N970" t="str">
        <f>IF(logistics_data[[#This Row],[Orginal staus of shipment]]&lt;&gt;"Delivered","not applicabel", IF(logistics_data[[#This Row],[Transit_Days]]&gt;=5,"slow","fast"))</f>
        <v>fast</v>
      </c>
    </row>
    <row r="971" spans="1:14" x14ac:dyDescent="0.3">
      <c r="A971" t="s">
        <v>1017</v>
      </c>
      <c r="B971" t="s">
        <v>39</v>
      </c>
      <c r="C971" t="s">
        <v>54</v>
      </c>
      <c r="D971" t="s">
        <v>32</v>
      </c>
      <c r="E971" s="1">
        <v>45107</v>
      </c>
      <c r="F971" s="1">
        <v>45109</v>
      </c>
      <c r="G971">
        <v>30.9</v>
      </c>
      <c r="H971">
        <v>81.650000000000006</v>
      </c>
      <c r="I971" t="s">
        <v>15</v>
      </c>
      <c r="J971">
        <v>297</v>
      </c>
      <c r="K971">
        <v>2</v>
      </c>
      <c r="L971" t="str">
        <f>IF(logistics_data[[#This Row],[Delivery_Date]]="","In Transit",
 IF(logistics_data[[#This Row],[Status]]="Lost","Lost",
 IF(logistics_data[[#This Row],[Status]]="Returned","Returned",
 IF(logistics_data[[#This Row],[Status]]="Delayed","Delayed",
 "Delivered"))))</f>
        <v>Delivered</v>
      </c>
      <c r="M971" s="2">
        <f>logistics_data[[#This Row],[Cost]]/logistics_data[[#This Row],[Distance_miles]]</f>
        <v>0.27491582491582495</v>
      </c>
      <c r="N971" t="str">
        <f>IF(logistics_data[[#This Row],[Orginal staus of shipment]]&lt;&gt;"Delivered","not applicabel", IF(logistics_data[[#This Row],[Transit_Days]]&gt;=5,"slow","fast"))</f>
        <v>fast</v>
      </c>
    </row>
    <row r="972" spans="1:14" x14ac:dyDescent="0.3">
      <c r="A972" t="s">
        <v>1018</v>
      </c>
      <c r="B972" t="s">
        <v>30</v>
      </c>
      <c r="C972" t="s">
        <v>52</v>
      </c>
      <c r="D972" t="s">
        <v>14</v>
      </c>
      <c r="E972" s="1">
        <v>45174</v>
      </c>
      <c r="F972" s="1">
        <v>45178</v>
      </c>
      <c r="G972">
        <v>11.9</v>
      </c>
      <c r="H972">
        <v>193.89</v>
      </c>
      <c r="I972" t="s">
        <v>15</v>
      </c>
      <c r="J972">
        <v>1290</v>
      </c>
      <c r="K972">
        <v>4</v>
      </c>
      <c r="L972" t="str">
        <f>IF(logistics_data[[#This Row],[Delivery_Date]]="","In Transit",
 IF(logistics_data[[#This Row],[Status]]="Lost","Lost",
 IF(logistics_data[[#This Row],[Status]]="Returned","Returned",
 IF(logistics_data[[#This Row],[Status]]="Delayed","Delayed",
 "Delivered"))))</f>
        <v>Delivered</v>
      </c>
      <c r="M972" s="2">
        <f>logistics_data[[#This Row],[Cost]]/logistics_data[[#This Row],[Distance_miles]]</f>
        <v>0.15030232558139534</v>
      </c>
      <c r="N972" t="str">
        <f>IF(logistics_data[[#This Row],[Orginal staus of shipment]]&lt;&gt;"Delivered","not applicabel", IF(logistics_data[[#This Row],[Transit_Days]]&gt;=5,"slow","fast"))</f>
        <v>fast</v>
      </c>
    </row>
    <row r="973" spans="1:14" x14ac:dyDescent="0.3">
      <c r="A973" t="s">
        <v>1019</v>
      </c>
      <c r="B973" t="s">
        <v>23</v>
      </c>
      <c r="C973" t="s">
        <v>81</v>
      </c>
      <c r="D973" t="s">
        <v>25</v>
      </c>
      <c r="E973" s="1">
        <v>45151</v>
      </c>
      <c r="F973" s="1">
        <v>45156</v>
      </c>
      <c r="G973">
        <v>16.3</v>
      </c>
      <c r="H973">
        <v>25.2</v>
      </c>
      <c r="I973" t="s">
        <v>15</v>
      </c>
      <c r="J973">
        <v>2033</v>
      </c>
      <c r="K973">
        <v>5</v>
      </c>
      <c r="L973" t="str">
        <f>IF(logistics_data[[#This Row],[Delivery_Date]]="","In Transit",
 IF(logistics_data[[#This Row],[Status]]="Lost","Lost",
 IF(logistics_data[[#This Row],[Status]]="Returned","Returned",
 IF(logistics_data[[#This Row],[Status]]="Delayed","Delayed",
 "Delivered"))))</f>
        <v>Delivered</v>
      </c>
      <c r="M973" s="2">
        <f>logistics_data[[#This Row],[Cost]]/logistics_data[[#This Row],[Distance_miles]]</f>
        <v>1.2395474667978357E-2</v>
      </c>
      <c r="N973" t="str">
        <f>IF(logistics_data[[#This Row],[Orginal staus of shipment]]&lt;&gt;"Delivered","not applicabel", IF(logistics_data[[#This Row],[Transit_Days]]&gt;=5,"slow","fast"))</f>
        <v>slow</v>
      </c>
    </row>
    <row r="974" spans="1:14" x14ac:dyDescent="0.3">
      <c r="A974" t="s">
        <v>1020</v>
      </c>
      <c r="B974" t="s">
        <v>39</v>
      </c>
      <c r="C974" t="s">
        <v>21</v>
      </c>
      <c r="D974" t="s">
        <v>14</v>
      </c>
      <c r="E974" s="1">
        <v>45276</v>
      </c>
      <c r="F974" s="1">
        <v>45283</v>
      </c>
      <c r="G974">
        <v>24.7</v>
      </c>
      <c r="H974">
        <v>179.53</v>
      </c>
      <c r="I974" t="s">
        <v>15</v>
      </c>
      <c r="J974">
        <v>974</v>
      </c>
      <c r="K974">
        <v>7</v>
      </c>
      <c r="L974" t="str">
        <f>IF(logistics_data[[#This Row],[Delivery_Date]]="","In Transit",
 IF(logistics_data[[#This Row],[Status]]="Lost","Lost",
 IF(logistics_data[[#This Row],[Status]]="Returned","Returned",
 IF(logistics_data[[#This Row],[Status]]="Delayed","Delayed",
 "Delivered"))))</f>
        <v>Delivered</v>
      </c>
      <c r="M974" s="2">
        <f>logistics_data[[#This Row],[Cost]]/logistics_data[[#This Row],[Distance_miles]]</f>
        <v>0.1843223819301848</v>
      </c>
      <c r="N974" t="str">
        <f>IF(logistics_data[[#This Row],[Orginal staus of shipment]]&lt;&gt;"Delivered","not applicabel", IF(logistics_data[[#This Row],[Transit_Days]]&gt;=5,"slow","fast"))</f>
        <v>slow</v>
      </c>
    </row>
    <row r="975" spans="1:14" x14ac:dyDescent="0.3">
      <c r="A975" t="s">
        <v>1021</v>
      </c>
      <c r="B975" t="s">
        <v>12</v>
      </c>
      <c r="C975" t="s">
        <v>36</v>
      </c>
      <c r="D975" t="s">
        <v>32</v>
      </c>
      <c r="E975" s="1">
        <v>45220</v>
      </c>
      <c r="F975" s="1">
        <v>45224</v>
      </c>
      <c r="G975">
        <v>32.299999999999997</v>
      </c>
      <c r="H975">
        <v>233.32</v>
      </c>
      <c r="I975" t="s">
        <v>15</v>
      </c>
      <c r="J975">
        <v>1492</v>
      </c>
      <c r="K975">
        <v>4</v>
      </c>
      <c r="L975" t="str">
        <f>IF(logistics_data[[#This Row],[Delivery_Date]]="","In Transit",
 IF(logistics_data[[#This Row],[Status]]="Lost","Lost",
 IF(logistics_data[[#This Row],[Status]]="Returned","Returned",
 IF(logistics_data[[#This Row],[Status]]="Delayed","Delayed",
 "Delivered"))))</f>
        <v>Delivered</v>
      </c>
      <c r="M975" s="2">
        <f>logistics_data[[#This Row],[Cost]]/logistics_data[[#This Row],[Distance_miles]]</f>
        <v>0.15638069705093832</v>
      </c>
      <c r="N975" t="str">
        <f>IF(logistics_data[[#This Row],[Orginal staus of shipment]]&lt;&gt;"Delivered","not applicabel", IF(logistics_data[[#This Row],[Transit_Days]]&gt;=5,"slow","fast"))</f>
        <v>fast</v>
      </c>
    </row>
    <row r="976" spans="1:14" x14ac:dyDescent="0.3">
      <c r="A976" t="s">
        <v>1022</v>
      </c>
      <c r="B976" t="s">
        <v>12</v>
      </c>
      <c r="C976" t="s">
        <v>54</v>
      </c>
      <c r="D976" t="s">
        <v>14</v>
      </c>
      <c r="E976" s="1">
        <v>45252</v>
      </c>
      <c r="F976" s="1">
        <v>45271</v>
      </c>
      <c r="G976">
        <v>32</v>
      </c>
      <c r="H976">
        <v>348</v>
      </c>
      <c r="I976" t="s">
        <v>47</v>
      </c>
      <c r="J976">
        <v>2060</v>
      </c>
      <c r="K976">
        <v>8</v>
      </c>
      <c r="L976" t="str">
        <f>IF(logistics_data[[#This Row],[Delivery_Date]]="","In Transit",
 IF(logistics_data[[#This Row],[Status]]="Lost","Lost",
 IF(logistics_data[[#This Row],[Status]]="Returned","Returned",
 IF(logistics_data[[#This Row],[Status]]="Delayed","Delayed",
 "Delivered"))))</f>
        <v>Delayed</v>
      </c>
      <c r="M976" s="2">
        <f>logistics_data[[#This Row],[Cost]]/logistics_data[[#This Row],[Distance_miles]]</f>
        <v>0.16893203883495145</v>
      </c>
      <c r="N976" t="str">
        <f>IF(logistics_data[[#This Row],[Orginal staus of shipment]]&lt;&gt;"Delivered","not applicabel", IF(logistics_data[[#This Row],[Transit_Days]]&gt;=5,"slow","fast"))</f>
        <v>not applicabel</v>
      </c>
    </row>
    <row r="977" spans="1:14" x14ac:dyDescent="0.3">
      <c r="A977" t="s">
        <v>1023</v>
      </c>
      <c r="B977" t="s">
        <v>56</v>
      </c>
      <c r="C977" t="s">
        <v>31</v>
      </c>
      <c r="D977" t="s">
        <v>37</v>
      </c>
      <c r="E977" s="1">
        <v>45115</v>
      </c>
      <c r="F977" s="1">
        <v>45128</v>
      </c>
      <c r="G977">
        <v>20.2</v>
      </c>
      <c r="H977">
        <v>248.02</v>
      </c>
      <c r="I977" t="s">
        <v>47</v>
      </c>
      <c r="J977">
        <v>2051</v>
      </c>
      <c r="K977">
        <v>5</v>
      </c>
      <c r="L977" t="str">
        <f>IF(logistics_data[[#This Row],[Delivery_Date]]="","In Transit",
 IF(logistics_data[[#This Row],[Status]]="Lost","Lost",
 IF(logistics_data[[#This Row],[Status]]="Returned","Returned",
 IF(logistics_data[[#This Row],[Status]]="Delayed","Delayed",
 "Delivered"))))</f>
        <v>Delayed</v>
      </c>
      <c r="M977" s="2">
        <f>logistics_data[[#This Row],[Cost]]/logistics_data[[#This Row],[Distance_miles]]</f>
        <v>0.12092637737688933</v>
      </c>
      <c r="N977" t="str">
        <f>IF(logistics_data[[#This Row],[Orginal staus of shipment]]&lt;&gt;"Delivered","not applicabel", IF(logistics_data[[#This Row],[Transit_Days]]&gt;=5,"slow","fast"))</f>
        <v>not applicabel</v>
      </c>
    </row>
    <row r="978" spans="1:14" x14ac:dyDescent="0.3">
      <c r="A978" t="s">
        <v>1024</v>
      </c>
      <c r="B978" t="s">
        <v>39</v>
      </c>
      <c r="C978" t="s">
        <v>31</v>
      </c>
      <c r="D978" t="s">
        <v>14</v>
      </c>
      <c r="E978" s="1">
        <v>45080</v>
      </c>
      <c r="F978" s="1">
        <v>45086</v>
      </c>
      <c r="G978">
        <v>17.7</v>
      </c>
      <c r="H978">
        <v>309.3</v>
      </c>
      <c r="I978" t="s">
        <v>15</v>
      </c>
      <c r="J978">
        <v>2198</v>
      </c>
      <c r="K978">
        <v>6</v>
      </c>
      <c r="L978" t="str">
        <f>IF(logistics_data[[#This Row],[Delivery_Date]]="","In Transit",
 IF(logistics_data[[#This Row],[Status]]="Lost","Lost",
 IF(logistics_data[[#This Row],[Status]]="Returned","Returned",
 IF(logistics_data[[#This Row],[Status]]="Delayed","Delayed",
 "Delivered"))))</f>
        <v>Delivered</v>
      </c>
      <c r="M978" s="2">
        <f>logistics_data[[#This Row],[Cost]]/logistics_data[[#This Row],[Distance_miles]]</f>
        <v>0.14071883530482257</v>
      </c>
      <c r="N978" t="str">
        <f>IF(logistics_data[[#This Row],[Orginal staus of shipment]]&lt;&gt;"Delivered","not applicabel", IF(logistics_data[[#This Row],[Transit_Days]]&gt;=5,"slow","fast"))</f>
        <v>slow</v>
      </c>
    </row>
    <row r="979" spans="1:14" x14ac:dyDescent="0.3">
      <c r="A979" t="s">
        <v>1025</v>
      </c>
      <c r="B979" t="s">
        <v>20</v>
      </c>
      <c r="C979" t="s">
        <v>28</v>
      </c>
      <c r="D979" t="s">
        <v>42</v>
      </c>
      <c r="E979" s="1">
        <v>45013</v>
      </c>
      <c r="F979" s="1">
        <v>45016</v>
      </c>
      <c r="G979">
        <v>19.7</v>
      </c>
      <c r="H979">
        <v>199</v>
      </c>
      <c r="I979" t="s">
        <v>15</v>
      </c>
      <c r="J979">
        <v>1435</v>
      </c>
      <c r="K979">
        <v>3</v>
      </c>
      <c r="L979" t="str">
        <f>IF(logistics_data[[#This Row],[Delivery_Date]]="","In Transit",
 IF(logistics_data[[#This Row],[Status]]="Lost","Lost",
 IF(logistics_data[[#This Row],[Status]]="Returned","Returned",
 IF(logistics_data[[#This Row],[Status]]="Delayed","Delayed",
 "Delivered"))))</f>
        <v>Delivered</v>
      </c>
      <c r="M979" s="2">
        <f>logistics_data[[#This Row],[Cost]]/logistics_data[[#This Row],[Distance_miles]]</f>
        <v>0.13867595818815331</v>
      </c>
      <c r="N979" t="str">
        <f>IF(logistics_data[[#This Row],[Orginal staus of shipment]]&lt;&gt;"Delivered","not applicabel", IF(logistics_data[[#This Row],[Transit_Days]]&gt;=5,"slow","fast"))</f>
        <v>fast</v>
      </c>
    </row>
    <row r="980" spans="1:14" x14ac:dyDescent="0.3">
      <c r="A980" t="s">
        <v>1026</v>
      </c>
      <c r="B980" t="s">
        <v>56</v>
      </c>
      <c r="C980" t="s">
        <v>40</v>
      </c>
      <c r="D980" t="s">
        <v>37</v>
      </c>
      <c r="E980" s="1">
        <v>45273</v>
      </c>
      <c r="F980" s="1">
        <v>45277</v>
      </c>
      <c r="G980">
        <v>23.1</v>
      </c>
      <c r="H980">
        <v>221.08</v>
      </c>
      <c r="I980" t="s">
        <v>15</v>
      </c>
      <c r="J980">
        <v>1280</v>
      </c>
      <c r="K980">
        <v>4</v>
      </c>
      <c r="L980" t="str">
        <f>IF(logistics_data[[#This Row],[Delivery_Date]]="","In Transit",
 IF(logistics_data[[#This Row],[Status]]="Lost","Lost",
 IF(logistics_data[[#This Row],[Status]]="Returned","Returned",
 IF(logistics_data[[#This Row],[Status]]="Delayed","Delayed",
 "Delivered"))))</f>
        <v>Delivered</v>
      </c>
      <c r="M980" s="2">
        <f>logistics_data[[#This Row],[Cost]]/logistics_data[[#This Row],[Distance_miles]]</f>
        <v>0.17271875</v>
      </c>
      <c r="N980" t="str">
        <f>IF(logistics_data[[#This Row],[Orginal staus of shipment]]&lt;&gt;"Delivered","not applicabel", IF(logistics_data[[#This Row],[Transit_Days]]&gt;=5,"slow","fast"))</f>
        <v>fast</v>
      </c>
    </row>
    <row r="981" spans="1:14" x14ac:dyDescent="0.3">
      <c r="A981" t="s">
        <v>1027</v>
      </c>
      <c r="B981" t="s">
        <v>20</v>
      </c>
      <c r="C981" t="s">
        <v>31</v>
      </c>
      <c r="D981" t="s">
        <v>18</v>
      </c>
      <c r="E981" s="1">
        <v>45008</v>
      </c>
      <c r="F981" s="1">
        <v>45023</v>
      </c>
      <c r="G981">
        <v>9.6</v>
      </c>
      <c r="H981">
        <v>82.64</v>
      </c>
      <c r="I981" t="s">
        <v>47</v>
      </c>
      <c r="J981">
        <v>490</v>
      </c>
      <c r="K981">
        <v>4</v>
      </c>
      <c r="L981" t="str">
        <f>IF(logistics_data[[#This Row],[Delivery_Date]]="","In Transit",
 IF(logistics_data[[#This Row],[Status]]="Lost","Lost",
 IF(logistics_data[[#This Row],[Status]]="Returned","Returned",
 IF(logistics_data[[#This Row],[Status]]="Delayed","Delayed",
 "Delivered"))))</f>
        <v>Delayed</v>
      </c>
      <c r="M981" s="2">
        <f>logistics_data[[#This Row],[Cost]]/logistics_data[[#This Row],[Distance_miles]]</f>
        <v>0.16865306122448981</v>
      </c>
      <c r="N981" t="str">
        <f>IF(logistics_data[[#This Row],[Orginal staus of shipment]]&lt;&gt;"Delivered","not applicabel", IF(logistics_data[[#This Row],[Transit_Days]]&gt;=5,"slow","fast"))</f>
        <v>not applicabel</v>
      </c>
    </row>
    <row r="982" spans="1:14" x14ac:dyDescent="0.3">
      <c r="A982" t="s">
        <v>1028</v>
      </c>
      <c r="B982" t="s">
        <v>49</v>
      </c>
      <c r="C982" t="s">
        <v>70</v>
      </c>
      <c r="D982" t="s">
        <v>59</v>
      </c>
      <c r="E982" s="1">
        <v>45184</v>
      </c>
      <c r="F982" s="1">
        <v>45188</v>
      </c>
      <c r="G982">
        <v>7.9</v>
      </c>
      <c r="H982">
        <v>161.43</v>
      </c>
      <c r="I982" t="s">
        <v>15</v>
      </c>
      <c r="J982">
        <v>1355</v>
      </c>
      <c r="K982">
        <v>4</v>
      </c>
      <c r="L982" t="str">
        <f>IF(logistics_data[[#This Row],[Delivery_Date]]="","In Transit",
 IF(logistics_data[[#This Row],[Status]]="Lost","Lost",
 IF(logistics_data[[#This Row],[Status]]="Returned","Returned",
 IF(logistics_data[[#This Row],[Status]]="Delayed","Delayed",
 "Delivered"))))</f>
        <v>Delivered</v>
      </c>
      <c r="M982" s="2">
        <f>logistics_data[[#This Row],[Cost]]/logistics_data[[#This Row],[Distance_miles]]</f>
        <v>0.11913653136531366</v>
      </c>
      <c r="N982" t="str">
        <f>IF(logistics_data[[#This Row],[Orginal staus of shipment]]&lt;&gt;"Delivered","not applicabel", IF(logistics_data[[#This Row],[Transit_Days]]&gt;=5,"slow","fast"))</f>
        <v>fast</v>
      </c>
    </row>
    <row r="983" spans="1:14" x14ac:dyDescent="0.3">
      <c r="A983" t="s">
        <v>1029</v>
      </c>
      <c r="B983" t="s">
        <v>12</v>
      </c>
      <c r="C983" t="s">
        <v>36</v>
      </c>
      <c r="D983" t="s">
        <v>32</v>
      </c>
      <c r="E983" s="1">
        <v>45007</v>
      </c>
      <c r="F983" s="1">
        <v>45010</v>
      </c>
      <c r="G983">
        <v>16</v>
      </c>
      <c r="H983">
        <v>178.47</v>
      </c>
      <c r="I983" t="s">
        <v>15</v>
      </c>
      <c r="J983">
        <v>1288</v>
      </c>
      <c r="K983">
        <v>3</v>
      </c>
      <c r="L983" t="str">
        <f>IF(logistics_data[[#This Row],[Delivery_Date]]="","In Transit",
 IF(logistics_data[[#This Row],[Status]]="Lost","Lost",
 IF(logistics_data[[#This Row],[Status]]="Returned","Returned",
 IF(logistics_data[[#This Row],[Status]]="Delayed","Delayed",
 "Delivered"))))</f>
        <v>Delivered</v>
      </c>
      <c r="M983" s="2">
        <f>logistics_data[[#This Row],[Cost]]/logistics_data[[#This Row],[Distance_miles]]</f>
        <v>0.13856366459627328</v>
      </c>
      <c r="N983" t="str">
        <f>IF(logistics_data[[#This Row],[Orginal staus of shipment]]&lt;&gt;"Delivered","not applicabel", IF(logistics_data[[#This Row],[Transit_Days]]&gt;=5,"slow","fast"))</f>
        <v>fast</v>
      </c>
    </row>
    <row r="984" spans="1:14" x14ac:dyDescent="0.3">
      <c r="A984" t="s">
        <v>1030</v>
      </c>
      <c r="B984" t="s">
        <v>12</v>
      </c>
      <c r="C984" t="s">
        <v>24</v>
      </c>
      <c r="D984" t="s">
        <v>18</v>
      </c>
      <c r="E984" s="1">
        <v>45020</v>
      </c>
      <c r="F984" s="1">
        <v>45023</v>
      </c>
      <c r="G984">
        <v>66.099999999999994</v>
      </c>
      <c r="H984">
        <v>217.51</v>
      </c>
      <c r="I984" t="s">
        <v>15</v>
      </c>
      <c r="J984">
        <v>779</v>
      </c>
      <c r="K984">
        <v>3</v>
      </c>
      <c r="L984" t="str">
        <f>IF(logistics_data[[#This Row],[Delivery_Date]]="","In Transit",
 IF(logistics_data[[#This Row],[Status]]="Lost","Lost",
 IF(logistics_data[[#This Row],[Status]]="Returned","Returned",
 IF(logistics_data[[#This Row],[Status]]="Delayed","Delayed",
 "Delivered"))))</f>
        <v>Delivered</v>
      </c>
      <c r="M984" s="2">
        <f>logistics_data[[#This Row],[Cost]]/logistics_data[[#This Row],[Distance_miles]]</f>
        <v>0.27921694480102693</v>
      </c>
      <c r="N984" t="str">
        <f>IF(logistics_data[[#This Row],[Orginal staus of shipment]]&lt;&gt;"Delivered","not applicabel", IF(logistics_data[[#This Row],[Transit_Days]]&gt;=5,"slow","fast"))</f>
        <v>fast</v>
      </c>
    </row>
    <row r="985" spans="1:14" x14ac:dyDescent="0.3">
      <c r="A985" t="s">
        <v>1031</v>
      </c>
      <c r="B985" t="s">
        <v>12</v>
      </c>
      <c r="C985" t="s">
        <v>44</v>
      </c>
      <c r="D985" t="s">
        <v>59</v>
      </c>
      <c r="E985" s="1">
        <v>45149</v>
      </c>
      <c r="F985" s="1">
        <v>45155</v>
      </c>
      <c r="G985">
        <v>27</v>
      </c>
      <c r="H985">
        <v>210.66</v>
      </c>
      <c r="I985" t="s">
        <v>60</v>
      </c>
      <c r="J985">
        <v>1555</v>
      </c>
      <c r="K985">
        <v>6</v>
      </c>
      <c r="L985" t="str">
        <f>IF(logistics_data[[#This Row],[Delivery_Date]]="","In Transit",
 IF(logistics_data[[#This Row],[Status]]="Lost","Lost",
 IF(logistics_data[[#This Row],[Status]]="Returned","Returned",
 IF(logistics_data[[#This Row],[Status]]="Delayed","Delayed",
 "Delivered"))))</f>
        <v>Lost</v>
      </c>
      <c r="M985" s="2">
        <f>logistics_data[[#This Row],[Cost]]/logistics_data[[#This Row],[Distance_miles]]</f>
        <v>0.13547266881028938</v>
      </c>
      <c r="N985" t="str">
        <f>IF(logistics_data[[#This Row],[Orginal staus of shipment]]&lt;&gt;"Delivered","not applicabel", IF(logistics_data[[#This Row],[Transit_Days]]&gt;=5,"slow","fast"))</f>
        <v>not applicabel</v>
      </c>
    </row>
    <row r="986" spans="1:14" x14ac:dyDescent="0.3">
      <c r="A986" t="s">
        <v>1032</v>
      </c>
      <c r="B986" t="s">
        <v>39</v>
      </c>
      <c r="C986" t="s">
        <v>54</v>
      </c>
      <c r="D986" t="s">
        <v>18</v>
      </c>
      <c r="E986" s="1">
        <v>45203</v>
      </c>
      <c r="F986" s="1">
        <v>45207</v>
      </c>
      <c r="G986">
        <v>20</v>
      </c>
      <c r="H986">
        <v>276.56</v>
      </c>
      <c r="I986" t="s">
        <v>15</v>
      </c>
      <c r="J986">
        <v>1631</v>
      </c>
      <c r="K986">
        <v>4</v>
      </c>
      <c r="L986" t="str">
        <f>IF(logistics_data[[#This Row],[Delivery_Date]]="","In Transit",
 IF(logistics_data[[#This Row],[Status]]="Lost","Lost",
 IF(logistics_data[[#This Row],[Status]]="Returned","Returned",
 IF(logistics_data[[#This Row],[Status]]="Delayed","Delayed",
 "Delivered"))))</f>
        <v>Delivered</v>
      </c>
      <c r="M986" s="2">
        <f>logistics_data[[#This Row],[Cost]]/logistics_data[[#This Row],[Distance_miles]]</f>
        <v>0.16956468424279583</v>
      </c>
      <c r="N986" t="str">
        <f>IF(logistics_data[[#This Row],[Orginal staus of shipment]]&lt;&gt;"Delivered","not applicabel", IF(logistics_data[[#This Row],[Transit_Days]]&gt;=5,"slow","fast"))</f>
        <v>fast</v>
      </c>
    </row>
    <row r="987" spans="1:14" x14ac:dyDescent="0.3">
      <c r="A987" t="s">
        <v>1033</v>
      </c>
      <c r="B987" t="s">
        <v>35</v>
      </c>
      <c r="C987" t="s">
        <v>44</v>
      </c>
      <c r="D987" t="s">
        <v>14</v>
      </c>
      <c r="E987" s="1">
        <v>45119</v>
      </c>
      <c r="F987" s="1">
        <v>45123</v>
      </c>
      <c r="G987">
        <v>45</v>
      </c>
      <c r="H987">
        <v>108.75</v>
      </c>
      <c r="I987" t="s">
        <v>15</v>
      </c>
      <c r="J987">
        <v>400</v>
      </c>
      <c r="K987">
        <v>4</v>
      </c>
      <c r="L987" t="str">
        <f>IF(logistics_data[[#This Row],[Delivery_Date]]="","In Transit",
 IF(logistics_data[[#This Row],[Status]]="Lost","Lost",
 IF(logistics_data[[#This Row],[Status]]="Returned","Returned",
 IF(logistics_data[[#This Row],[Status]]="Delayed","Delayed",
 "Delivered"))))</f>
        <v>Delivered</v>
      </c>
      <c r="M987" s="2">
        <f>logistics_data[[#This Row],[Cost]]/logistics_data[[#This Row],[Distance_miles]]</f>
        <v>0.27187499999999998</v>
      </c>
      <c r="N987" t="str">
        <f>IF(logistics_data[[#This Row],[Orginal staus of shipment]]&lt;&gt;"Delivered","not applicabel", IF(logistics_data[[#This Row],[Transit_Days]]&gt;=5,"slow","fast"))</f>
        <v>fast</v>
      </c>
    </row>
    <row r="988" spans="1:14" x14ac:dyDescent="0.3">
      <c r="A988" t="s">
        <v>1034</v>
      </c>
      <c r="B988" t="s">
        <v>20</v>
      </c>
      <c r="C988" t="s">
        <v>70</v>
      </c>
      <c r="D988" t="s">
        <v>25</v>
      </c>
      <c r="E988" s="1">
        <v>45278</v>
      </c>
      <c r="F988" s="1">
        <v>45284</v>
      </c>
      <c r="G988">
        <v>42.1</v>
      </c>
      <c r="H988">
        <v>285.70999999999998</v>
      </c>
      <c r="I988" t="s">
        <v>15</v>
      </c>
      <c r="J988">
        <v>1460</v>
      </c>
      <c r="K988">
        <v>6</v>
      </c>
      <c r="L988" t="str">
        <f>IF(logistics_data[[#This Row],[Delivery_Date]]="","In Transit",
 IF(logistics_data[[#This Row],[Status]]="Lost","Lost",
 IF(logistics_data[[#This Row],[Status]]="Returned","Returned",
 IF(logistics_data[[#This Row],[Status]]="Delayed","Delayed",
 "Delivered"))))</f>
        <v>Delivered</v>
      </c>
      <c r="M988" s="2">
        <f>logistics_data[[#This Row],[Cost]]/logistics_data[[#This Row],[Distance_miles]]</f>
        <v>0.19569178082191779</v>
      </c>
      <c r="N988" t="str">
        <f>IF(logistics_data[[#This Row],[Orginal staus of shipment]]&lt;&gt;"Delivered","not applicabel", IF(logistics_data[[#This Row],[Transit_Days]]&gt;=5,"slow","fast"))</f>
        <v>slow</v>
      </c>
    </row>
    <row r="989" spans="1:14" x14ac:dyDescent="0.3">
      <c r="A989" t="s">
        <v>1035</v>
      </c>
      <c r="B989" t="s">
        <v>49</v>
      </c>
      <c r="C989" t="s">
        <v>81</v>
      </c>
      <c r="D989" t="s">
        <v>42</v>
      </c>
      <c r="E989" s="1">
        <v>45048</v>
      </c>
      <c r="F989" s="1">
        <v>45052</v>
      </c>
      <c r="G989">
        <v>27.6</v>
      </c>
      <c r="H989">
        <v>151.22</v>
      </c>
      <c r="I989" t="s">
        <v>47</v>
      </c>
      <c r="J989">
        <v>1095</v>
      </c>
      <c r="K989">
        <v>3</v>
      </c>
      <c r="L989" t="str">
        <f>IF(logistics_data[[#This Row],[Delivery_Date]]="","In Transit",
 IF(logistics_data[[#This Row],[Status]]="Lost","Lost",
 IF(logistics_data[[#This Row],[Status]]="Returned","Returned",
 IF(logistics_data[[#This Row],[Status]]="Delayed","Delayed",
 "Delivered"))))</f>
        <v>Delayed</v>
      </c>
      <c r="M989" s="2">
        <f>logistics_data[[#This Row],[Cost]]/logistics_data[[#This Row],[Distance_miles]]</f>
        <v>0.13810045662100456</v>
      </c>
      <c r="N989" t="str">
        <f>IF(logistics_data[[#This Row],[Orginal staus of shipment]]&lt;&gt;"Delivered","not applicabel", IF(logistics_data[[#This Row],[Transit_Days]]&gt;=5,"slow","fast"))</f>
        <v>not applicabel</v>
      </c>
    </row>
    <row r="990" spans="1:14" x14ac:dyDescent="0.3">
      <c r="A990" t="s">
        <v>1036</v>
      </c>
      <c r="B990" t="s">
        <v>56</v>
      </c>
      <c r="C990" t="s">
        <v>17</v>
      </c>
      <c r="D990" t="s">
        <v>32</v>
      </c>
      <c r="E990" s="1">
        <v>45062</v>
      </c>
      <c r="F990" s="1">
        <v>45064</v>
      </c>
      <c r="G990">
        <v>16</v>
      </c>
      <c r="H990">
        <v>70.650000000000006</v>
      </c>
      <c r="I990" t="s">
        <v>15</v>
      </c>
      <c r="J990">
        <v>336</v>
      </c>
      <c r="K990">
        <v>2</v>
      </c>
      <c r="L990" t="str">
        <f>IF(logistics_data[[#This Row],[Delivery_Date]]="","In Transit",
 IF(logistics_data[[#This Row],[Status]]="Lost","Lost",
 IF(logistics_data[[#This Row],[Status]]="Returned","Returned",
 IF(logistics_data[[#This Row],[Status]]="Delayed","Delayed",
 "Delivered"))))</f>
        <v>Delivered</v>
      </c>
      <c r="M990" s="2">
        <f>logistics_data[[#This Row],[Cost]]/logistics_data[[#This Row],[Distance_miles]]</f>
        <v>0.21026785714285717</v>
      </c>
      <c r="N990" t="str">
        <f>IF(logistics_data[[#This Row],[Orginal staus of shipment]]&lt;&gt;"Delivered","not applicabel", IF(logistics_data[[#This Row],[Transit_Days]]&gt;=5,"slow","fast"))</f>
        <v>fast</v>
      </c>
    </row>
    <row r="991" spans="1:14" x14ac:dyDescent="0.3">
      <c r="A991" t="s">
        <v>1037</v>
      </c>
      <c r="B991" t="s">
        <v>20</v>
      </c>
      <c r="C991" t="s">
        <v>13</v>
      </c>
      <c r="D991" t="s">
        <v>37</v>
      </c>
      <c r="E991" s="1">
        <v>45278</v>
      </c>
      <c r="F991" s="1">
        <v>45283</v>
      </c>
      <c r="G991">
        <v>19</v>
      </c>
      <c r="H991">
        <v>224</v>
      </c>
      <c r="I991" t="s">
        <v>15</v>
      </c>
      <c r="J991">
        <v>1524</v>
      </c>
      <c r="K991">
        <v>5</v>
      </c>
      <c r="L991" t="str">
        <f>IF(logistics_data[[#This Row],[Delivery_Date]]="","In Transit",
 IF(logistics_data[[#This Row],[Status]]="Lost","Lost",
 IF(logistics_data[[#This Row],[Status]]="Returned","Returned",
 IF(logistics_data[[#This Row],[Status]]="Delayed","Delayed",
 "Delivered"))))</f>
        <v>Delivered</v>
      </c>
      <c r="M991" s="2">
        <f>logistics_data[[#This Row],[Cost]]/logistics_data[[#This Row],[Distance_miles]]</f>
        <v>0.14698162729658792</v>
      </c>
      <c r="N991" t="str">
        <f>IF(logistics_data[[#This Row],[Orginal staus of shipment]]&lt;&gt;"Delivered","not applicabel", IF(logistics_data[[#This Row],[Transit_Days]]&gt;=5,"slow","fast"))</f>
        <v>slow</v>
      </c>
    </row>
    <row r="992" spans="1:14" x14ac:dyDescent="0.3">
      <c r="A992" t="s">
        <v>1038</v>
      </c>
      <c r="B992" t="s">
        <v>30</v>
      </c>
      <c r="C992" t="s">
        <v>13</v>
      </c>
      <c r="D992" t="s">
        <v>25</v>
      </c>
      <c r="E992" s="1">
        <v>44949</v>
      </c>
      <c r="F992" s="1">
        <v>44952</v>
      </c>
      <c r="G992">
        <v>10.4</v>
      </c>
      <c r="H992">
        <v>96.85</v>
      </c>
      <c r="I992" t="s">
        <v>15</v>
      </c>
      <c r="J992">
        <v>762</v>
      </c>
      <c r="K992">
        <v>3</v>
      </c>
      <c r="L992" t="str">
        <f>IF(logistics_data[[#This Row],[Delivery_Date]]="","In Transit",
 IF(logistics_data[[#This Row],[Status]]="Lost","Lost",
 IF(logistics_data[[#This Row],[Status]]="Returned","Returned",
 IF(logistics_data[[#This Row],[Status]]="Delayed","Delayed",
 "Delivered"))))</f>
        <v>Delivered</v>
      </c>
      <c r="M992" s="2">
        <f>logistics_data[[#This Row],[Cost]]/logistics_data[[#This Row],[Distance_miles]]</f>
        <v>0.1270997375328084</v>
      </c>
      <c r="N992" t="str">
        <f>IF(logistics_data[[#This Row],[Orginal staus of shipment]]&lt;&gt;"Delivered","not applicabel", IF(logistics_data[[#This Row],[Transit_Days]]&gt;=5,"slow","fast"))</f>
        <v>fast</v>
      </c>
    </row>
    <row r="993" spans="1:14" x14ac:dyDescent="0.3">
      <c r="A993" t="s">
        <v>1039</v>
      </c>
      <c r="B993" t="s">
        <v>56</v>
      </c>
      <c r="C993" t="s">
        <v>24</v>
      </c>
      <c r="D993" t="s">
        <v>32</v>
      </c>
      <c r="E993" s="1">
        <v>45066</v>
      </c>
      <c r="F993" s="1">
        <v>45072</v>
      </c>
      <c r="G993">
        <v>24.2</v>
      </c>
      <c r="H993">
        <v>223.55</v>
      </c>
      <c r="I993" t="s">
        <v>62</v>
      </c>
      <c r="J993">
        <v>1524</v>
      </c>
      <c r="K993">
        <v>6</v>
      </c>
      <c r="L993" t="str">
        <f>IF(logistics_data[[#This Row],[Delivery_Date]]="","In Transit",
 IF(logistics_data[[#This Row],[Status]]="Lost","Lost",
 IF(logistics_data[[#This Row],[Status]]="Returned","Returned",
 IF(logistics_data[[#This Row],[Status]]="Delayed","Delayed",
 "Delivered"))))</f>
        <v>Delivered</v>
      </c>
      <c r="M993" s="2">
        <f>logistics_data[[#This Row],[Cost]]/logistics_data[[#This Row],[Distance_miles]]</f>
        <v>0.14668635170603675</v>
      </c>
      <c r="N993" t="str">
        <f>IF(logistics_data[[#This Row],[Orginal staus of shipment]]&lt;&gt;"Delivered","not applicabel", IF(logistics_data[[#This Row],[Transit_Days]]&gt;=5,"slow","fast"))</f>
        <v>slow</v>
      </c>
    </row>
    <row r="994" spans="1:14" x14ac:dyDescent="0.3">
      <c r="A994" t="s">
        <v>1040</v>
      </c>
      <c r="B994" t="s">
        <v>39</v>
      </c>
      <c r="C994" t="s">
        <v>57</v>
      </c>
      <c r="D994" t="s">
        <v>59</v>
      </c>
      <c r="E994" s="1">
        <v>45180</v>
      </c>
      <c r="F994" s="1">
        <v>45182</v>
      </c>
      <c r="G994">
        <v>25.5</v>
      </c>
      <c r="H994">
        <v>109.88</v>
      </c>
      <c r="I994" t="s">
        <v>15</v>
      </c>
      <c r="J994">
        <v>688</v>
      </c>
      <c r="K994">
        <v>2</v>
      </c>
      <c r="L994" t="str">
        <f>IF(logistics_data[[#This Row],[Delivery_Date]]="","In Transit",
 IF(logistics_data[[#This Row],[Status]]="Lost","Lost",
 IF(logistics_data[[#This Row],[Status]]="Returned","Returned",
 IF(logistics_data[[#This Row],[Status]]="Delayed","Delayed",
 "Delivered"))))</f>
        <v>Delivered</v>
      </c>
      <c r="M994" s="2">
        <f>logistics_data[[#This Row],[Cost]]/logistics_data[[#This Row],[Distance_miles]]</f>
        <v>0.15970930232558139</v>
      </c>
      <c r="N994" t="str">
        <f>IF(logistics_data[[#This Row],[Orginal staus of shipment]]&lt;&gt;"Delivered","not applicabel", IF(logistics_data[[#This Row],[Transit_Days]]&gt;=5,"slow","fast"))</f>
        <v>fast</v>
      </c>
    </row>
    <row r="995" spans="1:14" x14ac:dyDescent="0.3">
      <c r="A995" t="s">
        <v>1041</v>
      </c>
      <c r="B995" t="s">
        <v>30</v>
      </c>
      <c r="C995" t="s">
        <v>40</v>
      </c>
      <c r="D995" t="s">
        <v>18</v>
      </c>
      <c r="E995" s="1">
        <v>45102</v>
      </c>
      <c r="F995" s="1">
        <v>45107</v>
      </c>
      <c r="G995">
        <v>20</v>
      </c>
      <c r="H995">
        <v>357.86</v>
      </c>
      <c r="I995" t="s">
        <v>15</v>
      </c>
      <c r="J995">
        <v>2339</v>
      </c>
      <c r="K995">
        <v>5</v>
      </c>
      <c r="L995" t="str">
        <f>IF(logistics_data[[#This Row],[Delivery_Date]]="","In Transit",
 IF(logistics_data[[#This Row],[Status]]="Lost","Lost",
 IF(logistics_data[[#This Row],[Status]]="Returned","Returned",
 IF(logistics_data[[#This Row],[Status]]="Delayed","Delayed",
 "Delivered"))))</f>
        <v>Delivered</v>
      </c>
      <c r="M995" s="2">
        <f>logistics_data[[#This Row],[Cost]]/logistics_data[[#This Row],[Distance_miles]]</f>
        <v>0.15299700726806328</v>
      </c>
      <c r="N995" t="str">
        <f>IF(logistics_data[[#This Row],[Orginal staus of shipment]]&lt;&gt;"Delivered","not applicabel", IF(logistics_data[[#This Row],[Transit_Days]]&gt;=5,"slow","fast"))</f>
        <v>slow</v>
      </c>
    </row>
    <row r="996" spans="1:14" x14ac:dyDescent="0.3">
      <c r="A996" t="s">
        <v>1042</v>
      </c>
      <c r="B996" t="s">
        <v>12</v>
      </c>
      <c r="C996" t="s">
        <v>36</v>
      </c>
      <c r="D996" t="s">
        <v>18</v>
      </c>
      <c r="E996" s="1">
        <v>45039</v>
      </c>
      <c r="F996" s="1">
        <v>45045</v>
      </c>
      <c r="G996">
        <v>19.100000000000001</v>
      </c>
      <c r="H996">
        <v>302.52</v>
      </c>
      <c r="I996" t="s">
        <v>15</v>
      </c>
      <c r="J996">
        <v>2132</v>
      </c>
      <c r="K996">
        <v>6</v>
      </c>
      <c r="L996" t="str">
        <f>IF(logistics_data[[#This Row],[Delivery_Date]]="","In Transit",
 IF(logistics_data[[#This Row],[Status]]="Lost","Lost",
 IF(logistics_data[[#This Row],[Status]]="Returned","Returned",
 IF(logistics_data[[#This Row],[Status]]="Delayed","Delayed",
 "Delivered"))))</f>
        <v>Delivered</v>
      </c>
      <c r="M996" s="2">
        <f>logistics_data[[#This Row],[Cost]]/logistics_data[[#This Row],[Distance_miles]]</f>
        <v>0.14189493433395872</v>
      </c>
      <c r="N996" t="str">
        <f>IF(logistics_data[[#This Row],[Orginal staus of shipment]]&lt;&gt;"Delivered","not applicabel", IF(logistics_data[[#This Row],[Transit_Days]]&gt;=5,"slow","fast"))</f>
        <v>slow</v>
      </c>
    </row>
    <row r="997" spans="1:14" x14ac:dyDescent="0.3">
      <c r="A997" t="s">
        <v>1043</v>
      </c>
      <c r="B997" t="s">
        <v>23</v>
      </c>
      <c r="C997" t="s">
        <v>46</v>
      </c>
      <c r="D997" t="s">
        <v>25</v>
      </c>
      <c r="E997" s="1">
        <v>45287</v>
      </c>
      <c r="F997" s="1">
        <v>45291</v>
      </c>
      <c r="G997">
        <v>8</v>
      </c>
      <c r="H997">
        <v>211.44</v>
      </c>
      <c r="I997" t="s">
        <v>15</v>
      </c>
      <c r="J997">
        <v>1257</v>
      </c>
      <c r="K997">
        <v>4</v>
      </c>
      <c r="L997" t="str">
        <f>IF(logistics_data[[#This Row],[Delivery_Date]]="","In Transit",
 IF(logistics_data[[#This Row],[Status]]="Lost","Lost",
 IF(logistics_data[[#This Row],[Status]]="Returned","Returned",
 IF(logistics_data[[#This Row],[Status]]="Delayed","Delayed",
 "Delivered"))))</f>
        <v>Delivered</v>
      </c>
      <c r="M997" s="2">
        <f>logistics_data[[#This Row],[Cost]]/logistics_data[[#This Row],[Distance_miles]]</f>
        <v>0.16821002386634845</v>
      </c>
      <c r="N997" t="str">
        <f>IF(logistics_data[[#This Row],[Orginal staus of shipment]]&lt;&gt;"Delivered","not applicabel", IF(logistics_data[[#This Row],[Transit_Days]]&gt;=5,"slow","fast"))</f>
        <v>fast</v>
      </c>
    </row>
    <row r="998" spans="1:14" x14ac:dyDescent="0.3">
      <c r="A998" t="s">
        <v>1044</v>
      </c>
      <c r="B998" t="s">
        <v>49</v>
      </c>
      <c r="C998" t="s">
        <v>13</v>
      </c>
      <c r="D998" t="s">
        <v>25</v>
      </c>
      <c r="E998" s="1">
        <v>45259</v>
      </c>
      <c r="F998" s="1">
        <v>45263</v>
      </c>
      <c r="G998">
        <v>25.4</v>
      </c>
      <c r="H998">
        <v>145.24</v>
      </c>
      <c r="I998" t="s">
        <v>15</v>
      </c>
      <c r="J998">
        <v>749</v>
      </c>
      <c r="K998">
        <v>4</v>
      </c>
      <c r="L998" t="str">
        <f>IF(logistics_data[[#This Row],[Delivery_Date]]="","In Transit",
 IF(logistics_data[[#This Row],[Status]]="Lost","Lost",
 IF(logistics_data[[#This Row],[Status]]="Returned","Returned",
 IF(logistics_data[[#This Row],[Status]]="Delayed","Delayed",
 "Delivered"))))</f>
        <v>Delivered</v>
      </c>
      <c r="M998" s="2">
        <f>logistics_data[[#This Row],[Cost]]/logistics_data[[#This Row],[Distance_miles]]</f>
        <v>0.19391188251001337</v>
      </c>
      <c r="N998" t="str">
        <f>IF(logistics_data[[#This Row],[Orginal staus of shipment]]&lt;&gt;"Delivered","not applicabel", IF(logistics_data[[#This Row],[Transit_Days]]&gt;=5,"slow","fast"))</f>
        <v>fast</v>
      </c>
    </row>
    <row r="999" spans="1:14" x14ac:dyDescent="0.3">
      <c r="A999" t="s">
        <v>1045</v>
      </c>
      <c r="B999" t="s">
        <v>39</v>
      </c>
      <c r="C999" t="s">
        <v>31</v>
      </c>
      <c r="D999" t="s">
        <v>37</v>
      </c>
      <c r="E999" s="1">
        <v>44970</v>
      </c>
      <c r="F999" s="1">
        <v>44973</v>
      </c>
      <c r="G999">
        <v>11.6</v>
      </c>
      <c r="H999">
        <v>99.14</v>
      </c>
      <c r="I999" t="s">
        <v>15</v>
      </c>
      <c r="J999">
        <v>773</v>
      </c>
      <c r="K999">
        <v>3</v>
      </c>
      <c r="L999" t="str">
        <f>IF(logistics_data[[#This Row],[Delivery_Date]]="","In Transit",
 IF(logistics_data[[#This Row],[Status]]="Lost","Lost",
 IF(logistics_data[[#This Row],[Status]]="Returned","Returned",
 IF(logistics_data[[#This Row],[Status]]="Delayed","Delayed",
 "Delivered"))))</f>
        <v>Delivered</v>
      </c>
      <c r="M999" s="2">
        <f>logistics_data[[#This Row],[Cost]]/logistics_data[[#This Row],[Distance_miles]]</f>
        <v>0.1282535575679172</v>
      </c>
      <c r="N999" t="str">
        <f>IF(logistics_data[[#This Row],[Orginal staus of shipment]]&lt;&gt;"Delivered","not applicabel", IF(logistics_data[[#This Row],[Transit_Days]]&gt;=5,"slow","fast"))</f>
        <v>fast</v>
      </c>
    </row>
    <row r="1000" spans="1:14" x14ac:dyDescent="0.3">
      <c r="A1000" t="s">
        <v>1046</v>
      </c>
      <c r="B1000" t="s">
        <v>30</v>
      </c>
      <c r="C1000" t="s">
        <v>81</v>
      </c>
      <c r="D1000" t="s">
        <v>18</v>
      </c>
      <c r="E1000" s="1">
        <v>45059</v>
      </c>
      <c r="F1000" s="1">
        <v>45062</v>
      </c>
      <c r="G1000">
        <v>14.9</v>
      </c>
      <c r="H1000">
        <v>55.89</v>
      </c>
      <c r="I1000" t="s">
        <v>47</v>
      </c>
      <c r="J1000">
        <v>228</v>
      </c>
      <c r="K1000">
        <v>2</v>
      </c>
      <c r="L1000" t="str">
        <f>IF(logistics_data[[#This Row],[Delivery_Date]]="","In Transit",
 IF(logistics_data[[#This Row],[Status]]="Lost","Lost",
 IF(logistics_data[[#This Row],[Status]]="Returned","Returned",
 IF(logistics_data[[#This Row],[Status]]="Delayed","Delayed",
 "Delivered"))))</f>
        <v>Delayed</v>
      </c>
      <c r="M1000" s="2">
        <f>logistics_data[[#This Row],[Cost]]/logistics_data[[#This Row],[Distance_miles]]</f>
        <v>0.24513157894736842</v>
      </c>
      <c r="N1000" t="str">
        <f>IF(logistics_data[[#This Row],[Orginal staus of shipment]]&lt;&gt;"Delivered","not applicabel", IF(logistics_data[[#This Row],[Transit_Days]]&gt;=5,"slow","fast"))</f>
        <v>not applicabel</v>
      </c>
    </row>
    <row r="1001" spans="1:14" x14ac:dyDescent="0.3">
      <c r="A1001" t="s">
        <v>1047</v>
      </c>
      <c r="B1001" t="s">
        <v>39</v>
      </c>
      <c r="C1001" t="s">
        <v>31</v>
      </c>
      <c r="D1001" t="s">
        <v>42</v>
      </c>
      <c r="E1001" s="1">
        <v>45244</v>
      </c>
      <c r="F1001" s="1">
        <v>45251</v>
      </c>
      <c r="G1001">
        <v>19.399999999999999</v>
      </c>
      <c r="H1001">
        <v>348.76</v>
      </c>
      <c r="I1001" t="s">
        <v>15</v>
      </c>
      <c r="J1001">
        <v>2417</v>
      </c>
      <c r="K1001">
        <v>7</v>
      </c>
      <c r="L1001" t="str">
        <f>IF(logistics_data[[#This Row],[Delivery_Date]]="","In Transit",
 IF(logistics_data[[#This Row],[Status]]="Lost","Lost",
 IF(logistics_data[[#This Row],[Status]]="Returned","Returned",
 IF(logistics_data[[#This Row],[Status]]="Delayed","Delayed",
 "Delivered"))))</f>
        <v>Delivered</v>
      </c>
      <c r="M1001" s="2">
        <f>logistics_data[[#This Row],[Cost]]/logistics_data[[#This Row],[Distance_miles]]</f>
        <v>0.14429458005792303</v>
      </c>
      <c r="N1001" t="str">
        <f>IF(logistics_data[[#This Row],[Orginal staus of shipment]]&lt;&gt;"Delivered","not applicabel", IF(logistics_data[[#This Row],[Transit_Days]]&gt;=5,"slow","fast"))</f>
        <v>slow</v>
      </c>
    </row>
    <row r="1002" spans="1:14" x14ac:dyDescent="0.3">
      <c r="A1002" t="s">
        <v>1048</v>
      </c>
      <c r="B1002" t="s">
        <v>56</v>
      </c>
      <c r="C1002" t="s">
        <v>44</v>
      </c>
      <c r="D1002" t="s">
        <v>32</v>
      </c>
      <c r="E1002" s="1">
        <v>45225</v>
      </c>
      <c r="F1002" s="1">
        <v>45228</v>
      </c>
      <c r="G1002">
        <v>3.4</v>
      </c>
      <c r="H1002">
        <v>77.16</v>
      </c>
      <c r="I1002" t="s">
        <v>15</v>
      </c>
      <c r="J1002">
        <v>500</v>
      </c>
      <c r="K1002">
        <v>3</v>
      </c>
      <c r="L1002" t="str">
        <f>IF(logistics_data[[#This Row],[Delivery_Date]]="","In Transit",
 IF(logistics_data[[#This Row],[Status]]="Lost","Lost",
 IF(logistics_data[[#This Row],[Status]]="Returned","Returned",
 IF(logistics_data[[#This Row],[Status]]="Delayed","Delayed",
 "Delivered"))))</f>
        <v>Delivered</v>
      </c>
      <c r="M1002" s="2">
        <f>logistics_data[[#This Row],[Cost]]/logistics_data[[#This Row],[Distance_miles]]</f>
        <v>0.15431999999999998</v>
      </c>
      <c r="N1002" t="str">
        <f>IF(logistics_data[[#This Row],[Orginal staus of shipment]]&lt;&gt;"Delivered","not applicabel", IF(logistics_data[[#This Row],[Transit_Days]]&gt;=5,"slow","fast"))</f>
        <v>fast</v>
      </c>
    </row>
    <row r="1003" spans="1:14" x14ac:dyDescent="0.3">
      <c r="A1003" t="s">
        <v>1049</v>
      </c>
      <c r="B1003" t="s">
        <v>23</v>
      </c>
      <c r="C1003" t="s">
        <v>40</v>
      </c>
      <c r="D1003" t="s">
        <v>59</v>
      </c>
      <c r="E1003" s="1">
        <v>44942</v>
      </c>
      <c r="F1003" s="1">
        <v>44945</v>
      </c>
      <c r="G1003">
        <v>50.5</v>
      </c>
      <c r="H1003">
        <v>116.2</v>
      </c>
      <c r="I1003" t="s">
        <v>15</v>
      </c>
      <c r="J1003">
        <v>493</v>
      </c>
      <c r="K1003">
        <v>3</v>
      </c>
      <c r="L1003" t="str">
        <f>IF(logistics_data[[#This Row],[Delivery_Date]]="","In Transit",
 IF(logistics_data[[#This Row],[Status]]="Lost","Lost",
 IF(logistics_data[[#This Row],[Status]]="Returned","Returned",
 IF(logistics_data[[#This Row],[Status]]="Delayed","Delayed",
 "Delivered"))))</f>
        <v>Delivered</v>
      </c>
      <c r="M1003" s="2">
        <f>logistics_data[[#This Row],[Cost]]/logistics_data[[#This Row],[Distance_miles]]</f>
        <v>0.23569979716024342</v>
      </c>
      <c r="N1003" t="str">
        <f>IF(logistics_data[[#This Row],[Orginal staus of shipment]]&lt;&gt;"Delivered","not applicabel", IF(logistics_data[[#This Row],[Transit_Days]]&gt;=5,"slow","fast"))</f>
        <v>fast</v>
      </c>
    </row>
    <row r="1004" spans="1:14" x14ac:dyDescent="0.3">
      <c r="A1004" t="s">
        <v>1050</v>
      </c>
      <c r="B1004" t="s">
        <v>30</v>
      </c>
      <c r="C1004" t="s">
        <v>57</v>
      </c>
      <c r="D1004" t="s">
        <v>18</v>
      </c>
      <c r="E1004" s="1">
        <v>45143</v>
      </c>
      <c r="F1004" s="1">
        <v>45157</v>
      </c>
      <c r="G1004">
        <v>29.7</v>
      </c>
      <c r="H1004">
        <v>98.25</v>
      </c>
      <c r="I1004" t="s">
        <v>47</v>
      </c>
      <c r="J1004">
        <v>456</v>
      </c>
      <c r="K1004">
        <v>1</v>
      </c>
      <c r="L1004" t="str">
        <f>IF(logistics_data[[#This Row],[Delivery_Date]]="","In Transit",
 IF(logistics_data[[#This Row],[Status]]="Lost","Lost",
 IF(logistics_data[[#This Row],[Status]]="Returned","Returned",
 IF(logistics_data[[#This Row],[Status]]="Delayed","Delayed",
 "Delivered"))))</f>
        <v>Delayed</v>
      </c>
      <c r="M1004" s="2">
        <f>logistics_data[[#This Row],[Cost]]/logistics_data[[#This Row],[Distance_miles]]</f>
        <v>0.21546052631578946</v>
      </c>
      <c r="N1004" t="str">
        <f>IF(logistics_data[[#This Row],[Orginal staus of shipment]]&lt;&gt;"Delivered","not applicabel", IF(logistics_data[[#This Row],[Transit_Days]]&gt;=5,"slow","fast"))</f>
        <v>not applicabel</v>
      </c>
    </row>
    <row r="1005" spans="1:14" x14ac:dyDescent="0.3">
      <c r="A1005" t="s">
        <v>1051</v>
      </c>
      <c r="B1005" t="s">
        <v>12</v>
      </c>
      <c r="C1005" t="s">
        <v>70</v>
      </c>
      <c r="D1005" t="s">
        <v>37</v>
      </c>
      <c r="E1005" s="1">
        <v>45291</v>
      </c>
      <c r="F1005" s="1">
        <v>45296</v>
      </c>
      <c r="G1005">
        <v>11.7</v>
      </c>
      <c r="H1005">
        <v>108.46</v>
      </c>
      <c r="I1005" t="s">
        <v>15</v>
      </c>
      <c r="J1005">
        <v>612</v>
      </c>
      <c r="K1005">
        <v>5</v>
      </c>
      <c r="L1005" t="str">
        <f>IF(logistics_data[[#This Row],[Delivery_Date]]="","In Transit",
 IF(logistics_data[[#This Row],[Status]]="Lost","Lost",
 IF(logistics_data[[#This Row],[Status]]="Returned","Returned",
 IF(logistics_data[[#This Row],[Status]]="Delayed","Delayed",
 "Delivered"))))</f>
        <v>Delivered</v>
      </c>
      <c r="M1005" s="2">
        <f>logistics_data[[#This Row],[Cost]]/logistics_data[[#This Row],[Distance_miles]]</f>
        <v>0.17722222222222223</v>
      </c>
      <c r="N1005" t="str">
        <f>IF(logistics_data[[#This Row],[Orginal staus of shipment]]&lt;&gt;"Delivered","not applicabel", IF(logistics_data[[#This Row],[Transit_Days]]&gt;=5,"slow","fast"))</f>
        <v>slow</v>
      </c>
    </row>
    <row r="1006" spans="1:14" x14ac:dyDescent="0.3">
      <c r="A1006" t="s">
        <v>1052</v>
      </c>
      <c r="B1006" t="s">
        <v>30</v>
      </c>
      <c r="C1006" t="s">
        <v>17</v>
      </c>
      <c r="D1006" t="s">
        <v>25</v>
      </c>
      <c r="E1006" s="1">
        <v>45209</v>
      </c>
      <c r="F1006" s="1">
        <v>45214</v>
      </c>
      <c r="G1006">
        <v>0.3</v>
      </c>
      <c r="H1006">
        <v>281.60000000000002</v>
      </c>
      <c r="I1006" t="s">
        <v>15</v>
      </c>
      <c r="J1006">
        <v>2137</v>
      </c>
      <c r="K1006">
        <v>5</v>
      </c>
      <c r="L1006" t="str">
        <f>IF(logistics_data[[#This Row],[Delivery_Date]]="","In Transit",
 IF(logistics_data[[#This Row],[Status]]="Lost","Lost",
 IF(logistics_data[[#This Row],[Status]]="Returned","Returned",
 IF(logistics_data[[#This Row],[Status]]="Delayed","Delayed",
 "Delivered"))))</f>
        <v>Delivered</v>
      </c>
      <c r="M1006" s="2">
        <f>logistics_data[[#This Row],[Cost]]/logistics_data[[#This Row],[Distance_miles]]</f>
        <v>0.13177351427234441</v>
      </c>
      <c r="N1006" t="str">
        <f>IF(logistics_data[[#This Row],[Orginal staus of shipment]]&lt;&gt;"Delivered","not applicabel", IF(logistics_data[[#This Row],[Transit_Days]]&gt;=5,"slow","fast"))</f>
        <v>slow</v>
      </c>
    </row>
    <row r="1007" spans="1:14" x14ac:dyDescent="0.3">
      <c r="A1007" t="s">
        <v>1053</v>
      </c>
      <c r="B1007" t="s">
        <v>49</v>
      </c>
      <c r="C1007" t="s">
        <v>17</v>
      </c>
      <c r="D1007" t="s">
        <v>18</v>
      </c>
      <c r="E1007" s="1">
        <v>45226</v>
      </c>
      <c r="F1007" s="1">
        <v>45229</v>
      </c>
      <c r="G1007">
        <v>27.6</v>
      </c>
      <c r="H1007">
        <v>157</v>
      </c>
      <c r="I1007" t="s">
        <v>15</v>
      </c>
      <c r="J1007">
        <v>850</v>
      </c>
      <c r="K1007">
        <v>3</v>
      </c>
      <c r="L1007" t="str">
        <f>IF(logistics_data[[#This Row],[Delivery_Date]]="","In Transit",
 IF(logistics_data[[#This Row],[Status]]="Lost","Lost",
 IF(logistics_data[[#This Row],[Status]]="Returned","Returned",
 IF(logistics_data[[#This Row],[Status]]="Delayed","Delayed",
 "Delivered"))))</f>
        <v>Delivered</v>
      </c>
      <c r="M1007" s="2">
        <f>logistics_data[[#This Row],[Cost]]/logistics_data[[#This Row],[Distance_miles]]</f>
        <v>0.18470588235294116</v>
      </c>
      <c r="N1007" t="str">
        <f>IF(logistics_data[[#This Row],[Orginal staus of shipment]]&lt;&gt;"Delivered","not applicabel", IF(logistics_data[[#This Row],[Transit_Days]]&gt;=5,"slow","fast"))</f>
        <v>fast</v>
      </c>
    </row>
    <row r="1008" spans="1:14" x14ac:dyDescent="0.3">
      <c r="A1008" t="s">
        <v>1054</v>
      </c>
      <c r="B1008" t="s">
        <v>35</v>
      </c>
      <c r="C1008" t="s">
        <v>40</v>
      </c>
      <c r="D1008" t="s">
        <v>37</v>
      </c>
      <c r="E1008" s="1">
        <v>45158</v>
      </c>
      <c r="F1008" s="1">
        <v>45163</v>
      </c>
      <c r="G1008">
        <v>6.9</v>
      </c>
      <c r="H1008">
        <v>39.81</v>
      </c>
      <c r="I1008" t="s">
        <v>47</v>
      </c>
      <c r="J1008">
        <v>283</v>
      </c>
      <c r="K1008">
        <v>3</v>
      </c>
      <c r="L1008" t="str">
        <f>IF(logistics_data[[#This Row],[Delivery_Date]]="","In Transit",
 IF(logistics_data[[#This Row],[Status]]="Lost","Lost",
 IF(logistics_data[[#This Row],[Status]]="Returned","Returned",
 IF(logistics_data[[#This Row],[Status]]="Delayed","Delayed",
 "Delivered"))))</f>
        <v>Delayed</v>
      </c>
      <c r="M1008" s="2">
        <f>logistics_data[[#This Row],[Cost]]/logistics_data[[#This Row],[Distance_miles]]</f>
        <v>0.1406713780918728</v>
      </c>
      <c r="N1008" t="str">
        <f>IF(logistics_data[[#This Row],[Orginal staus of shipment]]&lt;&gt;"Delivered","not applicabel", IF(logistics_data[[#This Row],[Transit_Days]]&gt;=5,"slow","fast"))</f>
        <v>not applicabel</v>
      </c>
    </row>
    <row r="1009" spans="1:14" x14ac:dyDescent="0.3">
      <c r="A1009" t="s">
        <v>1055</v>
      </c>
      <c r="B1009" t="s">
        <v>56</v>
      </c>
      <c r="C1009" t="s">
        <v>57</v>
      </c>
      <c r="D1009" t="s">
        <v>32</v>
      </c>
      <c r="E1009" s="1">
        <v>44992</v>
      </c>
      <c r="F1009" s="1">
        <v>45004</v>
      </c>
      <c r="G1009">
        <v>5.4</v>
      </c>
      <c r="H1009">
        <v>184.97</v>
      </c>
      <c r="I1009" t="s">
        <v>47</v>
      </c>
      <c r="J1009">
        <v>1364</v>
      </c>
      <c r="K1009">
        <v>6</v>
      </c>
      <c r="L1009" t="str">
        <f>IF(logistics_data[[#This Row],[Delivery_Date]]="","In Transit",
 IF(logistics_data[[#This Row],[Status]]="Lost","Lost",
 IF(logistics_data[[#This Row],[Status]]="Returned","Returned",
 IF(logistics_data[[#This Row],[Status]]="Delayed","Delayed",
 "Delivered"))))</f>
        <v>Delayed</v>
      </c>
      <c r="M1009" s="2">
        <f>logistics_data[[#This Row],[Cost]]/logistics_data[[#This Row],[Distance_miles]]</f>
        <v>0.13560850439882699</v>
      </c>
      <c r="N1009" t="str">
        <f>IF(logistics_data[[#This Row],[Orginal staus of shipment]]&lt;&gt;"Delivered","not applicabel", IF(logistics_data[[#This Row],[Transit_Days]]&gt;=5,"slow","fast"))</f>
        <v>not applicabel</v>
      </c>
    </row>
    <row r="1010" spans="1:14" x14ac:dyDescent="0.3">
      <c r="A1010" t="s">
        <v>1056</v>
      </c>
      <c r="B1010" t="s">
        <v>23</v>
      </c>
      <c r="C1010" t="s">
        <v>52</v>
      </c>
      <c r="D1010" t="s">
        <v>18</v>
      </c>
      <c r="E1010" s="1">
        <v>45147</v>
      </c>
      <c r="F1010" s="1">
        <v>45153</v>
      </c>
      <c r="G1010">
        <v>20.6</v>
      </c>
      <c r="H1010">
        <v>317.60000000000002</v>
      </c>
      <c r="I1010" t="s">
        <v>15</v>
      </c>
      <c r="J1010">
        <v>1975</v>
      </c>
      <c r="K1010">
        <v>6</v>
      </c>
      <c r="L1010" t="str">
        <f>IF(logistics_data[[#This Row],[Delivery_Date]]="","In Transit",
 IF(logistics_data[[#This Row],[Status]]="Lost","Lost",
 IF(logistics_data[[#This Row],[Status]]="Returned","Returned",
 IF(logistics_data[[#This Row],[Status]]="Delayed","Delayed",
 "Delivered"))))</f>
        <v>Delivered</v>
      </c>
      <c r="M1010" s="2">
        <f>logistics_data[[#This Row],[Cost]]/logistics_data[[#This Row],[Distance_miles]]</f>
        <v>0.1608101265822785</v>
      </c>
      <c r="N1010" t="str">
        <f>IF(logistics_data[[#This Row],[Orginal staus of shipment]]&lt;&gt;"Delivered","not applicabel", IF(logistics_data[[#This Row],[Transit_Days]]&gt;=5,"slow","fast"))</f>
        <v>slow</v>
      </c>
    </row>
    <row r="1011" spans="1:14" x14ac:dyDescent="0.3">
      <c r="A1011" t="s">
        <v>1057</v>
      </c>
      <c r="B1011" t="s">
        <v>51</v>
      </c>
      <c r="C1011" t="s">
        <v>44</v>
      </c>
      <c r="D1011" t="s">
        <v>42</v>
      </c>
      <c r="E1011" s="1">
        <v>45035</v>
      </c>
      <c r="F1011" s="1">
        <v>45038</v>
      </c>
      <c r="G1011">
        <v>10.1</v>
      </c>
      <c r="H1011">
        <v>104.49</v>
      </c>
      <c r="I1011" t="s">
        <v>15</v>
      </c>
      <c r="J1011">
        <v>790</v>
      </c>
      <c r="K1011">
        <v>3</v>
      </c>
      <c r="L1011" t="str">
        <f>IF(logistics_data[[#This Row],[Delivery_Date]]="","In Transit",
 IF(logistics_data[[#This Row],[Status]]="Lost","Lost",
 IF(logistics_data[[#This Row],[Status]]="Returned","Returned",
 IF(logistics_data[[#This Row],[Status]]="Delayed","Delayed",
 "Delivered"))))</f>
        <v>Delivered</v>
      </c>
      <c r="M1011" s="2">
        <f>logistics_data[[#This Row],[Cost]]/logistics_data[[#This Row],[Distance_miles]]</f>
        <v>0.13226582278481011</v>
      </c>
      <c r="N1011" t="str">
        <f>IF(logistics_data[[#This Row],[Orginal staus of shipment]]&lt;&gt;"Delivered","not applicabel", IF(logistics_data[[#This Row],[Transit_Days]]&gt;=5,"slow","fast"))</f>
        <v>fast</v>
      </c>
    </row>
    <row r="1012" spans="1:14" x14ac:dyDescent="0.3">
      <c r="A1012" t="s">
        <v>1058</v>
      </c>
      <c r="B1012" t="s">
        <v>12</v>
      </c>
      <c r="C1012" t="s">
        <v>31</v>
      </c>
      <c r="D1012" t="s">
        <v>18</v>
      </c>
      <c r="E1012" s="1">
        <v>45229</v>
      </c>
      <c r="F1012" s="1">
        <v>45234</v>
      </c>
      <c r="G1012">
        <v>17</v>
      </c>
      <c r="H1012">
        <v>252.92</v>
      </c>
      <c r="I1012" t="s">
        <v>15</v>
      </c>
      <c r="J1012">
        <v>1685</v>
      </c>
      <c r="K1012">
        <v>5</v>
      </c>
      <c r="L1012" t="str">
        <f>IF(logistics_data[[#This Row],[Delivery_Date]]="","In Transit",
 IF(logistics_data[[#This Row],[Status]]="Lost","Lost",
 IF(logistics_data[[#This Row],[Status]]="Returned","Returned",
 IF(logistics_data[[#This Row],[Status]]="Delayed","Delayed",
 "Delivered"))))</f>
        <v>Delivered</v>
      </c>
      <c r="M1012" s="2">
        <f>logistics_data[[#This Row],[Cost]]/logistics_data[[#This Row],[Distance_miles]]</f>
        <v>0.15010089020771514</v>
      </c>
      <c r="N1012" t="str">
        <f>IF(logistics_data[[#This Row],[Orginal staus of shipment]]&lt;&gt;"Delivered","not applicabel", IF(logistics_data[[#This Row],[Transit_Days]]&gt;=5,"slow","fast"))</f>
        <v>slow</v>
      </c>
    </row>
    <row r="1013" spans="1:14" x14ac:dyDescent="0.3">
      <c r="A1013" t="s">
        <v>1059</v>
      </c>
      <c r="B1013" t="s">
        <v>35</v>
      </c>
      <c r="C1013" t="s">
        <v>81</v>
      </c>
      <c r="D1013" t="s">
        <v>32</v>
      </c>
      <c r="E1013" s="1">
        <v>45184</v>
      </c>
      <c r="F1013" s="1">
        <v>45187</v>
      </c>
      <c r="G1013">
        <v>30.9</v>
      </c>
      <c r="H1013">
        <v>179.89</v>
      </c>
      <c r="I1013" t="s">
        <v>15</v>
      </c>
      <c r="J1013">
        <v>1000</v>
      </c>
      <c r="K1013">
        <v>3</v>
      </c>
      <c r="L1013" t="str">
        <f>IF(logistics_data[[#This Row],[Delivery_Date]]="","In Transit",
 IF(logistics_data[[#This Row],[Status]]="Lost","Lost",
 IF(logistics_data[[#This Row],[Status]]="Returned","Returned",
 IF(logistics_data[[#This Row],[Status]]="Delayed","Delayed",
 "Delivered"))))</f>
        <v>Delivered</v>
      </c>
      <c r="M1013" s="2">
        <f>logistics_data[[#This Row],[Cost]]/logistics_data[[#This Row],[Distance_miles]]</f>
        <v>0.17988999999999999</v>
      </c>
      <c r="N1013" t="str">
        <f>IF(logistics_data[[#This Row],[Orginal staus of shipment]]&lt;&gt;"Delivered","not applicabel", IF(logistics_data[[#This Row],[Transit_Days]]&gt;=5,"slow","fast"))</f>
        <v>fast</v>
      </c>
    </row>
    <row r="1014" spans="1:14" x14ac:dyDescent="0.3">
      <c r="A1014" t="s">
        <v>1060</v>
      </c>
      <c r="B1014" t="s">
        <v>49</v>
      </c>
      <c r="C1014" t="s">
        <v>21</v>
      </c>
      <c r="D1014" t="s">
        <v>25</v>
      </c>
      <c r="E1014" s="1">
        <v>45042</v>
      </c>
      <c r="F1014" s="1">
        <v>45048</v>
      </c>
      <c r="G1014">
        <v>8.1999999999999993</v>
      </c>
      <c r="H1014">
        <v>306.04000000000002</v>
      </c>
      <c r="I1014" t="s">
        <v>15</v>
      </c>
      <c r="J1014">
        <v>2254</v>
      </c>
      <c r="K1014">
        <v>6</v>
      </c>
      <c r="L1014" t="str">
        <f>IF(logistics_data[[#This Row],[Delivery_Date]]="","In Transit",
 IF(logistics_data[[#This Row],[Status]]="Lost","Lost",
 IF(logistics_data[[#This Row],[Status]]="Returned","Returned",
 IF(logistics_data[[#This Row],[Status]]="Delayed","Delayed",
 "Delivered"))))</f>
        <v>Delivered</v>
      </c>
      <c r="M1014" s="2">
        <f>logistics_data[[#This Row],[Cost]]/logistics_data[[#This Row],[Distance_miles]]</f>
        <v>0.13577639751552795</v>
      </c>
      <c r="N1014" t="str">
        <f>IF(logistics_data[[#This Row],[Orginal staus of shipment]]&lt;&gt;"Delivered","not applicabel", IF(logistics_data[[#This Row],[Transit_Days]]&gt;=5,"slow","fast"))</f>
        <v>slow</v>
      </c>
    </row>
    <row r="1015" spans="1:14" x14ac:dyDescent="0.3">
      <c r="A1015" t="s">
        <v>1061</v>
      </c>
      <c r="B1015" t="s">
        <v>20</v>
      </c>
      <c r="C1015" t="s">
        <v>17</v>
      </c>
      <c r="D1015" t="s">
        <v>32</v>
      </c>
      <c r="E1015" s="1">
        <v>45088</v>
      </c>
      <c r="F1015" s="1">
        <v>45093</v>
      </c>
      <c r="G1015">
        <v>37.6</v>
      </c>
      <c r="H1015">
        <v>305.62</v>
      </c>
      <c r="I1015" t="s">
        <v>15</v>
      </c>
      <c r="J1015">
        <v>1761</v>
      </c>
      <c r="K1015">
        <v>5</v>
      </c>
      <c r="L1015" t="str">
        <f>IF(logistics_data[[#This Row],[Delivery_Date]]="","In Transit",
 IF(logistics_data[[#This Row],[Status]]="Lost","Lost",
 IF(logistics_data[[#This Row],[Status]]="Returned","Returned",
 IF(logistics_data[[#This Row],[Status]]="Delayed","Delayed",
 "Delivered"))))</f>
        <v>Delivered</v>
      </c>
      <c r="M1015" s="2">
        <f>logistics_data[[#This Row],[Cost]]/logistics_data[[#This Row],[Distance_miles]]</f>
        <v>0.17354911981828508</v>
      </c>
      <c r="N1015" t="str">
        <f>IF(logistics_data[[#This Row],[Orginal staus of shipment]]&lt;&gt;"Delivered","not applicabel", IF(logistics_data[[#This Row],[Transit_Days]]&gt;=5,"slow","fast"))</f>
        <v>slow</v>
      </c>
    </row>
    <row r="1016" spans="1:14" x14ac:dyDescent="0.3">
      <c r="A1016" t="s">
        <v>1062</v>
      </c>
      <c r="B1016" t="s">
        <v>30</v>
      </c>
      <c r="C1016" t="s">
        <v>81</v>
      </c>
      <c r="D1016" t="s">
        <v>32</v>
      </c>
      <c r="E1016" s="1">
        <v>45074</v>
      </c>
      <c r="F1016" s="1">
        <v>45080</v>
      </c>
      <c r="G1016">
        <v>78.7</v>
      </c>
      <c r="H1016">
        <v>309.33</v>
      </c>
      <c r="I1016" t="s">
        <v>15</v>
      </c>
      <c r="J1016">
        <v>1394</v>
      </c>
      <c r="K1016">
        <v>6</v>
      </c>
      <c r="L1016" t="str">
        <f>IF(logistics_data[[#This Row],[Delivery_Date]]="","In Transit",
 IF(logistics_data[[#This Row],[Status]]="Lost","Lost",
 IF(logistics_data[[#This Row],[Status]]="Returned","Returned",
 IF(logistics_data[[#This Row],[Status]]="Delayed","Delayed",
 "Delivered"))))</f>
        <v>Delivered</v>
      </c>
      <c r="M1016" s="2">
        <f>logistics_data[[#This Row],[Cost]]/logistics_data[[#This Row],[Distance_miles]]</f>
        <v>0.22190100430416068</v>
      </c>
      <c r="N1016" t="str">
        <f>IF(logistics_data[[#This Row],[Orginal staus of shipment]]&lt;&gt;"Delivered","not applicabel", IF(logistics_data[[#This Row],[Transit_Days]]&gt;=5,"slow","fast"))</f>
        <v>slow</v>
      </c>
    </row>
    <row r="1017" spans="1:14" x14ac:dyDescent="0.3">
      <c r="A1017" t="s">
        <v>1063</v>
      </c>
      <c r="B1017" t="s">
        <v>35</v>
      </c>
      <c r="C1017" t="s">
        <v>70</v>
      </c>
      <c r="D1017" t="s">
        <v>59</v>
      </c>
      <c r="E1017" s="1">
        <v>45256</v>
      </c>
      <c r="F1017" s="1">
        <v>45260</v>
      </c>
      <c r="G1017">
        <v>59.8</v>
      </c>
      <c r="H1017">
        <v>203.1</v>
      </c>
      <c r="I1017" t="s">
        <v>15</v>
      </c>
      <c r="J1017">
        <v>789</v>
      </c>
      <c r="K1017">
        <v>4</v>
      </c>
      <c r="L1017" t="str">
        <f>IF(logistics_data[[#This Row],[Delivery_Date]]="","In Transit",
 IF(logistics_data[[#This Row],[Status]]="Lost","Lost",
 IF(logistics_data[[#This Row],[Status]]="Returned","Returned",
 IF(logistics_data[[#This Row],[Status]]="Delayed","Delayed",
 "Delivered"))))</f>
        <v>Delivered</v>
      </c>
      <c r="M1017" s="2">
        <f>logistics_data[[#This Row],[Cost]]/logistics_data[[#This Row],[Distance_miles]]</f>
        <v>0.25741444866920149</v>
      </c>
      <c r="N1017" t="str">
        <f>IF(logistics_data[[#This Row],[Orginal staus of shipment]]&lt;&gt;"Delivered","not applicabel", IF(logistics_data[[#This Row],[Transit_Days]]&gt;=5,"slow","fast"))</f>
        <v>fast</v>
      </c>
    </row>
    <row r="1018" spans="1:14" x14ac:dyDescent="0.3">
      <c r="A1018" t="s">
        <v>1064</v>
      </c>
      <c r="B1018" t="s">
        <v>12</v>
      </c>
      <c r="C1018" t="s">
        <v>21</v>
      </c>
      <c r="D1018" t="s">
        <v>42</v>
      </c>
      <c r="E1018" s="1">
        <v>45152</v>
      </c>
      <c r="F1018" s="1">
        <v>45157</v>
      </c>
      <c r="G1018">
        <v>21.4</v>
      </c>
      <c r="H1018">
        <v>113.32</v>
      </c>
      <c r="I1018" t="s">
        <v>60</v>
      </c>
      <c r="J1018">
        <v>790</v>
      </c>
      <c r="K1018">
        <v>5</v>
      </c>
      <c r="L1018" t="str">
        <f>IF(logistics_data[[#This Row],[Delivery_Date]]="","In Transit",
 IF(logistics_data[[#This Row],[Status]]="Lost","Lost",
 IF(logistics_data[[#This Row],[Status]]="Returned","Returned",
 IF(logistics_data[[#This Row],[Status]]="Delayed","Delayed",
 "Delivered"))))</f>
        <v>Lost</v>
      </c>
      <c r="M1018" s="2">
        <f>logistics_data[[#This Row],[Cost]]/logistics_data[[#This Row],[Distance_miles]]</f>
        <v>0.14344303797468352</v>
      </c>
      <c r="N1018" t="str">
        <f>IF(logistics_data[[#This Row],[Orginal staus of shipment]]&lt;&gt;"Delivered","not applicabel", IF(logistics_data[[#This Row],[Transit_Days]]&gt;=5,"slow","fast"))</f>
        <v>not applicabel</v>
      </c>
    </row>
    <row r="1019" spans="1:14" x14ac:dyDescent="0.3">
      <c r="A1019" t="s">
        <v>1065</v>
      </c>
      <c r="B1019" t="s">
        <v>30</v>
      </c>
      <c r="C1019" t="s">
        <v>28</v>
      </c>
      <c r="D1019" t="s">
        <v>25</v>
      </c>
      <c r="E1019" s="1">
        <v>45058</v>
      </c>
      <c r="F1019" s="1">
        <v>45064</v>
      </c>
      <c r="G1019">
        <v>50.3</v>
      </c>
      <c r="H1019">
        <v>257.68</v>
      </c>
      <c r="I1019" t="s">
        <v>15</v>
      </c>
      <c r="J1019">
        <v>1485</v>
      </c>
      <c r="K1019">
        <v>6</v>
      </c>
      <c r="L1019" t="str">
        <f>IF(logistics_data[[#This Row],[Delivery_Date]]="","In Transit",
 IF(logistics_data[[#This Row],[Status]]="Lost","Lost",
 IF(logistics_data[[#This Row],[Status]]="Returned","Returned",
 IF(logistics_data[[#This Row],[Status]]="Delayed","Delayed",
 "Delivered"))))</f>
        <v>Delivered</v>
      </c>
      <c r="M1019" s="2">
        <f>logistics_data[[#This Row],[Cost]]/logistics_data[[#This Row],[Distance_miles]]</f>
        <v>0.17352188552188552</v>
      </c>
      <c r="N1019" t="str">
        <f>IF(logistics_data[[#This Row],[Orginal staus of shipment]]&lt;&gt;"Delivered","not applicabel", IF(logistics_data[[#This Row],[Transit_Days]]&gt;=5,"slow","fast"))</f>
        <v>slow</v>
      </c>
    </row>
    <row r="1020" spans="1:14" x14ac:dyDescent="0.3">
      <c r="A1020" t="s">
        <v>1066</v>
      </c>
      <c r="B1020" t="s">
        <v>49</v>
      </c>
      <c r="C1020" t="s">
        <v>13</v>
      </c>
      <c r="D1020" t="s">
        <v>37</v>
      </c>
      <c r="E1020" s="1">
        <v>45144</v>
      </c>
      <c r="F1020" s="1">
        <v>45148</v>
      </c>
      <c r="G1020">
        <v>23.7</v>
      </c>
      <c r="H1020">
        <v>280.45</v>
      </c>
      <c r="I1020" t="s">
        <v>67</v>
      </c>
      <c r="J1020">
        <v>2017</v>
      </c>
      <c r="K1020">
        <v>4</v>
      </c>
      <c r="L1020" t="str">
        <f>IF(logistics_data[[#This Row],[Delivery_Date]]="","In Transit",
 IF(logistics_data[[#This Row],[Status]]="Lost","Lost",
 IF(logistics_data[[#This Row],[Status]]="Returned","Returned",
 IF(logistics_data[[#This Row],[Status]]="Delayed","Delayed",
 "Delivered"))))</f>
        <v>Returned</v>
      </c>
      <c r="M1020" s="2">
        <f>logistics_data[[#This Row],[Cost]]/logistics_data[[#This Row],[Distance_miles]]</f>
        <v>0.13904313336638571</v>
      </c>
      <c r="N1020" t="str">
        <f>IF(logistics_data[[#This Row],[Orginal staus of shipment]]&lt;&gt;"Delivered","not applicabel", IF(logistics_data[[#This Row],[Transit_Days]]&gt;=5,"slow","fast"))</f>
        <v>not applicabel</v>
      </c>
    </row>
    <row r="1021" spans="1:14" x14ac:dyDescent="0.3">
      <c r="A1021" t="s">
        <v>1067</v>
      </c>
      <c r="B1021" t="s">
        <v>12</v>
      </c>
      <c r="C1021" t="s">
        <v>40</v>
      </c>
      <c r="D1021" t="s">
        <v>14</v>
      </c>
      <c r="E1021" s="1">
        <v>44979</v>
      </c>
      <c r="F1021" s="1">
        <v>44984</v>
      </c>
      <c r="G1021">
        <v>43.5</v>
      </c>
      <c r="H1021">
        <v>324.49</v>
      </c>
      <c r="I1021" t="s">
        <v>15</v>
      </c>
      <c r="J1021">
        <v>2021</v>
      </c>
      <c r="K1021">
        <v>5</v>
      </c>
      <c r="L1021" t="str">
        <f>IF(logistics_data[[#This Row],[Delivery_Date]]="","In Transit",
 IF(logistics_data[[#This Row],[Status]]="Lost","Lost",
 IF(logistics_data[[#This Row],[Status]]="Returned","Returned",
 IF(logistics_data[[#This Row],[Status]]="Delayed","Delayed",
 "Delivered"))))</f>
        <v>Delivered</v>
      </c>
      <c r="M1021" s="2">
        <f>logistics_data[[#This Row],[Cost]]/logistics_data[[#This Row],[Distance_miles]]</f>
        <v>0.16055912914398812</v>
      </c>
      <c r="N1021" t="str">
        <f>IF(logistics_data[[#This Row],[Orginal staus of shipment]]&lt;&gt;"Delivered","not applicabel", IF(logistics_data[[#This Row],[Transit_Days]]&gt;=5,"slow","fast"))</f>
        <v>slow</v>
      </c>
    </row>
    <row r="1022" spans="1:14" x14ac:dyDescent="0.3">
      <c r="A1022" t="s">
        <v>1068</v>
      </c>
      <c r="B1022" t="s">
        <v>51</v>
      </c>
      <c r="C1022" t="s">
        <v>46</v>
      </c>
      <c r="D1022" t="s">
        <v>14</v>
      </c>
      <c r="E1022" s="1">
        <v>45192</v>
      </c>
      <c r="F1022" s="1">
        <v>45197</v>
      </c>
      <c r="G1022">
        <v>14.9</v>
      </c>
      <c r="I1022" t="s">
        <v>47</v>
      </c>
      <c r="J1022">
        <v>215</v>
      </c>
      <c r="K1022">
        <v>1</v>
      </c>
      <c r="L1022" t="str">
        <f>IF(logistics_data[[#This Row],[Delivery_Date]]="","In Transit",
 IF(logistics_data[[#This Row],[Status]]="Lost","Lost",
 IF(logistics_data[[#This Row],[Status]]="Returned","Returned",
 IF(logistics_data[[#This Row],[Status]]="Delayed","Delayed",
 "Delivered"))))</f>
        <v>Delayed</v>
      </c>
      <c r="M1022" s="2">
        <f>logistics_data[[#This Row],[Cost]]/logistics_data[[#This Row],[Distance_miles]]</f>
        <v>0</v>
      </c>
      <c r="N1022" t="str">
        <f>IF(logistics_data[[#This Row],[Orginal staus of shipment]]&lt;&gt;"Delivered","not applicabel", IF(logistics_data[[#This Row],[Transit_Days]]&gt;=5,"slow","fast"))</f>
        <v>not applicabel</v>
      </c>
    </row>
    <row r="1023" spans="1:14" x14ac:dyDescent="0.3">
      <c r="A1023" t="s">
        <v>1069</v>
      </c>
      <c r="B1023" t="s">
        <v>51</v>
      </c>
      <c r="C1023" t="s">
        <v>81</v>
      </c>
      <c r="D1023" t="s">
        <v>25</v>
      </c>
      <c r="E1023" s="1">
        <v>45013</v>
      </c>
      <c r="F1023" s="1">
        <v>45020</v>
      </c>
      <c r="G1023">
        <v>16.7</v>
      </c>
      <c r="H1023">
        <v>200.43</v>
      </c>
      <c r="I1023" t="s">
        <v>15</v>
      </c>
      <c r="J1023">
        <v>1466</v>
      </c>
      <c r="K1023">
        <v>7</v>
      </c>
      <c r="L1023" t="str">
        <f>IF(logistics_data[[#This Row],[Delivery_Date]]="","In Transit",
 IF(logistics_data[[#This Row],[Status]]="Lost","Lost",
 IF(logistics_data[[#This Row],[Status]]="Returned","Returned",
 IF(logistics_data[[#This Row],[Status]]="Delayed","Delayed",
 "Delivered"))))</f>
        <v>Delivered</v>
      </c>
      <c r="M1023" s="2">
        <f>logistics_data[[#This Row],[Cost]]/logistics_data[[#This Row],[Distance_miles]]</f>
        <v>0.13671896316507504</v>
      </c>
      <c r="N1023" t="str">
        <f>IF(logistics_data[[#This Row],[Orginal staus of shipment]]&lt;&gt;"Delivered","not applicabel", IF(logistics_data[[#This Row],[Transit_Days]]&gt;=5,"slow","fast"))</f>
        <v>slow</v>
      </c>
    </row>
    <row r="1024" spans="1:14" x14ac:dyDescent="0.3">
      <c r="A1024" t="s">
        <v>1070</v>
      </c>
      <c r="B1024" t="s">
        <v>23</v>
      </c>
      <c r="C1024" t="s">
        <v>46</v>
      </c>
      <c r="D1024" t="s">
        <v>32</v>
      </c>
      <c r="E1024" s="1">
        <v>45000</v>
      </c>
      <c r="F1024" s="1">
        <v>45002</v>
      </c>
      <c r="G1024">
        <v>12.8</v>
      </c>
      <c r="H1024">
        <v>94.48</v>
      </c>
      <c r="I1024" t="s">
        <v>15</v>
      </c>
      <c r="J1024">
        <v>626</v>
      </c>
      <c r="K1024">
        <v>2</v>
      </c>
      <c r="L1024" t="str">
        <f>IF(logistics_data[[#This Row],[Delivery_Date]]="","In Transit",
 IF(logistics_data[[#This Row],[Status]]="Lost","Lost",
 IF(logistics_data[[#This Row],[Status]]="Returned","Returned",
 IF(logistics_data[[#This Row],[Status]]="Delayed","Delayed",
 "Delivered"))))</f>
        <v>Delivered</v>
      </c>
      <c r="M1024" s="2">
        <f>logistics_data[[#This Row],[Cost]]/logistics_data[[#This Row],[Distance_miles]]</f>
        <v>0.15092651757188499</v>
      </c>
      <c r="N1024" t="str">
        <f>IF(logistics_data[[#This Row],[Orginal staus of shipment]]&lt;&gt;"Delivered","not applicabel", IF(logistics_data[[#This Row],[Transit_Days]]&gt;=5,"slow","fast"))</f>
        <v>fast</v>
      </c>
    </row>
    <row r="1025" spans="1:14" x14ac:dyDescent="0.3">
      <c r="A1025" t="s">
        <v>1071</v>
      </c>
      <c r="B1025" t="s">
        <v>56</v>
      </c>
      <c r="C1025" t="s">
        <v>17</v>
      </c>
      <c r="D1025" t="s">
        <v>25</v>
      </c>
      <c r="E1025" s="1">
        <v>44977</v>
      </c>
      <c r="F1025" s="1">
        <v>44980</v>
      </c>
      <c r="G1025">
        <v>3.5</v>
      </c>
      <c r="H1025">
        <v>138.85</v>
      </c>
      <c r="I1025" t="s">
        <v>15</v>
      </c>
      <c r="J1025">
        <v>1063</v>
      </c>
      <c r="K1025">
        <v>3</v>
      </c>
      <c r="L1025" t="str">
        <f>IF(logistics_data[[#This Row],[Delivery_Date]]="","In Transit",
 IF(logistics_data[[#This Row],[Status]]="Lost","Lost",
 IF(logistics_data[[#This Row],[Status]]="Returned","Returned",
 IF(logistics_data[[#This Row],[Status]]="Delayed","Delayed",
 "Delivered"))))</f>
        <v>Delivered</v>
      </c>
      <c r="M1025" s="2">
        <f>logistics_data[[#This Row],[Cost]]/logistics_data[[#This Row],[Distance_miles]]</f>
        <v>0.130620884289746</v>
      </c>
      <c r="N1025" t="str">
        <f>IF(logistics_data[[#This Row],[Orginal staus of shipment]]&lt;&gt;"Delivered","not applicabel", IF(logistics_data[[#This Row],[Transit_Days]]&gt;=5,"slow","fast"))</f>
        <v>fast</v>
      </c>
    </row>
    <row r="1026" spans="1:14" x14ac:dyDescent="0.3">
      <c r="A1026" t="s">
        <v>1072</v>
      </c>
      <c r="B1026" t="s">
        <v>51</v>
      </c>
      <c r="C1026" t="s">
        <v>17</v>
      </c>
      <c r="D1026" t="s">
        <v>14</v>
      </c>
      <c r="E1026" s="1">
        <v>45032</v>
      </c>
      <c r="F1026" s="1">
        <v>45034</v>
      </c>
      <c r="G1026">
        <v>166.1</v>
      </c>
      <c r="H1026">
        <v>337.18</v>
      </c>
      <c r="I1026" t="s">
        <v>15</v>
      </c>
      <c r="J1026">
        <v>870</v>
      </c>
      <c r="K1026">
        <v>2</v>
      </c>
      <c r="L1026" t="str">
        <f>IF(logistics_data[[#This Row],[Delivery_Date]]="","In Transit",
 IF(logistics_data[[#This Row],[Status]]="Lost","Lost",
 IF(logistics_data[[#This Row],[Status]]="Returned","Returned",
 IF(logistics_data[[#This Row],[Status]]="Delayed","Delayed",
 "Delivered"))))</f>
        <v>Delivered</v>
      </c>
      <c r="M1026" s="2">
        <f>logistics_data[[#This Row],[Cost]]/logistics_data[[#This Row],[Distance_miles]]</f>
        <v>0.3875632183908046</v>
      </c>
      <c r="N1026" t="str">
        <f>IF(logistics_data[[#This Row],[Orginal staus of shipment]]&lt;&gt;"Delivered","not applicabel", IF(logistics_data[[#This Row],[Transit_Days]]&gt;=5,"slow","fast"))</f>
        <v>fast</v>
      </c>
    </row>
    <row r="1027" spans="1:14" x14ac:dyDescent="0.3">
      <c r="A1027" t="s">
        <v>1073</v>
      </c>
      <c r="B1027" t="s">
        <v>23</v>
      </c>
      <c r="C1027" t="s">
        <v>44</v>
      </c>
      <c r="D1027" t="s">
        <v>32</v>
      </c>
      <c r="E1027" s="1">
        <v>45161</v>
      </c>
      <c r="F1027" s="1">
        <v>45166</v>
      </c>
      <c r="G1027">
        <v>21.8</v>
      </c>
      <c r="H1027">
        <v>325.08999999999997</v>
      </c>
      <c r="I1027" t="s">
        <v>15</v>
      </c>
      <c r="J1027">
        <v>2387</v>
      </c>
      <c r="K1027">
        <v>5</v>
      </c>
      <c r="L1027" t="str">
        <f>IF(logistics_data[[#This Row],[Delivery_Date]]="","In Transit",
 IF(logistics_data[[#This Row],[Status]]="Lost","Lost",
 IF(logistics_data[[#This Row],[Status]]="Returned","Returned",
 IF(logistics_data[[#This Row],[Status]]="Delayed","Delayed",
 "Delivered"))))</f>
        <v>Delivered</v>
      </c>
      <c r="M1027" s="2">
        <f>logistics_data[[#This Row],[Cost]]/logistics_data[[#This Row],[Distance_miles]]</f>
        <v>0.13619187264348553</v>
      </c>
      <c r="N1027" t="str">
        <f>IF(logistics_data[[#This Row],[Orginal staus of shipment]]&lt;&gt;"Delivered","not applicabel", IF(logistics_data[[#This Row],[Transit_Days]]&gt;=5,"slow","fast"))</f>
        <v>slow</v>
      </c>
    </row>
    <row r="1028" spans="1:14" x14ac:dyDescent="0.3">
      <c r="A1028" t="s">
        <v>1074</v>
      </c>
      <c r="B1028" t="s">
        <v>20</v>
      </c>
      <c r="C1028" t="s">
        <v>13</v>
      </c>
      <c r="D1028" t="s">
        <v>37</v>
      </c>
      <c r="E1028" s="1">
        <v>45045</v>
      </c>
      <c r="F1028" s="1">
        <v>45049</v>
      </c>
      <c r="G1028">
        <v>25.3</v>
      </c>
      <c r="H1028">
        <v>172.77</v>
      </c>
      <c r="I1028" t="s">
        <v>15</v>
      </c>
      <c r="J1028">
        <v>1260</v>
      </c>
      <c r="K1028">
        <v>4</v>
      </c>
      <c r="L1028" t="str">
        <f>IF(logistics_data[[#This Row],[Delivery_Date]]="","In Transit",
 IF(logistics_data[[#This Row],[Status]]="Lost","Lost",
 IF(logistics_data[[#This Row],[Status]]="Returned","Returned",
 IF(logistics_data[[#This Row],[Status]]="Delayed","Delayed",
 "Delivered"))))</f>
        <v>Delivered</v>
      </c>
      <c r="M1028" s="2">
        <f>logistics_data[[#This Row],[Cost]]/logistics_data[[#This Row],[Distance_miles]]</f>
        <v>0.13711904761904764</v>
      </c>
      <c r="N1028" t="str">
        <f>IF(logistics_data[[#This Row],[Orginal staus of shipment]]&lt;&gt;"Delivered","not applicabel", IF(logistics_data[[#This Row],[Transit_Days]]&gt;=5,"slow","fast"))</f>
        <v>fast</v>
      </c>
    </row>
    <row r="1029" spans="1:14" x14ac:dyDescent="0.3">
      <c r="A1029" t="s">
        <v>1075</v>
      </c>
      <c r="B1029" t="s">
        <v>56</v>
      </c>
      <c r="C1029" t="s">
        <v>28</v>
      </c>
      <c r="D1029" t="s">
        <v>25</v>
      </c>
      <c r="E1029" s="1">
        <v>44973</v>
      </c>
      <c r="F1029" s="1">
        <v>44987</v>
      </c>
      <c r="G1029">
        <v>8.5</v>
      </c>
      <c r="H1029">
        <v>228.43</v>
      </c>
      <c r="I1029" t="s">
        <v>47</v>
      </c>
      <c r="J1029">
        <v>1754</v>
      </c>
      <c r="K1029">
        <v>4</v>
      </c>
      <c r="L1029" t="str">
        <f>IF(logistics_data[[#This Row],[Delivery_Date]]="","In Transit",
 IF(logistics_data[[#This Row],[Status]]="Lost","Lost",
 IF(logistics_data[[#This Row],[Status]]="Returned","Returned",
 IF(logistics_data[[#This Row],[Status]]="Delayed","Delayed",
 "Delivered"))))</f>
        <v>Delayed</v>
      </c>
      <c r="M1029" s="2">
        <f>logistics_data[[#This Row],[Cost]]/logistics_data[[#This Row],[Distance_miles]]</f>
        <v>0.13023375142531357</v>
      </c>
      <c r="N1029" t="str">
        <f>IF(logistics_data[[#This Row],[Orginal staus of shipment]]&lt;&gt;"Delivered","not applicabel", IF(logistics_data[[#This Row],[Transit_Days]]&gt;=5,"slow","fast"))</f>
        <v>not applicabel</v>
      </c>
    </row>
    <row r="1030" spans="1:14" x14ac:dyDescent="0.3">
      <c r="A1030" t="s">
        <v>1076</v>
      </c>
      <c r="B1030" t="s">
        <v>27</v>
      </c>
      <c r="C1030" t="s">
        <v>40</v>
      </c>
      <c r="D1030" t="s">
        <v>14</v>
      </c>
      <c r="E1030" s="1">
        <v>45167</v>
      </c>
      <c r="F1030" s="1">
        <v>45170</v>
      </c>
      <c r="G1030">
        <v>12.4</v>
      </c>
      <c r="H1030">
        <v>129.81</v>
      </c>
      <c r="I1030" t="s">
        <v>62</v>
      </c>
      <c r="J1030">
        <v>842</v>
      </c>
      <c r="K1030">
        <v>3</v>
      </c>
      <c r="L1030" t="str">
        <f>IF(logistics_data[[#This Row],[Delivery_Date]]="","In Transit",
 IF(logistics_data[[#This Row],[Status]]="Lost","Lost",
 IF(logistics_data[[#This Row],[Status]]="Returned","Returned",
 IF(logistics_data[[#This Row],[Status]]="Delayed","Delayed",
 "Delivered"))))</f>
        <v>Delivered</v>
      </c>
      <c r="M1030" s="2">
        <f>logistics_data[[#This Row],[Cost]]/logistics_data[[#This Row],[Distance_miles]]</f>
        <v>0.15416864608076009</v>
      </c>
      <c r="N1030" t="str">
        <f>IF(logistics_data[[#This Row],[Orginal staus of shipment]]&lt;&gt;"Delivered","not applicabel", IF(logistics_data[[#This Row],[Transit_Days]]&gt;=5,"slow","fast"))</f>
        <v>fast</v>
      </c>
    </row>
    <row r="1031" spans="1:14" x14ac:dyDescent="0.3">
      <c r="A1031" t="s">
        <v>1077</v>
      </c>
      <c r="B1031" t="s">
        <v>27</v>
      </c>
      <c r="C1031" t="s">
        <v>31</v>
      </c>
      <c r="D1031" t="s">
        <v>32</v>
      </c>
      <c r="E1031" s="1">
        <v>45098</v>
      </c>
      <c r="F1031" s="1">
        <v>45102</v>
      </c>
      <c r="G1031">
        <v>40.700000000000003</v>
      </c>
      <c r="H1031">
        <v>240.08</v>
      </c>
      <c r="I1031" t="s">
        <v>15</v>
      </c>
      <c r="J1031">
        <v>1457</v>
      </c>
      <c r="K1031">
        <v>4</v>
      </c>
      <c r="L1031" t="str">
        <f>IF(logistics_data[[#This Row],[Delivery_Date]]="","In Transit",
 IF(logistics_data[[#This Row],[Status]]="Lost","Lost",
 IF(logistics_data[[#This Row],[Status]]="Returned","Returned",
 IF(logistics_data[[#This Row],[Status]]="Delayed","Delayed",
 "Delivered"))))</f>
        <v>Delivered</v>
      </c>
      <c r="M1031" s="2">
        <f>logistics_data[[#This Row],[Cost]]/logistics_data[[#This Row],[Distance_miles]]</f>
        <v>0.16477693891557996</v>
      </c>
      <c r="N1031" t="str">
        <f>IF(logistics_data[[#This Row],[Orginal staus of shipment]]&lt;&gt;"Delivered","not applicabel", IF(logistics_data[[#This Row],[Transit_Days]]&gt;=5,"slow","fast"))</f>
        <v>fast</v>
      </c>
    </row>
    <row r="1032" spans="1:14" x14ac:dyDescent="0.3">
      <c r="A1032" t="s">
        <v>1078</v>
      </c>
      <c r="B1032" t="s">
        <v>27</v>
      </c>
      <c r="C1032" t="s">
        <v>40</v>
      </c>
      <c r="D1032" t="s">
        <v>25</v>
      </c>
      <c r="E1032" s="1">
        <v>45087</v>
      </c>
      <c r="F1032" s="1">
        <v>45094</v>
      </c>
      <c r="G1032">
        <v>17.3</v>
      </c>
      <c r="H1032">
        <v>300.85000000000002</v>
      </c>
      <c r="I1032" t="s">
        <v>15</v>
      </c>
      <c r="J1032">
        <v>2372</v>
      </c>
      <c r="K1032">
        <v>7</v>
      </c>
      <c r="L1032" t="str">
        <f>IF(logistics_data[[#This Row],[Delivery_Date]]="","In Transit",
 IF(logistics_data[[#This Row],[Status]]="Lost","Lost",
 IF(logistics_data[[#This Row],[Status]]="Returned","Returned",
 IF(logistics_data[[#This Row],[Status]]="Delayed","Delayed",
 "Delivered"))))</f>
        <v>Delivered</v>
      </c>
      <c r="M1032" s="2">
        <f>logistics_data[[#This Row],[Cost]]/logistics_data[[#This Row],[Distance_miles]]</f>
        <v>0.12683389544688028</v>
      </c>
      <c r="N1032" t="str">
        <f>IF(logistics_data[[#This Row],[Orginal staus of shipment]]&lt;&gt;"Delivered","not applicabel", IF(logistics_data[[#This Row],[Transit_Days]]&gt;=5,"slow","fast"))</f>
        <v>slow</v>
      </c>
    </row>
    <row r="1033" spans="1:14" x14ac:dyDescent="0.3">
      <c r="A1033" t="s">
        <v>1079</v>
      </c>
      <c r="B1033" t="s">
        <v>23</v>
      </c>
      <c r="C1033" t="s">
        <v>81</v>
      </c>
      <c r="D1033" t="s">
        <v>25</v>
      </c>
      <c r="E1033" s="1">
        <v>45133</v>
      </c>
      <c r="F1033" s="1">
        <v>45138</v>
      </c>
      <c r="G1033">
        <v>12.9</v>
      </c>
      <c r="H1033">
        <v>276.52</v>
      </c>
      <c r="I1033" t="s">
        <v>15</v>
      </c>
      <c r="J1033">
        <v>1986</v>
      </c>
      <c r="K1033">
        <v>5</v>
      </c>
      <c r="L1033" t="str">
        <f>IF(logistics_data[[#This Row],[Delivery_Date]]="","In Transit",
 IF(logistics_data[[#This Row],[Status]]="Lost","Lost",
 IF(logistics_data[[#This Row],[Status]]="Returned","Returned",
 IF(logistics_data[[#This Row],[Status]]="Delayed","Delayed",
 "Delivered"))))</f>
        <v>Delivered</v>
      </c>
      <c r="M1033" s="2">
        <f>logistics_data[[#This Row],[Cost]]/logistics_data[[#This Row],[Distance_miles]]</f>
        <v>0.13923464249748238</v>
      </c>
      <c r="N1033" t="str">
        <f>IF(logistics_data[[#This Row],[Orginal staus of shipment]]&lt;&gt;"Delivered","not applicabel", IF(logistics_data[[#This Row],[Transit_Days]]&gt;=5,"slow","fast"))</f>
        <v>slow</v>
      </c>
    </row>
    <row r="1034" spans="1:14" x14ac:dyDescent="0.3">
      <c r="A1034" t="s">
        <v>1080</v>
      </c>
      <c r="B1034" t="s">
        <v>27</v>
      </c>
      <c r="C1034" t="s">
        <v>24</v>
      </c>
      <c r="D1034" t="s">
        <v>14</v>
      </c>
      <c r="E1034" s="1">
        <v>45087</v>
      </c>
      <c r="F1034" s="1">
        <v>45089</v>
      </c>
      <c r="G1034">
        <v>27.3</v>
      </c>
      <c r="H1034">
        <v>54.83</v>
      </c>
      <c r="I1034" t="s">
        <v>15</v>
      </c>
      <c r="J1034">
        <v>128</v>
      </c>
      <c r="K1034">
        <v>2</v>
      </c>
      <c r="L1034" t="str">
        <f>IF(logistics_data[[#This Row],[Delivery_Date]]="","In Transit",
 IF(logistics_data[[#This Row],[Status]]="Lost","Lost",
 IF(logistics_data[[#This Row],[Status]]="Returned","Returned",
 IF(logistics_data[[#This Row],[Status]]="Delayed","Delayed",
 "Delivered"))))</f>
        <v>Delivered</v>
      </c>
      <c r="M1034" s="2">
        <f>logistics_data[[#This Row],[Cost]]/logistics_data[[#This Row],[Distance_miles]]</f>
        <v>0.42835937499999999</v>
      </c>
      <c r="N1034" t="str">
        <f>IF(logistics_data[[#This Row],[Orginal staus of shipment]]&lt;&gt;"Delivered","not applicabel", IF(logistics_data[[#This Row],[Transit_Days]]&gt;=5,"slow","fast"))</f>
        <v>fast</v>
      </c>
    </row>
    <row r="1035" spans="1:14" x14ac:dyDescent="0.3">
      <c r="A1035" t="s">
        <v>1081</v>
      </c>
      <c r="B1035" t="s">
        <v>51</v>
      </c>
      <c r="C1035" t="s">
        <v>52</v>
      </c>
      <c r="D1035" t="s">
        <v>25</v>
      </c>
      <c r="E1035" s="1">
        <v>45283</v>
      </c>
      <c r="F1035" s="1">
        <v>45285</v>
      </c>
      <c r="G1035">
        <v>20.2</v>
      </c>
      <c r="H1035">
        <v>82.02</v>
      </c>
      <c r="I1035" t="s">
        <v>15</v>
      </c>
      <c r="J1035">
        <v>426</v>
      </c>
      <c r="K1035">
        <v>2</v>
      </c>
      <c r="L1035" t="str">
        <f>IF(logistics_data[[#This Row],[Delivery_Date]]="","In Transit",
 IF(logistics_data[[#This Row],[Status]]="Lost","Lost",
 IF(logistics_data[[#This Row],[Status]]="Returned","Returned",
 IF(logistics_data[[#This Row],[Status]]="Delayed","Delayed",
 "Delivered"))))</f>
        <v>Delivered</v>
      </c>
      <c r="M1035" s="2">
        <f>logistics_data[[#This Row],[Cost]]/logistics_data[[#This Row],[Distance_miles]]</f>
        <v>0.19253521126760562</v>
      </c>
      <c r="N1035" t="str">
        <f>IF(logistics_data[[#This Row],[Orginal staus of shipment]]&lt;&gt;"Delivered","not applicabel", IF(logistics_data[[#This Row],[Transit_Days]]&gt;=5,"slow","fast"))</f>
        <v>fast</v>
      </c>
    </row>
    <row r="1036" spans="1:14" x14ac:dyDescent="0.3">
      <c r="A1036" t="s">
        <v>1082</v>
      </c>
      <c r="B1036" t="s">
        <v>56</v>
      </c>
      <c r="C1036" t="s">
        <v>13</v>
      </c>
      <c r="D1036" t="s">
        <v>32</v>
      </c>
      <c r="E1036" s="1">
        <v>45068</v>
      </c>
      <c r="F1036" s="1">
        <v>45073</v>
      </c>
      <c r="G1036">
        <v>22.6</v>
      </c>
      <c r="H1036">
        <v>256.62</v>
      </c>
      <c r="I1036" t="s">
        <v>62</v>
      </c>
      <c r="J1036">
        <v>1708</v>
      </c>
      <c r="K1036">
        <v>5</v>
      </c>
      <c r="L1036" t="str">
        <f>IF(logistics_data[[#This Row],[Delivery_Date]]="","In Transit",
 IF(logistics_data[[#This Row],[Status]]="Lost","Lost",
 IF(logistics_data[[#This Row],[Status]]="Returned","Returned",
 IF(logistics_data[[#This Row],[Status]]="Delayed","Delayed",
 "Delivered"))))</f>
        <v>Delivered</v>
      </c>
      <c r="M1036" s="2">
        <f>logistics_data[[#This Row],[Cost]]/logistics_data[[#This Row],[Distance_miles]]</f>
        <v>0.15024590163934426</v>
      </c>
      <c r="N1036" t="str">
        <f>IF(logistics_data[[#This Row],[Orginal staus of shipment]]&lt;&gt;"Delivered","not applicabel", IF(logistics_data[[#This Row],[Transit_Days]]&gt;=5,"slow","fast"))</f>
        <v>slow</v>
      </c>
    </row>
    <row r="1037" spans="1:14" x14ac:dyDescent="0.3">
      <c r="A1037" t="s">
        <v>1083</v>
      </c>
      <c r="B1037" t="s">
        <v>23</v>
      </c>
      <c r="C1037" t="s">
        <v>31</v>
      </c>
      <c r="D1037" t="s">
        <v>25</v>
      </c>
      <c r="E1037" s="1">
        <v>45283</v>
      </c>
      <c r="F1037" s="1">
        <v>45292</v>
      </c>
      <c r="G1037">
        <v>15.2</v>
      </c>
      <c r="H1037">
        <v>261.44</v>
      </c>
      <c r="I1037" t="s">
        <v>47</v>
      </c>
      <c r="J1037">
        <v>1561</v>
      </c>
      <c r="K1037">
        <v>3</v>
      </c>
      <c r="L1037" t="str">
        <f>IF(logistics_data[[#This Row],[Delivery_Date]]="","In Transit",
 IF(logistics_data[[#This Row],[Status]]="Lost","Lost",
 IF(logistics_data[[#This Row],[Status]]="Returned","Returned",
 IF(logistics_data[[#This Row],[Status]]="Delayed","Delayed",
 "Delivered"))))</f>
        <v>Delayed</v>
      </c>
      <c r="M1037" s="2">
        <f>logistics_data[[#This Row],[Cost]]/logistics_data[[#This Row],[Distance_miles]]</f>
        <v>0.16748238308776425</v>
      </c>
      <c r="N1037" t="str">
        <f>IF(logistics_data[[#This Row],[Orginal staus of shipment]]&lt;&gt;"Delivered","not applicabel", IF(logistics_data[[#This Row],[Transit_Days]]&gt;=5,"slow","fast"))</f>
        <v>not applicabel</v>
      </c>
    </row>
    <row r="1038" spans="1:14" x14ac:dyDescent="0.3">
      <c r="A1038" t="s">
        <v>1084</v>
      </c>
      <c r="B1038" t="s">
        <v>35</v>
      </c>
      <c r="C1038" t="s">
        <v>52</v>
      </c>
      <c r="D1038" t="s">
        <v>25</v>
      </c>
      <c r="E1038" s="1">
        <v>45086</v>
      </c>
      <c r="F1038" s="1">
        <v>45100</v>
      </c>
      <c r="G1038">
        <v>18.399999999999999</v>
      </c>
      <c r="H1038">
        <v>156.75</v>
      </c>
      <c r="I1038" t="s">
        <v>47</v>
      </c>
      <c r="J1038">
        <v>1064</v>
      </c>
      <c r="K1038">
        <v>5</v>
      </c>
      <c r="L1038" t="str">
        <f>IF(logistics_data[[#This Row],[Delivery_Date]]="","In Transit",
 IF(logistics_data[[#This Row],[Status]]="Lost","Lost",
 IF(logistics_data[[#This Row],[Status]]="Returned","Returned",
 IF(logistics_data[[#This Row],[Status]]="Delayed","Delayed",
 "Delivered"))))</f>
        <v>Delayed</v>
      </c>
      <c r="M1038" s="2">
        <f>logistics_data[[#This Row],[Cost]]/logistics_data[[#This Row],[Distance_miles]]</f>
        <v>0.14732142857142858</v>
      </c>
      <c r="N1038" t="str">
        <f>IF(logistics_data[[#This Row],[Orginal staus of shipment]]&lt;&gt;"Delivered","not applicabel", IF(logistics_data[[#This Row],[Transit_Days]]&gt;=5,"slow","fast"))</f>
        <v>not applicabel</v>
      </c>
    </row>
    <row r="1039" spans="1:14" x14ac:dyDescent="0.3">
      <c r="A1039" t="s">
        <v>1085</v>
      </c>
      <c r="B1039" t="s">
        <v>20</v>
      </c>
      <c r="C1039" t="s">
        <v>44</v>
      </c>
      <c r="D1039" t="s">
        <v>18</v>
      </c>
      <c r="E1039" s="1">
        <v>45000</v>
      </c>
      <c r="F1039" s="1">
        <v>45005</v>
      </c>
      <c r="G1039">
        <v>14.7</v>
      </c>
      <c r="H1039">
        <v>292.83</v>
      </c>
      <c r="I1039" t="s">
        <v>15</v>
      </c>
      <c r="J1039">
        <v>1842</v>
      </c>
      <c r="K1039">
        <v>5</v>
      </c>
      <c r="L1039" t="str">
        <f>IF(logistics_data[[#This Row],[Delivery_Date]]="","In Transit",
 IF(logistics_data[[#This Row],[Status]]="Lost","Lost",
 IF(logistics_data[[#This Row],[Status]]="Returned","Returned",
 IF(logistics_data[[#This Row],[Status]]="Delayed","Delayed",
 "Delivered"))))</f>
        <v>Delivered</v>
      </c>
      <c r="M1039" s="2">
        <f>logistics_data[[#This Row],[Cost]]/logistics_data[[#This Row],[Distance_miles]]</f>
        <v>0.15897394136807816</v>
      </c>
      <c r="N1039" t="str">
        <f>IF(logistics_data[[#This Row],[Orginal staus of shipment]]&lt;&gt;"Delivered","not applicabel", IF(logistics_data[[#This Row],[Transit_Days]]&gt;=5,"slow","fast"))</f>
        <v>slow</v>
      </c>
    </row>
    <row r="1040" spans="1:14" x14ac:dyDescent="0.3">
      <c r="A1040" t="s">
        <v>1086</v>
      </c>
      <c r="B1040" t="s">
        <v>30</v>
      </c>
      <c r="C1040" t="s">
        <v>24</v>
      </c>
      <c r="D1040" t="s">
        <v>42</v>
      </c>
      <c r="E1040" s="1">
        <v>45204</v>
      </c>
      <c r="F1040" s="1">
        <v>45210</v>
      </c>
      <c r="G1040">
        <v>41.9</v>
      </c>
      <c r="H1040">
        <v>129.63999999999999</v>
      </c>
      <c r="I1040" t="s">
        <v>15</v>
      </c>
      <c r="J1040">
        <v>670</v>
      </c>
      <c r="K1040">
        <v>6</v>
      </c>
      <c r="L1040" t="str">
        <f>IF(logistics_data[[#This Row],[Delivery_Date]]="","In Transit",
 IF(logistics_data[[#This Row],[Status]]="Lost","Lost",
 IF(logistics_data[[#This Row],[Status]]="Returned","Returned",
 IF(logistics_data[[#This Row],[Status]]="Delayed","Delayed",
 "Delivered"))))</f>
        <v>Delivered</v>
      </c>
      <c r="M1040" s="2">
        <f>logistics_data[[#This Row],[Cost]]/logistics_data[[#This Row],[Distance_miles]]</f>
        <v>0.19349253731343283</v>
      </c>
      <c r="N1040" t="str">
        <f>IF(logistics_data[[#This Row],[Orginal staus of shipment]]&lt;&gt;"Delivered","not applicabel", IF(logistics_data[[#This Row],[Transit_Days]]&gt;=5,"slow","fast"))</f>
        <v>slow</v>
      </c>
    </row>
    <row r="1041" spans="1:14" x14ac:dyDescent="0.3">
      <c r="A1041" t="s">
        <v>1087</v>
      </c>
      <c r="B1041" t="s">
        <v>27</v>
      </c>
      <c r="C1041" t="s">
        <v>17</v>
      </c>
      <c r="D1041" t="s">
        <v>14</v>
      </c>
      <c r="E1041" s="1">
        <v>45203</v>
      </c>
      <c r="F1041" s="1">
        <v>45207</v>
      </c>
      <c r="G1041">
        <v>9.4</v>
      </c>
      <c r="H1041">
        <v>208.22</v>
      </c>
      <c r="I1041" t="s">
        <v>15</v>
      </c>
      <c r="J1041">
        <v>1675</v>
      </c>
      <c r="K1041">
        <v>4</v>
      </c>
      <c r="L1041" t="str">
        <f>IF(logistics_data[[#This Row],[Delivery_Date]]="","In Transit",
 IF(logistics_data[[#This Row],[Status]]="Lost","Lost",
 IF(logistics_data[[#This Row],[Status]]="Returned","Returned",
 IF(logistics_data[[#This Row],[Status]]="Delayed","Delayed",
 "Delivered"))))</f>
        <v>Delivered</v>
      </c>
      <c r="M1041" s="2">
        <f>logistics_data[[#This Row],[Cost]]/logistics_data[[#This Row],[Distance_miles]]</f>
        <v>0.12431044776119403</v>
      </c>
      <c r="N1041" t="str">
        <f>IF(logistics_data[[#This Row],[Orginal staus of shipment]]&lt;&gt;"Delivered","not applicabel", IF(logistics_data[[#This Row],[Transit_Days]]&gt;=5,"slow","fast"))</f>
        <v>fast</v>
      </c>
    </row>
    <row r="1042" spans="1:14" x14ac:dyDescent="0.3">
      <c r="A1042" t="s">
        <v>1088</v>
      </c>
      <c r="B1042" t="s">
        <v>35</v>
      </c>
      <c r="C1042" t="s">
        <v>46</v>
      </c>
      <c r="D1042" t="s">
        <v>32</v>
      </c>
      <c r="E1042" s="1">
        <v>45174</v>
      </c>
      <c r="F1042" s="1">
        <v>45184</v>
      </c>
      <c r="G1042">
        <v>8.4</v>
      </c>
      <c r="H1042">
        <v>237.7</v>
      </c>
      <c r="I1042" t="s">
        <v>47</v>
      </c>
      <c r="J1042">
        <v>1854</v>
      </c>
      <c r="K1042">
        <v>5</v>
      </c>
      <c r="L1042" t="str">
        <f>IF(logistics_data[[#This Row],[Delivery_Date]]="","In Transit",
 IF(logistics_data[[#This Row],[Status]]="Lost","Lost",
 IF(logistics_data[[#This Row],[Status]]="Returned","Returned",
 IF(logistics_data[[#This Row],[Status]]="Delayed","Delayed",
 "Delivered"))))</f>
        <v>Delayed</v>
      </c>
      <c r="M1042" s="2">
        <f>logistics_data[[#This Row],[Cost]]/logistics_data[[#This Row],[Distance_miles]]</f>
        <v>0.12820927723840345</v>
      </c>
      <c r="N1042" t="str">
        <f>IF(logistics_data[[#This Row],[Orginal staus of shipment]]&lt;&gt;"Delivered","not applicabel", IF(logistics_data[[#This Row],[Transit_Days]]&gt;=5,"slow","fast"))</f>
        <v>not applicabel</v>
      </c>
    </row>
    <row r="1043" spans="1:14" x14ac:dyDescent="0.3">
      <c r="A1043" t="s">
        <v>1089</v>
      </c>
      <c r="B1043" t="s">
        <v>12</v>
      </c>
      <c r="C1043" t="s">
        <v>13</v>
      </c>
      <c r="D1043" t="s">
        <v>18</v>
      </c>
      <c r="E1043" s="1">
        <v>45024</v>
      </c>
      <c r="F1043" s="1">
        <v>45031</v>
      </c>
      <c r="G1043">
        <v>20.5</v>
      </c>
      <c r="H1043">
        <v>369.7</v>
      </c>
      <c r="I1043" t="s">
        <v>15</v>
      </c>
      <c r="J1043">
        <v>2249</v>
      </c>
      <c r="K1043">
        <v>7</v>
      </c>
      <c r="L1043" t="str">
        <f>IF(logistics_data[[#This Row],[Delivery_Date]]="","In Transit",
 IF(logistics_data[[#This Row],[Status]]="Lost","Lost",
 IF(logistics_data[[#This Row],[Status]]="Returned","Returned",
 IF(logistics_data[[#This Row],[Status]]="Delayed","Delayed",
 "Delivered"))))</f>
        <v>Delivered</v>
      </c>
      <c r="M1043" s="2">
        <f>logistics_data[[#This Row],[Cost]]/logistics_data[[#This Row],[Distance_miles]]</f>
        <v>0.16438417074255224</v>
      </c>
      <c r="N1043" t="str">
        <f>IF(logistics_data[[#This Row],[Orginal staus of shipment]]&lt;&gt;"Delivered","not applicabel", IF(logistics_data[[#This Row],[Transit_Days]]&gt;=5,"slow","fast"))</f>
        <v>slow</v>
      </c>
    </row>
    <row r="1044" spans="1:14" x14ac:dyDescent="0.3">
      <c r="A1044" t="s">
        <v>1090</v>
      </c>
      <c r="B1044" t="s">
        <v>27</v>
      </c>
      <c r="C1044" t="s">
        <v>54</v>
      </c>
      <c r="D1044" t="s">
        <v>25</v>
      </c>
      <c r="E1044" s="1">
        <v>45092</v>
      </c>
      <c r="F1044" s="1">
        <v>45100</v>
      </c>
      <c r="G1044">
        <v>16.399999999999999</v>
      </c>
      <c r="H1044">
        <v>264.86</v>
      </c>
      <c r="I1044" t="s">
        <v>47</v>
      </c>
      <c r="J1044">
        <v>1947</v>
      </c>
      <c r="K1044">
        <v>4</v>
      </c>
      <c r="L1044" t="str">
        <f>IF(logistics_data[[#This Row],[Delivery_Date]]="","In Transit",
 IF(logistics_data[[#This Row],[Status]]="Lost","Lost",
 IF(logistics_data[[#This Row],[Status]]="Returned","Returned",
 IF(logistics_data[[#This Row],[Status]]="Delayed","Delayed",
 "Delivered"))))</f>
        <v>Delayed</v>
      </c>
      <c r="M1044" s="2">
        <f>logistics_data[[#This Row],[Cost]]/logistics_data[[#This Row],[Distance_miles]]</f>
        <v>0.13603492552645097</v>
      </c>
      <c r="N1044" t="str">
        <f>IF(logistics_data[[#This Row],[Orginal staus of shipment]]&lt;&gt;"Delivered","not applicabel", IF(logistics_data[[#This Row],[Transit_Days]]&gt;=5,"slow","fast"))</f>
        <v>not applicabel</v>
      </c>
    </row>
    <row r="1045" spans="1:14" x14ac:dyDescent="0.3">
      <c r="A1045" t="s">
        <v>1091</v>
      </c>
      <c r="B1045" t="s">
        <v>30</v>
      </c>
      <c r="C1045" t="s">
        <v>36</v>
      </c>
      <c r="D1045" t="s">
        <v>14</v>
      </c>
      <c r="E1045" s="1">
        <v>45290</v>
      </c>
      <c r="F1045" s="1">
        <v>45291</v>
      </c>
      <c r="G1045">
        <v>19.899999999999999</v>
      </c>
      <c r="H1045">
        <v>66.41</v>
      </c>
      <c r="I1045" t="s">
        <v>15</v>
      </c>
      <c r="J1045">
        <v>229</v>
      </c>
      <c r="K1045">
        <v>1</v>
      </c>
      <c r="L1045" t="str">
        <f>IF(logistics_data[[#This Row],[Delivery_Date]]="","In Transit",
 IF(logistics_data[[#This Row],[Status]]="Lost","Lost",
 IF(logistics_data[[#This Row],[Status]]="Returned","Returned",
 IF(logistics_data[[#This Row],[Status]]="Delayed","Delayed",
 "Delivered"))))</f>
        <v>Delivered</v>
      </c>
      <c r="M1045" s="2">
        <f>logistics_data[[#This Row],[Cost]]/logistics_data[[#This Row],[Distance_miles]]</f>
        <v>0.28999999999999998</v>
      </c>
      <c r="N1045" t="str">
        <f>IF(logistics_data[[#This Row],[Orginal staus of shipment]]&lt;&gt;"Delivered","not applicabel", IF(logistics_data[[#This Row],[Transit_Days]]&gt;=5,"slow","fast"))</f>
        <v>fast</v>
      </c>
    </row>
    <row r="1046" spans="1:14" x14ac:dyDescent="0.3">
      <c r="A1046" t="s">
        <v>1092</v>
      </c>
      <c r="B1046" t="s">
        <v>27</v>
      </c>
      <c r="C1046" t="s">
        <v>57</v>
      </c>
      <c r="D1046" t="s">
        <v>59</v>
      </c>
      <c r="E1046" s="1">
        <v>45011</v>
      </c>
      <c r="F1046" s="1">
        <v>45013</v>
      </c>
      <c r="G1046">
        <v>45.5</v>
      </c>
      <c r="H1046">
        <v>87.93</v>
      </c>
      <c r="I1046" t="s">
        <v>15</v>
      </c>
      <c r="J1046">
        <v>399</v>
      </c>
      <c r="K1046">
        <v>2</v>
      </c>
      <c r="L1046" t="str">
        <f>IF(logistics_data[[#This Row],[Delivery_Date]]="","In Transit",
 IF(logistics_data[[#This Row],[Status]]="Lost","Lost",
 IF(logistics_data[[#This Row],[Status]]="Returned","Returned",
 IF(logistics_data[[#This Row],[Status]]="Delayed","Delayed",
 "Delivered"))))</f>
        <v>Delivered</v>
      </c>
      <c r="M1046" s="2">
        <f>logistics_data[[#This Row],[Cost]]/logistics_data[[#This Row],[Distance_miles]]</f>
        <v>0.22037593984962409</v>
      </c>
      <c r="N1046" t="str">
        <f>IF(logistics_data[[#This Row],[Orginal staus of shipment]]&lt;&gt;"Delivered","not applicabel", IF(logistics_data[[#This Row],[Transit_Days]]&gt;=5,"slow","fast"))</f>
        <v>fast</v>
      </c>
    </row>
    <row r="1047" spans="1:14" x14ac:dyDescent="0.3">
      <c r="A1047" t="s">
        <v>1093</v>
      </c>
      <c r="B1047" t="s">
        <v>49</v>
      </c>
      <c r="C1047" t="s">
        <v>70</v>
      </c>
      <c r="D1047" t="s">
        <v>42</v>
      </c>
      <c r="E1047" s="1">
        <v>45161</v>
      </c>
      <c r="F1047" s="1">
        <v>45164</v>
      </c>
      <c r="G1047">
        <v>31.8</v>
      </c>
      <c r="H1047">
        <v>101.3</v>
      </c>
      <c r="I1047" t="s">
        <v>62</v>
      </c>
      <c r="J1047">
        <v>519</v>
      </c>
      <c r="K1047">
        <v>3</v>
      </c>
      <c r="L1047" t="str">
        <f>IF(logistics_data[[#This Row],[Delivery_Date]]="","In Transit",
 IF(logistics_data[[#This Row],[Status]]="Lost","Lost",
 IF(logistics_data[[#This Row],[Status]]="Returned","Returned",
 IF(logistics_data[[#This Row],[Status]]="Delayed","Delayed",
 "Delivered"))))</f>
        <v>Delivered</v>
      </c>
      <c r="M1047" s="2">
        <f>logistics_data[[#This Row],[Cost]]/logistics_data[[#This Row],[Distance_miles]]</f>
        <v>0.19518304431599229</v>
      </c>
      <c r="N1047" t="str">
        <f>IF(logistics_data[[#This Row],[Orginal staus of shipment]]&lt;&gt;"Delivered","not applicabel", IF(logistics_data[[#This Row],[Transit_Days]]&gt;=5,"slow","fast"))</f>
        <v>fast</v>
      </c>
    </row>
    <row r="1048" spans="1:14" x14ac:dyDescent="0.3">
      <c r="A1048" t="s">
        <v>1094</v>
      </c>
      <c r="B1048" t="s">
        <v>20</v>
      </c>
      <c r="C1048" t="s">
        <v>21</v>
      </c>
      <c r="D1048" t="s">
        <v>32</v>
      </c>
      <c r="E1048" s="1">
        <v>44977</v>
      </c>
      <c r="F1048" s="1">
        <v>44981</v>
      </c>
      <c r="G1048">
        <v>20.3</v>
      </c>
      <c r="H1048">
        <v>232.45</v>
      </c>
      <c r="I1048" t="s">
        <v>15</v>
      </c>
      <c r="J1048">
        <v>1505</v>
      </c>
      <c r="K1048">
        <v>4</v>
      </c>
      <c r="L1048" t="str">
        <f>IF(logistics_data[[#This Row],[Delivery_Date]]="","In Transit",
 IF(logistics_data[[#This Row],[Status]]="Lost","Lost",
 IF(logistics_data[[#This Row],[Status]]="Returned","Returned",
 IF(logistics_data[[#This Row],[Status]]="Delayed","Delayed",
 "Delivered"))))</f>
        <v>Delivered</v>
      </c>
      <c r="M1048" s="2">
        <f>logistics_data[[#This Row],[Cost]]/logistics_data[[#This Row],[Distance_miles]]</f>
        <v>0.1544518272425249</v>
      </c>
      <c r="N1048" t="str">
        <f>IF(logistics_data[[#This Row],[Orginal staus of shipment]]&lt;&gt;"Delivered","not applicabel", IF(logistics_data[[#This Row],[Transit_Days]]&gt;=5,"slow","fast"))</f>
        <v>fast</v>
      </c>
    </row>
    <row r="1049" spans="1:14" x14ac:dyDescent="0.3">
      <c r="A1049" t="s">
        <v>1095</v>
      </c>
      <c r="B1049" t="s">
        <v>49</v>
      </c>
      <c r="C1049" t="s">
        <v>81</v>
      </c>
      <c r="D1049" t="s">
        <v>14</v>
      </c>
      <c r="E1049" s="1">
        <v>45084</v>
      </c>
      <c r="F1049" s="1">
        <v>45089</v>
      </c>
      <c r="G1049">
        <v>34.299999999999997</v>
      </c>
      <c r="H1049">
        <v>295.73</v>
      </c>
      <c r="I1049" t="s">
        <v>15</v>
      </c>
      <c r="J1049">
        <v>2017</v>
      </c>
      <c r="K1049">
        <v>5</v>
      </c>
      <c r="L1049" t="str">
        <f>IF(logistics_data[[#This Row],[Delivery_Date]]="","In Transit",
 IF(logistics_data[[#This Row],[Status]]="Lost","Lost",
 IF(logistics_data[[#This Row],[Status]]="Returned","Returned",
 IF(logistics_data[[#This Row],[Status]]="Delayed","Delayed",
 "Delivered"))))</f>
        <v>Delivered</v>
      </c>
      <c r="M1049" s="2">
        <f>logistics_data[[#This Row],[Cost]]/logistics_data[[#This Row],[Distance_miles]]</f>
        <v>0.14661874070401587</v>
      </c>
      <c r="N1049" t="str">
        <f>IF(logistics_data[[#This Row],[Orginal staus of shipment]]&lt;&gt;"Delivered","not applicabel", IF(logistics_data[[#This Row],[Transit_Days]]&gt;=5,"slow","fast"))</f>
        <v>slow</v>
      </c>
    </row>
    <row r="1050" spans="1:14" x14ac:dyDescent="0.3">
      <c r="A1050" t="s">
        <v>1096</v>
      </c>
      <c r="B1050" t="s">
        <v>51</v>
      </c>
      <c r="C1050" t="s">
        <v>52</v>
      </c>
      <c r="D1050" t="s">
        <v>37</v>
      </c>
      <c r="E1050" s="1">
        <v>45027</v>
      </c>
      <c r="F1050" s="1">
        <v>45034</v>
      </c>
      <c r="G1050">
        <v>12.7</v>
      </c>
      <c r="H1050">
        <v>285.48</v>
      </c>
      <c r="I1050" t="s">
        <v>60</v>
      </c>
      <c r="J1050">
        <v>2264</v>
      </c>
      <c r="K1050">
        <v>7</v>
      </c>
      <c r="L1050" t="str">
        <f>IF(logistics_data[[#This Row],[Delivery_Date]]="","In Transit",
 IF(logistics_data[[#This Row],[Status]]="Lost","Lost",
 IF(logistics_data[[#This Row],[Status]]="Returned","Returned",
 IF(logistics_data[[#This Row],[Status]]="Delayed","Delayed",
 "Delivered"))))</f>
        <v>Lost</v>
      </c>
      <c r="M1050" s="2">
        <f>logistics_data[[#This Row],[Cost]]/logistics_data[[#This Row],[Distance_miles]]</f>
        <v>0.12609540636042404</v>
      </c>
      <c r="N1050" t="str">
        <f>IF(logistics_data[[#This Row],[Orginal staus of shipment]]&lt;&gt;"Delivered","not applicabel", IF(logistics_data[[#This Row],[Transit_Days]]&gt;=5,"slow","fast"))</f>
        <v>not applicabel</v>
      </c>
    </row>
    <row r="1051" spans="1:14" x14ac:dyDescent="0.3">
      <c r="A1051" t="s">
        <v>1097</v>
      </c>
      <c r="B1051" t="s">
        <v>27</v>
      </c>
      <c r="C1051" t="s">
        <v>13</v>
      </c>
      <c r="D1051" t="s">
        <v>59</v>
      </c>
      <c r="E1051" s="1">
        <v>45236</v>
      </c>
      <c r="F1051" s="1">
        <v>45241</v>
      </c>
      <c r="G1051">
        <v>53.3</v>
      </c>
      <c r="H1051">
        <v>343.47</v>
      </c>
      <c r="I1051" t="s">
        <v>15</v>
      </c>
      <c r="J1051">
        <v>2222</v>
      </c>
      <c r="K1051">
        <v>5</v>
      </c>
      <c r="L1051" t="str">
        <f>IF(logistics_data[[#This Row],[Delivery_Date]]="","In Transit",
 IF(logistics_data[[#This Row],[Status]]="Lost","Lost",
 IF(logistics_data[[#This Row],[Status]]="Returned","Returned",
 IF(logistics_data[[#This Row],[Status]]="Delayed","Delayed",
 "Delivered"))))</f>
        <v>Delivered</v>
      </c>
      <c r="M1051" s="2">
        <f>logistics_data[[#This Row],[Cost]]/logistics_data[[#This Row],[Distance_miles]]</f>
        <v>0.1545769576957696</v>
      </c>
      <c r="N1051" t="str">
        <f>IF(logistics_data[[#This Row],[Orginal staus of shipment]]&lt;&gt;"Delivered","not applicabel", IF(logistics_data[[#This Row],[Transit_Days]]&gt;=5,"slow","fast"))</f>
        <v>slow</v>
      </c>
    </row>
    <row r="1052" spans="1:14" x14ac:dyDescent="0.3">
      <c r="A1052" t="s">
        <v>1098</v>
      </c>
      <c r="B1052" t="s">
        <v>56</v>
      </c>
      <c r="C1052" t="s">
        <v>28</v>
      </c>
      <c r="D1052" t="s">
        <v>25</v>
      </c>
      <c r="E1052" s="1">
        <v>45203</v>
      </c>
      <c r="F1052" s="1">
        <v>45209</v>
      </c>
      <c r="G1052">
        <v>85.3</v>
      </c>
      <c r="H1052">
        <v>406.22</v>
      </c>
      <c r="I1052" t="s">
        <v>15</v>
      </c>
      <c r="J1052">
        <v>2470</v>
      </c>
      <c r="K1052">
        <v>6</v>
      </c>
      <c r="L1052" t="str">
        <f>IF(logistics_data[[#This Row],[Delivery_Date]]="","In Transit",
 IF(logistics_data[[#This Row],[Status]]="Lost","Lost",
 IF(logistics_data[[#This Row],[Status]]="Returned","Returned",
 IF(logistics_data[[#This Row],[Status]]="Delayed","Delayed",
 "Delivered"))))</f>
        <v>Delivered</v>
      </c>
      <c r="M1052" s="2">
        <f>logistics_data[[#This Row],[Cost]]/logistics_data[[#This Row],[Distance_miles]]</f>
        <v>0.16446153846153846</v>
      </c>
      <c r="N1052" t="str">
        <f>IF(logistics_data[[#This Row],[Orginal staus of shipment]]&lt;&gt;"Delivered","not applicabel", IF(logistics_data[[#This Row],[Transit_Days]]&gt;=5,"slow","fast"))</f>
        <v>slow</v>
      </c>
    </row>
    <row r="1053" spans="1:14" x14ac:dyDescent="0.3">
      <c r="A1053" t="s">
        <v>1099</v>
      </c>
      <c r="B1053" t="s">
        <v>27</v>
      </c>
      <c r="C1053" t="s">
        <v>81</v>
      </c>
      <c r="D1053" t="s">
        <v>18</v>
      </c>
      <c r="E1053" s="1">
        <v>45154</v>
      </c>
      <c r="F1053" s="1">
        <v>45158</v>
      </c>
      <c r="G1053">
        <v>18.100000000000001</v>
      </c>
      <c r="H1053">
        <v>205.49</v>
      </c>
      <c r="I1053" t="s">
        <v>15</v>
      </c>
      <c r="J1053">
        <v>1418</v>
      </c>
      <c r="K1053">
        <v>4</v>
      </c>
      <c r="L1053" t="str">
        <f>IF(logistics_data[[#This Row],[Delivery_Date]]="","In Transit",
 IF(logistics_data[[#This Row],[Status]]="Lost","Lost",
 IF(logistics_data[[#This Row],[Status]]="Returned","Returned",
 IF(logistics_data[[#This Row],[Status]]="Delayed","Delayed",
 "Delivered"))))</f>
        <v>Delivered</v>
      </c>
      <c r="M1053" s="2">
        <f>logistics_data[[#This Row],[Cost]]/logistics_data[[#This Row],[Distance_miles]]</f>
        <v>0.14491537376586744</v>
      </c>
      <c r="N1053" t="str">
        <f>IF(logistics_data[[#This Row],[Orginal staus of shipment]]&lt;&gt;"Delivered","not applicabel", IF(logistics_data[[#This Row],[Transit_Days]]&gt;=5,"slow","fast"))</f>
        <v>fast</v>
      </c>
    </row>
    <row r="1054" spans="1:14" x14ac:dyDescent="0.3">
      <c r="A1054" t="s">
        <v>1100</v>
      </c>
      <c r="B1054" t="s">
        <v>51</v>
      </c>
      <c r="C1054" t="s">
        <v>28</v>
      </c>
      <c r="D1054" t="s">
        <v>18</v>
      </c>
      <c r="E1054" s="1">
        <v>45154</v>
      </c>
      <c r="F1054" s="1">
        <v>45161</v>
      </c>
      <c r="G1054">
        <v>8.1999999999999993</v>
      </c>
      <c r="H1054">
        <v>257.45</v>
      </c>
      <c r="I1054" t="s">
        <v>15</v>
      </c>
      <c r="J1054">
        <v>1838</v>
      </c>
      <c r="K1054">
        <v>7</v>
      </c>
      <c r="L1054" t="str">
        <f>IF(logistics_data[[#This Row],[Delivery_Date]]="","In Transit",
 IF(logistics_data[[#This Row],[Status]]="Lost","Lost",
 IF(logistics_data[[#This Row],[Status]]="Returned","Returned",
 IF(logistics_data[[#This Row],[Status]]="Delayed","Delayed",
 "Delivered"))))</f>
        <v>Delivered</v>
      </c>
      <c r="M1054" s="2">
        <f>logistics_data[[#This Row],[Cost]]/logistics_data[[#This Row],[Distance_miles]]</f>
        <v>0.14007072905331883</v>
      </c>
      <c r="N1054" t="str">
        <f>IF(logistics_data[[#This Row],[Orginal staus of shipment]]&lt;&gt;"Delivered","not applicabel", IF(logistics_data[[#This Row],[Transit_Days]]&gt;=5,"slow","fast"))</f>
        <v>slow</v>
      </c>
    </row>
    <row r="1055" spans="1:14" x14ac:dyDescent="0.3">
      <c r="A1055" t="s">
        <v>1101</v>
      </c>
      <c r="B1055" t="s">
        <v>56</v>
      </c>
      <c r="C1055" t="s">
        <v>17</v>
      </c>
      <c r="D1055" t="s">
        <v>42</v>
      </c>
      <c r="E1055" s="1">
        <v>44940</v>
      </c>
      <c r="F1055" s="1">
        <v>44941</v>
      </c>
      <c r="G1055">
        <v>14.4</v>
      </c>
      <c r="H1055">
        <v>50.76</v>
      </c>
      <c r="I1055" t="s">
        <v>15</v>
      </c>
      <c r="J1055">
        <v>253</v>
      </c>
      <c r="K1055">
        <v>1</v>
      </c>
      <c r="L1055" t="str">
        <f>IF(logistics_data[[#This Row],[Delivery_Date]]="","In Transit",
 IF(logistics_data[[#This Row],[Status]]="Lost","Lost",
 IF(logistics_data[[#This Row],[Status]]="Returned","Returned",
 IF(logistics_data[[#This Row],[Status]]="Delayed","Delayed",
 "Delivered"))))</f>
        <v>Delivered</v>
      </c>
      <c r="M1055" s="2">
        <f>logistics_data[[#This Row],[Cost]]/logistics_data[[#This Row],[Distance_miles]]</f>
        <v>0.20063241106719368</v>
      </c>
      <c r="N1055" t="str">
        <f>IF(logistics_data[[#This Row],[Orginal staus of shipment]]&lt;&gt;"Delivered","not applicabel", IF(logistics_data[[#This Row],[Transit_Days]]&gt;=5,"slow","fast"))</f>
        <v>fast</v>
      </c>
    </row>
    <row r="1056" spans="1:14" x14ac:dyDescent="0.3">
      <c r="A1056" t="s">
        <v>1102</v>
      </c>
      <c r="B1056" t="s">
        <v>56</v>
      </c>
      <c r="C1056" t="s">
        <v>21</v>
      </c>
      <c r="D1056" t="s">
        <v>42</v>
      </c>
      <c r="E1056" s="1">
        <v>45283</v>
      </c>
      <c r="F1056" s="1">
        <v>45287</v>
      </c>
      <c r="G1056">
        <v>4.3</v>
      </c>
      <c r="H1056">
        <v>218.11</v>
      </c>
      <c r="I1056" t="s">
        <v>15</v>
      </c>
      <c r="J1056">
        <v>1565</v>
      </c>
      <c r="K1056">
        <v>4</v>
      </c>
      <c r="L1056" t="str">
        <f>IF(logistics_data[[#This Row],[Delivery_Date]]="","In Transit",
 IF(logistics_data[[#This Row],[Status]]="Lost","Lost",
 IF(logistics_data[[#This Row],[Status]]="Returned","Returned",
 IF(logistics_data[[#This Row],[Status]]="Delayed","Delayed",
 "Delivered"))))</f>
        <v>Delivered</v>
      </c>
      <c r="M1056" s="2">
        <f>logistics_data[[#This Row],[Cost]]/logistics_data[[#This Row],[Distance_miles]]</f>
        <v>0.13936741214057508</v>
      </c>
      <c r="N1056" t="str">
        <f>IF(logistics_data[[#This Row],[Orginal staus of shipment]]&lt;&gt;"Delivered","not applicabel", IF(logistics_data[[#This Row],[Transit_Days]]&gt;=5,"slow","fast"))</f>
        <v>fast</v>
      </c>
    </row>
    <row r="1057" spans="1:14" x14ac:dyDescent="0.3">
      <c r="A1057" t="s">
        <v>1103</v>
      </c>
      <c r="B1057" t="s">
        <v>30</v>
      </c>
      <c r="C1057" t="s">
        <v>17</v>
      </c>
      <c r="D1057" t="s">
        <v>25</v>
      </c>
      <c r="E1057" s="1">
        <v>45179</v>
      </c>
      <c r="F1057" s="1">
        <v>45183</v>
      </c>
      <c r="G1057">
        <v>57.1</v>
      </c>
      <c r="H1057">
        <v>259.94</v>
      </c>
      <c r="I1057" t="s">
        <v>15</v>
      </c>
      <c r="J1057">
        <v>1447</v>
      </c>
      <c r="K1057">
        <v>4</v>
      </c>
      <c r="L1057" t="str">
        <f>IF(logistics_data[[#This Row],[Delivery_Date]]="","In Transit",
 IF(logistics_data[[#This Row],[Status]]="Lost","Lost",
 IF(logistics_data[[#This Row],[Status]]="Returned","Returned",
 IF(logistics_data[[#This Row],[Status]]="Delayed","Delayed",
 "Delivered"))))</f>
        <v>Delivered</v>
      </c>
      <c r="M1057" s="2">
        <f>logistics_data[[#This Row],[Cost]]/logistics_data[[#This Row],[Distance_miles]]</f>
        <v>0.17964063579820319</v>
      </c>
      <c r="N1057" t="str">
        <f>IF(logistics_data[[#This Row],[Orginal staus of shipment]]&lt;&gt;"Delivered","not applicabel", IF(logistics_data[[#This Row],[Transit_Days]]&gt;=5,"slow","fast"))</f>
        <v>fast</v>
      </c>
    </row>
    <row r="1058" spans="1:14" x14ac:dyDescent="0.3">
      <c r="A1058" t="s">
        <v>1104</v>
      </c>
      <c r="B1058" t="s">
        <v>23</v>
      </c>
      <c r="C1058" t="s">
        <v>31</v>
      </c>
      <c r="D1058" t="s">
        <v>14</v>
      </c>
      <c r="E1058" s="1">
        <v>45143</v>
      </c>
      <c r="F1058" s="1">
        <v>45146</v>
      </c>
      <c r="G1058">
        <v>18</v>
      </c>
      <c r="H1058">
        <v>63.23</v>
      </c>
      <c r="I1058" t="s">
        <v>15</v>
      </c>
      <c r="J1058">
        <v>312</v>
      </c>
      <c r="K1058">
        <v>3</v>
      </c>
      <c r="L1058" t="str">
        <f>IF(logistics_data[[#This Row],[Delivery_Date]]="","In Transit",
 IF(logistics_data[[#This Row],[Status]]="Lost","Lost",
 IF(logistics_data[[#This Row],[Status]]="Returned","Returned",
 IF(logistics_data[[#This Row],[Status]]="Delayed","Delayed",
 "Delivered"))))</f>
        <v>Delivered</v>
      </c>
      <c r="M1058" s="2">
        <f>logistics_data[[#This Row],[Cost]]/logistics_data[[#This Row],[Distance_miles]]</f>
        <v>0.2026602564102564</v>
      </c>
      <c r="N1058" t="str">
        <f>IF(logistics_data[[#This Row],[Orginal staus of shipment]]&lt;&gt;"Delivered","not applicabel", IF(logistics_data[[#This Row],[Transit_Days]]&gt;=5,"slow","fast"))</f>
        <v>fast</v>
      </c>
    </row>
    <row r="1059" spans="1:14" x14ac:dyDescent="0.3">
      <c r="A1059" t="s">
        <v>1105</v>
      </c>
      <c r="B1059" t="s">
        <v>23</v>
      </c>
      <c r="C1059" t="s">
        <v>52</v>
      </c>
      <c r="D1059" t="s">
        <v>42</v>
      </c>
      <c r="E1059" s="1">
        <v>45125</v>
      </c>
      <c r="F1059" s="1">
        <v>45126</v>
      </c>
      <c r="G1059">
        <v>27.5</v>
      </c>
      <c r="H1059">
        <v>41.66</v>
      </c>
      <c r="I1059" t="s">
        <v>15</v>
      </c>
      <c r="J1059">
        <v>101</v>
      </c>
      <c r="K1059">
        <v>1</v>
      </c>
      <c r="L1059" t="str">
        <f>IF(logistics_data[[#This Row],[Delivery_Date]]="","In Transit",
 IF(logistics_data[[#This Row],[Status]]="Lost","Lost",
 IF(logistics_data[[#This Row],[Status]]="Returned","Returned",
 IF(logistics_data[[#This Row],[Status]]="Delayed","Delayed",
 "Delivered"))))</f>
        <v>Delivered</v>
      </c>
      <c r="M1059" s="2">
        <f>logistics_data[[#This Row],[Cost]]/logistics_data[[#This Row],[Distance_miles]]</f>
        <v>0.41247524752475245</v>
      </c>
      <c r="N1059" t="str">
        <f>IF(logistics_data[[#This Row],[Orginal staus of shipment]]&lt;&gt;"Delivered","not applicabel", IF(logistics_data[[#This Row],[Transit_Days]]&gt;=5,"slow","fast"))</f>
        <v>fast</v>
      </c>
    </row>
    <row r="1060" spans="1:14" x14ac:dyDescent="0.3">
      <c r="A1060" t="s">
        <v>1106</v>
      </c>
      <c r="B1060" t="s">
        <v>56</v>
      </c>
      <c r="C1060" t="s">
        <v>81</v>
      </c>
      <c r="D1060" t="s">
        <v>25</v>
      </c>
      <c r="E1060" s="1">
        <v>44943</v>
      </c>
      <c r="F1060" s="1">
        <v>44947</v>
      </c>
      <c r="G1060">
        <v>20.7</v>
      </c>
      <c r="H1060">
        <v>179.54</v>
      </c>
      <c r="I1060" t="s">
        <v>15</v>
      </c>
      <c r="J1060">
        <v>1413</v>
      </c>
      <c r="K1060">
        <v>4</v>
      </c>
      <c r="L1060" t="str">
        <f>IF(logistics_data[[#This Row],[Delivery_Date]]="","In Transit",
 IF(logistics_data[[#This Row],[Status]]="Lost","Lost",
 IF(logistics_data[[#This Row],[Status]]="Returned","Returned",
 IF(logistics_data[[#This Row],[Status]]="Delayed","Delayed",
 "Delivered"))))</f>
        <v>Delivered</v>
      </c>
      <c r="M1060" s="2">
        <f>logistics_data[[#This Row],[Cost]]/logistics_data[[#This Row],[Distance_miles]]</f>
        <v>0.1270629865534324</v>
      </c>
      <c r="N1060" t="str">
        <f>IF(logistics_data[[#This Row],[Orginal staus of shipment]]&lt;&gt;"Delivered","not applicabel", IF(logistics_data[[#This Row],[Transit_Days]]&gt;=5,"slow","fast"))</f>
        <v>fast</v>
      </c>
    </row>
    <row r="1061" spans="1:14" x14ac:dyDescent="0.3">
      <c r="A1061" t="s">
        <v>1107</v>
      </c>
      <c r="B1061" t="s">
        <v>39</v>
      </c>
      <c r="C1061" t="s">
        <v>24</v>
      </c>
      <c r="D1061" t="s">
        <v>32</v>
      </c>
      <c r="E1061" s="1">
        <v>45048</v>
      </c>
      <c r="F1061" s="1">
        <v>45052</v>
      </c>
      <c r="G1061">
        <v>14.5</v>
      </c>
      <c r="H1061">
        <v>88.92</v>
      </c>
      <c r="I1061" t="s">
        <v>15</v>
      </c>
      <c r="J1061">
        <v>581</v>
      </c>
      <c r="K1061">
        <v>4</v>
      </c>
      <c r="L1061" t="str">
        <f>IF(logistics_data[[#This Row],[Delivery_Date]]="","In Transit",
 IF(logistics_data[[#This Row],[Status]]="Lost","Lost",
 IF(logistics_data[[#This Row],[Status]]="Returned","Returned",
 IF(logistics_data[[#This Row],[Status]]="Delayed","Delayed",
 "Delivered"))))</f>
        <v>Delivered</v>
      </c>
      <c r="M1061" s="2">
        <f>logistics_data[[#This Row],[Cost]]/logistics_data[[#This Row],[Distance_miles]]</f>
        <v>0.15304647160068846</v>
      </c>
      <c r="N1061" t="str">
        <f>IF(logistics_data[[#This Row],[Orginal staus of shipment]]&lt;&gt;"Delivered","not applicabel", IF(logistics_data[[#This Row],[Transit_Days]]&gt;=5,"slow","fast"))</f>
        <v>fast</v>
      </c>
    </row>
    <row r="1062" spans="1:14" x14ac:dyDescent="0.3">
      <c r="A1062" t="s">
        <v>1108</v>
      </c>
      <c r="B1062" t="s">
        <v>51</v>
      </c>
      <c r="C1062" t="s">
        <v>21</v>
      </c>
      <c r="D1062" t="s">
        <v>18</v>
      </c>
      <c r="E1062" s="1">
        <v>45285</v>
      </c>
      <c r="F1062" s="1">
        <v>45294</v>
      </c>
      <c r="G1062">
        <v>9.3000000000000007</v>
      </c>
      <c r="H1062">
        <v>223.05</v>
      </c>
      <c r="I1062" t="s">
        <v>47</v>
      </c>
      <c r="J1062">
        <v>1331</v>
      </c>
      <c r="K1062">
        <v>3</v>
      </c>
      <c r="L1062" t="str">
        <f>IF(logistics_data[[#This Row],[Delivery_Date]]="","In Transit",
 IF(logistics_data[[#This Row],[Status]]="Lost","Lost",
 IF(logistics_data[[#This Row],[Status]]="Returned","Returned",
 IF(logistics_data[[#This Row],[Status]]="Delayed","Delayed",
 "Delivered"))))</f>
        <v>Delayed</v>
      </c>
      <c r="M1062" s="2">
        <f>logistics_data[[#This Row],[Cost]]/logistics_data[[#This Row],[Distance_miles]]</f>
        <v>0.16758076634109692</v>
      </c>
      <c r="N1062" t="str">
        <f>IF(logistics_data[[#This Row],[Orginal staus of shipment]]&lt;&gt;"Delivered","not applicabel", IF(logistics_data[[#This Row],[Transit_Days]]&gt;=5,"slow","fast"))</f>
        <v>not applicabel</v>
      </c>
    </row>
    <row r="1063" spans="1:14" x14ac:dyDescent="0.3">
      <c r="A1063" t="s">
        <v>1109</v>
      </c>
      <c r="B1063" t="s">
        <v>27</v>
      </c>
      <c r="C1063" t="s">
        <v>28</v>
      </c>
      <c r="D1063" t="s">
        <v>14</v>
      </c>
      <c r="E1063" s="1">
        <v>44948</v>
      </c>
      <c r="F1063" s="1">
        <v>44953</v>
      </c>
      <c r="G1063">
        <v>10.3</v>
      </c>
      <c r="H1063">
        <v>237.92</v>
      </c>
      <c r="I1063" t="s">
        <v>15</v>
      </c>
      <c r="J1063">
        <v>1737</v>
      </c>
      <c r="K1063">
        <v>5</v>
      </c>
      <c r="L1063" t="str">
        <f>IF(logistics_data[[#This Row],[Delivery_Date]]="","In Transit",
 IF(logistics_data[[#This Row],[Status]]="Lost","Lost",
 IF(logistics_data[[#This Row],[Status]]="Returned","Returned",
 IF(logistics_data[[#This Row],[Status]]="Delayed","Delayed",
 "Delivered"))))</f>
        <v>Delivered</v>
      </c>
      <c r="M1063" s="2">
        <f>logistics_data[[#This Row],[Cost]]/logistics_data[[#This Row],[Distance_miles]]</f>
        <v>0.13697179044329302</v>
      </c>
      <c r="N1063" t="str">
        <f>IF(logistics_data[[#This Row],[Orginal staus of shipment]]&lt;&gt;"Delivered","not applicabel", IF(logistics_data[[#This Row],[Transit_Days]]&gt;=5,"slow","fast"))</f>
        <v>slow</v>
      </c>
    </row>
    <row r="1064" spans="1:14" x14ac:dyDescent="0.3">
      <c r="A1064" t="s">
        <v>1110</v>
      </c>
      <c r="B1064" t="s">
        <v>39</v>
      </c>
      <c r="C1064" t="s">
        <v>40</v>
      </c>
      <c r="D1064" t="s">
        <v>18</v>
      </c>
      <c r="E1064" s="1">
        <v>45056</v>
      </c>
      <c r="F1064" s="1">
        <v>45068</v>
      </c>
      <c r="G1064">
        <v>31.3</v>
      </c>
      <c r="H1064">
        <v>323.10000000000002</v>
      </c>
      <c r="I1064" t="s">
        <v>47</v>
      </c>
      <c r="J1064">
        <v>1873</v>
      </c>
      <c r="K1064">
        <v>5</v>
      </c>
      <c r="L1064" t="str">
        <f>IF(logistics_data[[#This Row],[Delivery_Date]]="","In Transit",
 IF(logistics_data[[#This Row],[Status]]="Lost","Lost",
 IF(logistics_data[[#This Row],[Status]]="Returned","Returned",
 IF(logistics_data[[#This Row],[Status]]="Delayed","Delayed",
 "Delivered"))))</f>
        <v>Delayed</v>
      </c>
      <c r="M1064" s="2">
        <f>logistics_data[[#This Row],[Cost]]/logistics_data[[#This Row],[Distance_miles]]</f>
        <v>0.17250400427122264</v>
      </c>
      <c r="N1064" t="str">
        <f>IF(logistics_data[[#This Row],[Orginal staus of shipment]]&lt;&gt;"Delivered","not applicabel", IF(logistics_data[[#This Row],[Transit_Days]]&gt;=5,"slow","fast"))</f>
        <v>not applicabel</v>
      </c>
    </row>
    <row r="1065" spans="1:14" x14ac:dyDescent="0.3">
      <c r="A1065" t="s">
        <v>1111</v>
      </c>
      <c r="B1065" t="s">
        <v>12</v>
      </c>
      <c r="C1065" t="s">
        <v>81</v>
      </c>
      <c r="D1065" t="s">
        <v>42</v>
      </c>
      <c r="E1065" s="1">
        <v>45272</v>
      </c>
      <c r="F1065" s="1">
        <v>45275</v>
      </c>
      <c r="G1065">
        <v>14.3</v>
      </c>
      <c r="H1065">
        <v>88.88</v>
      </c>
      <c r="I1065" t="s">
        <v>15</v>
      </c>
      <c r="J1065">
        <v>489</v>
      </c>
      <c r="K1065">
        <v>3</v>
      </c>
      <c r="L1065" t="str">
        <f>IF(logistics_data[[#This Row],[Delivery_Date]]="","In Transit",
 IF(logistics_data[[#This Row],[Status]]="Lost","Lost",
 IF(logistics_data[[#This Row],[Status]]="Returned","Returned",
 IF(logistics_data[[#This Row],[Status]]="Delayed","Delayed",
 "Delivered"))))</f>
        <v>Delivered</v>
      </c>
      <c r="M1065" s="2">
        <f>logistics_data[[#This Row],[Cost]]/logistics_data[[#This Row],[Distance_miles]]</f>
        <v>0.18175869120654395</v>
      </c>
      <c r="N1065" t="str">
        <f>IF(logistics_data[[#This Row],[Orginal staus of shipment]]&lt;&gt;"Delivered","not applicabel", IF(logistics_data[[#This Row],[Transit_Days]]&gt;=5,"slow","fast"))</f>
        <v>fast</v>
      </c>
    </row>
    <row r="1066" spans="1:14" x14ac:dyDescent="0.3">
      <c r="A1066" t="s">
        <v>1112</v>
      </c>
      <c r="B1066" t="s">
        <v>30</v>
      </c>
      <c r="C1066" t="s">
        <v>54</v>
      </c>
      <c r="D1066" t="s">
        <v>42</v>
      </c>
      <c r="E1066" s="1">
        <v>45113</v>
      </c>
      <c r="F1066" s="1">
        <v>45119</v>
      </c>
      <c r="G1066">
        <v>42.3</v>
      </c>
      <c r="H1066">
        <v>297.39999999999998</v>
      </c>
      <c r="I1066" t="s">
        <v>15</v>
      </c>
      <c r="J1066">
        <v>2310</v>
      </c>
      <c r="K1066">
        <v>6</v>
      </c>
      <c r="L1066" t="str">
        <f>IF(logistics_data[[#This Row],[Delivery_Date]]="","In Transit",
 IF(logistics_data[[#This Row],[Status]]="Lost","Lost",
 IF(logistics_data[[#This Row],[Status]]="Returned","Returned",
 IF(logistics_data[[#This Row],[Status]]="Delayed","Delayed",
 "Delivered"))))</f>
        <v>Delivered</v>
      </c>
      <c r="M1066" s="2">
        <f>logistics_data[[#This Row],[Cost]]/logistics_data[[#This Row],[Distance_miles]]</f>
        <v>0.12874458874458874</v>
      </c>
      <c r="N1066" t="str">
        <f>IF(logistics_data[[#This Row],[Orginal staus of shipment]]&lt;&gt;"Delivered","not applicabel", IF(logistics_data[[#This Row],[Transit_Days]]&gt;=5,"slow","fast"))</f>
        <v>slow</v>
      </c>
    </row>
    <row r="1067" spans="1:14" x14ac:dyDescent="0.3">
      <c r="A1067" t="s">
        <v>1113</v>
      </c>
      <c r="B1067" t="s">
        <v>20</v>
      </c>
      <c r="C1067" t="s">
        <v>17</v>
      </c>
      <c r="D1067" t="s">
        <v>18</v>
      </c>
      <c r="E1067" s="1">
        <v>44930</v>
      </c>
      <c r="F1067" s="1">
        <v>44935</v>
      </c>
      <c r="G1067">
        <v>55.9</v>
      </c>
      <c r="H1067">
        <v>321.41000000000003</v>
      </c>
      <c r="I1067" t="s">
        <v>15</v>
      </c>
      <c r="J1067">
        <v>1931</v>
      </c>
      <c r="K1067">
        <v>5</v>
      </c>
      <c r="L1067" t="str">
        <f>IF(logistics_data[[#This Row],[Delivery_Date]]="","In Transit",
 IF(logistics_data[[#This Row],[Status]]="Lost","Lost",
 IF(logistics_data[[#This Row],[Status]]="Returned","Returned",
 IF(logistics_data[[#This Row],[Status]]="Delayed","Delayed",
 "Delivered"))))</f>
        <v>Delivered</v>
      </c>
      <c r="M1067" s="2">
        <f>logistics_data[[#This Row],[Cost]]/logistics_data[[#This Row],[Distance_miles]]</f>
        <v>0.16644743656136718</v>
      </c>
      <c r="N1067" t="str">
        <f>IF(logistics_data[[#This Row],[Orginal staus of shipment]]&lt;&gt;"Delivered","not applicabel", IF(logistics_data[[#This Row],[Transit_Days]]&gt;=5,"slow","fast"))</f>
        <v>slow</v>
      </c>
    </row>
    <row r="1068" spans="1:14" x14ac:dyDescent="0.3">
      <c r="A1068" t="s">
        <v>1114</v>
      </c>
      <c r="B1068" t="s">
        <v>35</v>
      </c>
      <c r="C1068" t="s">
        <v>36</v>
      </c>
      <c r="D1068" t="s">
        <v>37</v>
      </c>
      <c r="E1068" s="1">
        <v>45213</v>
      </c>
      <c r="F1068" s="1">
        <v>45216</v>
      </c>
      <c r="G1068">
        <v>8</v>
      </c>
      <c r="H1068">
        <v>33.03</v>
      </c>
      <c r="I1068" t="s">
        <v>15</v>
      </c>
      <c r="J1068">
        <v>207</v>
      </c>
      <c r="K1068">
        <v>3</v>
      </c>
      <c r="L1068" t="str">
        <f>IF(logistics_data[[#This Row],[Delivery_Date]]="","In Transit",
 IF(logistics_data[[#This Row],[Status]]="Lost","Lost",
 IF(logistics_data[[#This Row],[Status]]="Returned","Returned",
 IF(logistics_data[[#This Row],[Status]]="Delayed","Delayed",
 "Delivered"))))</f>
        <v>Delivered</v>
      </c>
      <c r="M1068" s="2">
        <f>logistics_data[[#This Row],[Cost]]/logistics_data[[#This Row],[Distance_miles]]</f>
        <v>0.15956521739130436</v>
      </c>
      <c r="N1068" t="str">
        <f>IF(logistics_data[[#This Row],[Orginal staus of shipment]]&lt;&gt;"Delivered","not applicabel", IF(logistics_data[[#This Row],[Transit_Days]]&gt;=5,"slow","fast"))</f>
        <v>fast</v>
      </c>
    </row>
    <row r="1069" spans="1:14" x14ac:dyDescent="0.3">
      <c r="A1069" t="s">
        <v>1115</v>
      </c>
      <c r="B1069" t="s">
        <v>23</v>
      </c>
      <c r="C1069" t="s">
        <v>81</v>
      </c>
      <c r="D1069" t="s">
        <v>14</v>
      </c>
      <c r="E1069" s="1">
        <v>45126</v>
      </c>
      <c r="F1069" s="1">
        <v>45139</v>
      </c>
      <c r="G1069">
        <v>25.9</v>
      </c>
      <c r="H1069">
        <v>323.47000000000003</v>
      </c>
      <c r="I1069" t="s">
        <v>47</v>
      </c>
      <c r="J1069">
        <v>2279</v>
      </c>
      <c r="K1069">
        <v>7</v>
      </c>
      <c r="L1069" t="str">
        <f>IF(logistics_data[[#This Row],[Delivery_Date]]="","In Transit",
 IF(logistics_data[[#This Row],[Status]]="Lost","Lost",
 IF(logistics_data[[#This Row],[Status]]="Returned","Returned",
 IF(logistics_data[[#This Row],[Status]]="Delayed","Delayed",
 "Delivered"))))</f>
        <v>Delayed</v>
      </c>
      <c r="M1069" s="2">
        <f>logistics_data[[#This Row],[Cost]]/logistics_data[[#This Row],[Distance_miles]]</f>
        <v>0.14193505923650726</v>
      </c>
      <c r="N1069" t="str">
        <f>IF(logistics_data[[#This Row],[Orginal staus of shipment]]&lt;&gt;"Delivered","not applicabel", IF(logistics_data[[#This Row],[Transit_Days]]&gt;=5,"slow","fast"))</f>
        <v>not applicabel</v>
      </c>
    </row>
    <row r="1070" spans="1:14" x14ac:dyDescent="0.3">
      <c r="A1070" t="s">
        <v>1116</v>
      </c>
      <c r="B1070" t="s">
        <v>49</v>
      </c>
      <c r="C1070" t="s">
        <v>28</v>
      </c>
      <c r="D1070" t="s">
        <v>14</v>
      </c>
      <c r="E1070" s="1">
        <v>45050</v>
      </c>
      <c r="F1070" s="1">
        <v>45055</v>
      </c>
      <c r="G1070">
        <v>11.6</v>
      </c>
      <c r="H1070">
        <v>196.42</v>
      </c>
      <c r="I1070" t="s">
        <v>15</v>
      </c>
      <c r="J1070">
        <v>1463</v>
      </c>
      <c r="K1070">
        <v>5</v>
      </c>
      <c r="L1070" t="str">
        <f>IF(logistics_data[[#This Row],[Delivery_Date]]="","In Transit",
 IF(logistics_data[[#This Row],[Status]]="Lost","Lost",
 IF(logistics_data[[#This Row],[Status]]="Returned","Returned",
 IF(logistics_data[[#This Row],[Status]]="Delayed","Delayed",
 "Delivered"))))</f>
        <v>Delivered</v>
      </c>
      <c r="M1070" s="2">
        <f>logistics_data[[#This Row],[Cost]]/logistics_data[[#This Row],[Distance_miles]]</f>
        <v>0.1342583732057416</v>
      </c>
      <c r="N1070" t="str">
        <f>IF(logistics_data[[#This Row],[Orginal staus of shipment]]&lt;&gt;"Delivered","not applicabel", IF(logistics_data[[#This Row],[Transit_Days]]&gt;=5,"slow","fast"))</f>
        <v>slow</v>
      </c>
    </row>
    <row r="1071" spans="1:14" x14ac:dyDescent="0.3">
      <c r="A1071" t="s">
        <v>1117</v>
      </c>
      <c r="B1071" t="s">
        <v>35</v>
      </c>
      <c r="C1071" t="s">
        <v>36</v>
      </c>
      <c r="D1071" t="s">
        <v>37</v>
      </c>
      <c r="E1071" s="1">
        <v>45109</v>
      </c>
      <c r="F1071" s="1">
        <v>45111</v>
      </c>
      <c r="G1071">
        <v>20.2</v>
      </c>
      <c r="H1071">
        <v>129.06</v>
      </c>
      <c r="I1071" t="s">
        <v>15</v>
      </c>
      <c r="J1071">
        <v>780</v>
      </c>
      <c r="K1071">
        <v>2</v>
      </c>
      <c r="L1071" t="str">
        <f>IF(logistics_data[[#This Row],[Delivery_Date]]="","In Transit",
 IF(logistics_data[[#This Row],[Status]]="Lost","Lost",
 IF(logistics_data[[#This Row],[Status]]="Returned","Returned",
 IF(logistics_data[[#This Row],[Status]]="Delayed","Delayed",
 "Delivered"))))</f>
        <v>Delivered</v>
      </c>
      <c r="M1071" s="2">
        <f>logistics_data[[#This Row],[Cost]]/logistics_data[[#This Row],[Distance_miles]]</f>
        <v>0.16546153846153847</v>
      </c>
      <c r="N1071" t="str">
        <f>IF(logistics_data[[#This Row],[Orginal staus of shipment]]&lt;&gt;"Delivered","not applicabel", IF(logistics_data[[#This Row],[Transit_Days]]&gt;=5,"slow","fast"))</f>
        <v>fast</v>
      </c>
    </row>
    <row r="1072" spans="1:14" x14ac:dyDescent="0.3">
      <c r="A1072" t="s">
        <v>1118</v>
      </c>
      <c r="B1072" t="s">
        <v>30</v>
      </c>
      <c r="C1072" t="s">
        <v>57</v>
      </c>
      <c r="D1072" t="s">
        <v>32</v>
      </c>
      <c r="E1072" s="1">
        <v>45055</v>
      </c>
      <c r="F1072" s="1">
        <v>45057</v>
      </c>
      <c r="G1072">
        <v>21.9</v>
      </c>
      <c r="H1072">
        <v>101.98</v>
      </c>
      <c r="I1072" t="s">
        <v>15</v>
      </c>
      <c r="J1072">
        <v>506</v>
      </c>
      <c r="K1072">
        <v>2</v>
      </c>
      <c r="L1072" t="str">
        <f>IF(logistics_data[[#This Row],[Delivery_Date]]="","In Transit",
 IF(logistics_data[[#This Row],[Status]]="Lost","Lost",
 IF(logistics_data[[#This Row],[Status]]="Returned","Returned",
 IF(logistics_data[[#This Row],[Status]]="Delayed","Delayed",
 "Delivered"))))</f>
        <v>Delivered</v>
      </c>
      <c r="M1072" s="2">
        <f>logistics_data[[#This Row],[Cost]]/logistics_data[[#This Row],[Distance_miles]]</f>
        <v>0.20154150197628459</v>
      </c>
      <c r="N1072" t="str">
        <f>IF(logistics_data[[#This Row],[Orginal staus of shipment]]&lt;&gt;"Delivered","not applicabel", IF(logistics_data[[#This Row],[Transit_Days]]&gt;=5,"slow","fast"))</f>
        <v>fast</v>
      </c>
    </row>
    <row r="1073" spans="1:14" x14ac:dyDescent="0.3">
      <c r="A1073" t="s">
        <v>1119</v>
      </c>
      <c r="B1073" t="s">
        <v>56</v>
      </c>
      <c r="C1073" t="s">
        <v>28</v>
      </c>
      <c r="D1073" t="s">
        <v>37</v>
      </c>
      <c r="E1073" s="1">
        <v>44946</v>
      </c>
      <c r="F1073" s="1">
        <v>44955</v>
      </c>
      <c r="G1073">
        <v>10.3</v>
      </c>
      <c r="H1073">
        <v>310.92</v>
      </c>
      <c r="I1073" t="s">
        <v>15</v>
      </c>
      <c r="J1073">
        <v>2349</v>
      </c>
      <c r="K1073">
        <v>9</v>
      </c>
      <c r="L1073" t="str">
        <f>IF(logistics_data[[#This Row],[Delivery_Date]]="","In Transit",
 IF(logistics_data[[#This Row],[Status]]="Lost","Lost",
 IF(logistics_data[[#This Row],[Status]]="Returned","Returned",
 IF(logistics_data[[#This Row],[Status]]="Delayed","Delayed",
 "Delivered"))))</f>
        <v>Delivered</v>
      </c>
      <c r="M1073" s="2">
        <f>logistics_data[[#This Row],[Cost]]/logistics_data[[#This Row],[Distance_miles]]</f>
        <v>0.13236270753512133</v>
      </c>
      <c r="N1073" t="str">
        <f>IF(logistics_data[[#This Row],[Orginal staus of shipment]]&lt;&gt;"Delivered","not applicabel", IF(logistics_data[[#This Row],[Transit_Days]]&gt;=5,"slow","fast"))</f>
        <v>slow</v>
      </c>
    </row>
    <row r="1074" spans="1:14" x14ac:dyDescent="0.3">
      <c r="A1074" t="s">
        <v>1120</v>
      </c>
      <c r="B1074" t="s">
        <v>30</v>
      </c>
      <c r="C1074" t="s">
        <v>31</v>
      </c>
      <c r="D1074" t="s">
        <v>42</v>
      </c>
      <c r="E1074" s="1">
        <v>45265</v>
      </c>
      <c r="F1074" s="1">
        <v>45267</v>
      </c>
      <c r="G1074">
        <v>7</v>
      </c>
      <c r="H1074">
        <v>114.15</v>
      </c>
      <c r="I1074" t="s">
        <v>15</v>
      </c>
      <c r="J1074">
        <v>704</v>
      </c>
      <c r="K1074">
        <v>2</v>
      </c>
      <c r="L1074" t="str">
        <f>IF(logistics_data[[#This Row],[Delivery_Date]]="","In Transit",
 IF(logistics_data[[#This Row],[Status]]="Lost","Lost",
 IF(logistics_data[[#This Row],[Status]]="Returned","Returned",
 IF(logistics_data[[#This Row],[Status]]="Delayed","Delayed",
 "Delivered"))))</f>
        <v>Delivered</v>
      </c>
      <c r="M1074" s="2">
        <f>logistics_data[[#This Row],[Cost]]/logistics_data[[#This Row],[Distance_miles]]</f>
        <v>0.16214488636363636</v>
      </c>
      <c r="N1074" t="str">
        <f>IF(logistics_data[[#This Row],[Orginal staus of shipment]]&lt;&gt;"Delivered","not applicabel", IF(logistics_data[[#This Row],[Transit_Days]]&gt;=5,"slow","fast"))</f>
        <v>fast</v>
      </c>
    </row>
    <row r="1075" spans="1:14" x14ac:dyDescent="0.3">
      <c r="A1075" t="s">
        <v>1121</v>
      </c>
      <c r="B1075" t="s">
        <v>51</v>
      </c>
      <c r="C1075" t="s">
        <v>36</v>
      </c>
      <c r="D1075" t="s">
        <v>59</v>
      </c>
      <c r="E1075" s="1">
        <v>45200</v>
      </c>
      <c r="F1075" s="1">
        <v>45206</v>
      </c>
      <c r="G1075">
        <v>37.4</v>
      </c>
      <c r="H1075">
        <v>165.48</v>
      </c>
      <c r="I1075" t="s">
        <v>15</v>
      </c>
      <c r="J1075">
        <v>1209</v>
      </c>
      <c r="K1075">
        <v>6</v>
      </c>
      <c r="L1075" t="str">
        <f>IF(logistics_data[[#This Row],[Delivery_Date]]="","In Transit",
 IF(logistics_data[[#This Row],[Status]]="Lost","Lost",
 IF(logistics_data[[#This Row],[Status]]="Returned","Returned",
 IF(logistics_data[[#This Row],[Status]]="Delayed","Delayed",
 "Delivered"))))</f>
        <v>Delivered</v>
      </c>
      <c r="M1075" s="2">
        <f>logistics_data[[#This Row],[Cost]]/logistics_data[[#This Row],[Distance_miles]]</f>
        <v>0.13687344913151364</v>
      </c>
      <c r="N1075" t="str">
        <f>IF(logistics_data[[#This Row],[Orginal staus of shipment]]&lt;&gt;"Delivered","not applicabel", IF(logistics_data[[#This Row],[Transit_Days]]&gt;=5,"slow","fast"))</f>
        <v>slow</v>
      </c>
    </row>
    <row r="1076" spans="1:14" x14ac:dyDescent="0.3">
      <c r="A1076" t="s">
        <v>1122</v>
      </c>
      <c r="B1076" t="s">
        <v>35</v>
      </c>
      <c r="C1076" t="s">
        <v>54</v>
      </c>
      <c r="D1076" t="s">
        <v>37</v>
      </c>
      <c r="E1076" s="1">
        <v>45161</v>
      </c>
      <c r="F1076" s="1">
        <v>45165</v>
      </c>
      <c r="G1076">
        <v>13.9</v>
      </c>
      <c r="H1076">
        <v>163.87</v>
      </c>
      <c r="I1076" t="s">
        <v>15</v>
      </c>
      <c r="J1076">
        <v>1350</v>
      </c>
      <c r="K1076">
        <v>4</v>
      </c>
      <c r="L1076" t="str">
        <f>IF(logistics_data[[#This Row],[Delivery_Date]]="","In Transit",
 IF(logistics_data[[#This Row],[Status]]="Lost","Lost",
 IF(logistics_data[[#This Row],[Status]]="Returned","Returned",
 IF(logistics_data[[#This Row],[Status]]="Delayed","Delayed",
 "Delivered"))))</f>
        <v>Delivered</v>
      </c>
      <c r="M1076" s="2">
        <f>logistics_data[[#This Row],[Cost]]/logistics_data[[#This Row],[Distance_miles]]</f>
        <v>0.12138518518518519</v>
      </c>
      <c r="N1076" t="str">
        <f>IF(logistics_data[[#This Row],[Orginal staus of shipment]]&lt;&gt;"Delivered","not applicabel", IF(logistics_data[[#This Row],[Transit_Days]]&gt;=5,"slow","fast"))</f>
        <v>fast</v>
      </c>
    </row>
    <row r="1077" spans="1:14" x14ac:dyDescent="0.3">
      <c r="A1077" t="s">
        <v>1123</v>
      </c>
      <c r="B1077" t="s">
        <v>20</v>
      </c>
      <c r="C1077" t="s">
        <v>46</v>
      </c>
      <c r="D1077" t="s">
        <v>37</v>
      </c>
      <c r="E1077" s="1">
        <v>45214</v>
      </c>
      <c r="F1077" s="1">
        <v>45220</v>
      </c>
      <c r="G1077">
        <v>6</v>
      </c>
      <c r="H1077">
        <v>162.4</v>
      </c>
      <c r="I1077" t="s">
        <v>15</v>
      </c>
      <c r="J1077">
        <v>1231</v>
      </c>
      <c r="K1077">
        <v>6</v>
      </c>
      <c r="L1077" t="str">
        <f>IF(logistics_data[[#This Row],[Delivery_Date]]="","In Transit",
 IF(logistics_data[[#This Row],[Status]]="Lost","Lost",
 IF(logistics_data[[#This Row],[Status]]="Returned","Returned",
 IF(logistics_data[[#This Row],[Status]]="Delayed","Delayed",
 "Delivered"))))</f>
        <v>Delivered</v>
      </c>
      <c r="M1077" s="2">
        <f>logistics_data[[#This Row],[Cost]]/logistics_data[[#This Row],[Distance_miles]]</f>
        <v>0.13192526401299756</v>
      </c>
      <c r="N1077" t="str">
        <f>IF(logistics_data[[#This Row],[Orginal staus of shipment]]&lt;&gt;"Delivered","not applicabel", IF(logistics_data[[#This Row],[Transit_Days]]&gt;=5,"slow","fast"))</f>
        <v>slow</v>
      </c>
    </row>
    <row r="1078" spans="1:14" x14ac:dyDescent="0.3">
      <c r="A1078" t="s">
        <v>1124</v>
      </c>
      <c r="B1078" t="s">
        <v>51</v>
      </c>
      <c r="C1078" t="s">
        <v>28</v>
      </c>
      <c r="D1078" t="s">
        <v>25</v>
      </c>
      <c r="E1078" s="1">
        <v>45033</v>
      </c>
      <c r="F1078" s="1">
        <v>45035</v>
      </c>
      <c r="G1078">
        <v>32.4</v>
      </c>
      <c r="H1078">
        <v>81.150000000000006</v>
      </c>
      <c r="I1078" t="s">
        <v>15</v>
      </c>
      <c r="J1078">
        <v>415</v>
      </c>
      <c r="K1078">
        <v>2</v>
      </c>
      <c r="L1078" t="str">
        <f>IF(logistics_data[[#This Row],[Delivery_Date]]="","In Transit",
 IF(logistics_data[[#This Row],[Status]]="Lost","Lost",
 IF(logistics_data[[#This Row],[Status]]="Returned","Returned",
 IF(logistics_data[[#This Row],[Status]]="Delayed","Delayed",
 "Delivered"))))</f>
        <v>Delivered</v>
      </c>
      <c r="M1078" s="2">
        <f>logistics_data[[#This Row],[Cost]]/logistics_data[[#This Row],[Distance_miles]]</f>
        <v>0.19554216867469881</v>
      </c>
      <c r="N1078" t="str">
        <f>IF(logistics_data[[#This Row],[Orginal staus of shipment]]&lt;&gt;"Delivered","not applicabel", IF(logistics_data[[#This Row],[Transit_Days]]&gt;=5,"slow","fast"))</f>
        <v>fast</v>
      </c>
    </row>
    <row r="1079" spans="1:14" x14ac:dyDescent="0.3">
      <c r="A1079" t="s">
        <v>1125</v>
      </c>
      <c r="B1079" t="s">
        <v>30</v>
      </c>
      <c r="C1079" t="s">
        <v>52</v>
      </c>
      <c r="D1079" t="s">
        <v>59</v>
      </c>
      <c r="E1079" s="1">
        <v>45077</v>
      </c>
      <c r="F1079" s="1">
        <v>45079</v>
      </c>
      <c r="G1079">
        <v>21.1</v>
      </c>
      <c r="H1079">
        <v>49.8</v>
      </c>
      <c r="I1079" t="s">
        <v>15</v>
      </c>
      <c r="J1079">
        <v>270</v>
      </c>
      <c r="K1079">
        <v>2</v>
      </c>
      <c r="L1079" t="str">
        <f>IF(logistics_data[[#This Row],[Delivery_Date]]="","In Transit",
 IF(logistics_data[[#This Row],[Status]]="Lost","Lost",
 IF(logistics_data[[#This Row],[Status]]="Returned","Returned",
 IF(logistics_data[[#This Row],[Status]]="Delayed","Delayed",
 "Delivered"))))</f>
        <v>Delivered</v>
      </c>
      <c r="M1079" s="2">
        <f>logistics_data[[#This Row],[Cost]]/logistics_data[[#This Row],[Distance_miles]]</f>
        <v>0.18444444444444444</v>
      </c>
      <c r="N1079" t="str">
        <f>IF(logistics_data[[#This Row],[Orginal staus of shipment]]&lt;&gt;"Delivered","not applicabel", IF(logistics_data[[#This Row],[Transit_Days]]&gt;=5,"slow","fast"))</f>
        <v>fast</v>
      </c>
    </row>
    <row r="1080" spans="1:14" x14ac:dyDescent="0.3">
      <c r="A1080" t="s">
        <v>1126</v>
      </c>
      <c r="B1080" t="s">
        <v>30</v>
      </c>
      <c r="C1080" t="s">
        <v>21</v>
      </c>
      <c r="D1080" t="s">
        <v>37</v>
      </c>
      <c r="E1080" s="1">
        <v>45112</v>
      </c>
      <c r="F1080" s="1">
        <v>45117</v>
      </c>
      <c r="G1080">
        <v>66.5</v>
      </c>
      <c r="H1080">
        <v>94.15</v>
      </c>
      <c r="I1080" t="s">
        <v>15</v>
      </c>
      <c r="J1080">
        <v>155</v>
      </c>
      <c r="K1080">
        <v>5</v>
      </c>
      <c r="L1080" t="str">
        <f>IF(logistics_data[[#This Row],[Delivery_Date]]="","In Transit",
 IF(logistics_data[[#This Row],[Status]]="Lost","Lost",
 IF(logistics_data[[#This Row],[Status]]="Returned","Returned",
 IF(logistics_data[[#This Row],[Status]]="Delayed","Delayed",
 "Delivered"))))</f>
        <v>Delivered</v>
      </c>
      <c r="M1080" s="2">
        <f>logistics_data[[#This Row],[Cost]]/logistics_data[[#This Row],[Distance_miles]]</f>
        <v>0.60741935483870968</v>
      </c>
      <c r="N1080" t="str">
        <f>IF(logistics_data[[#This Row],[Orginal staus of shipment]]&lt;&gt;"Delivered","not applicabel", IF(logistics_data[[#This Row],[Transit_Days]]&gt;=5,"slow","fast"))</f>
        <v>slow</v>
      </c>
    </row>
    <row r="1081" spans="1:14" x14ac:dyDescent="0.3">
      <c r="A1081" t="s">
        <v>1127</v>
      </c>
      <c r="B1081" t="s">
        <v>51</v>
      </c>
      <c r="C1081" t="s">
        <v>40</v>
      </c>
      <c r="D1081" t="s">
        <v>14</v>
      </c>
      <c r="E1081" s="1">
        <v>45275</v>
      </c>
      <c r="F1081" s="1">
        <v>45281</v>
      </c>
      <c r="G1081">
        <v>19.5</v>
      </c>
      <c r="H1081">
        <v>354.28</v>
      </c>
      <c r="I1081" t="s">
        <v>15</v>
      </c>
      <c r="J1081">
        <v>2393</v>
      </c>
      <c r="K1081">
        <v>6</v>
      </c>
      <c r="L1081" t="str">
        <f>IF(logistics_data[[#This Row],[Delivery_Date]]="","In Transit",
 IF(logistics_data[[#This Row],[Status]]="Lost","Lost",
 IF(logistics_data[[#This Row],[Status]]="Returned","Returned",
 IF(logistics_data[[#This Row],[Status]]="Delayed","Delayed",
 "Delivered"))))</f>
        <v>Delivered</v>
      </c>
      <c r="M1081" s="2">
        <f>logistics_data[[#This Row],[Cost]]/logistics_data[[#This Row],[Distance_miles]]</f>
        <v>0.14804847471792729</v>
      </c>
      <c r="N1081" t="str">
        <f>IF(logistics_data[[#This Row],[Orginal staus of shipment]]&lt;&gt;"Delivered","not applicabel", IF(logistics_data[[#This Row],[Transit_Days]]&gt;=5,"slow","fast"))</f>
        <v>slow</v>
      </c>
    </row>
    <row r="1082" spans="1:14" x14ac:dyDescent="0.3">
      <c r="A1082" t="s">
        <v>1128</v>
      </c>
      <c r="B1082" t="s">
        <v>39</v>
      </c>
      <c r="C1082" t="s">
        <v>28</v>
      </c>
      <c r="D1082" t="s">
        <v>14</v>
      </c>
      <c r="E1082" s="1">
        <v>45208</v>
      </c>
      <c r="F1082" s="1">
        <v>45213</v>
      </c>
      <c r="G1082">
        <v>7.6</v>
      </c>
      <c r="H1082">
        <v>108.9</v>
      </c>
      <c r="I1082" t="s">
        <v>15</v>
      </c>
      <c r="J1082">
        <v>772</v>
      </c>
      <c r="K1082">
        <v>5</v>
      </c>
      <c r="L1082" t="str">
        <f>IF(logistics_data[[#This Row],[Delivery_Date]]="","In Transit",
 IF(logistics_data[[#This Row],[Status]]="Lost","Lost",
 IF(logistics_data[[#This Row],[Status]]="Returned","Returned",
 IF(logistics_data[[#This Row],[Status]]="Delayed","Delayed",
 "Delivered"))))</f>
        <v>Delivered</v>
      </c>
      <c r="M1082" s="2">
        <f>logistics_data[[#This Row],[Cost]]/logistics_data[[#This Row],[Distance_miles]]</f>
        <v>0.1410621761658031</v>
      </c>
      <c r="N1082" t="str">
        <f>IF(logistics_data[[#This Row],[Orginal staus of shipment]]&lt;&gt;"Delivered","not applicabel", IF(logistics_data[[#This Row],[Transit_Days]]&gt;=5,"slow","fast"))</f>
        <v>slow</v>
      </c>
    </row>
    <row r="1083" spans="1:14" x14ac:dyDescent="0.3">
      <c r="A1083" t="s">
        <v>1129</v>
      </c>
      <c r="B1083" t="s">
        <v>35</v>
      </c>
      <c r="C1083" t="s">
        <v>54</v>
      </c>
      <c r="D1083" t="s">
        <v>37</v>
      </c>
      <c r="E1083" s="1">
        <v>45130</v>
      </c>
      <c r="F1083" s="1">
        <v>45133</v>
      </c>
      <c r="G1083">
        <v>84.6</v>
      </c>
      <c r="H1083">
        <v>260.77999999999997</v>
      </c>
      <c r="I1083" t="s">
        <v>62</v>
      </c>
      <c r="J1083">
        <v>1350</v>
      </c>
      <c r="K1083">
        <v>3</v>
      </c>
      <c r="L1083" t="str">
        <f>IF(logistics_data[[#This Row],[Delivery_Date]]="","In Transit",
 IF(logistics_data[[#This Row],[Status]]="Lost","Lost",
 IF(logistics_data[[#This Row],[Status]]="Returned","Returned",
 IF(logistics_data[[#This Row],[Status]]="Delayed","Delayed",
 "Delivered"))))</f>
        <v>Delivered</v>
      </c>
      <c r="M1083" s="2">
        <f>logistics_data[[#This Row],[Cost]]/logistics_data[[#This Row],[Distance_miles]]</f>
        <v>0.19317037037037035</v>
      </c>
      <c r="N1083" t="str">
        <f>IF(logistics_data[[#This Row],[Orginal staus of shipment]]&lt;&gt;"Delivered","not applicabel", IF(logistics_data[[#This Row],[Transit_Days]]&gt;=5,"slow","fast"))</f>
        <v>fast</v>
      </c>
    </row>
    <row r="1084" spans="1:14" x14ac:dyDescent="0.3">
      <c r="A1084" t="s">
        <v>1130</v>
      </c>
      <c r="B1084" t="s">
        <v>56</v>
      </c>
      <c r="C1084" t="s">
        <v>13</v>
      </c>
      <c r="D1084" t="s">
        <v>18</v>
      </c>
      <c r="E1084" s="1">
        <v>45174</v>
      </c>
      <c r="F1084" s="1">
        <v>45185</v>
      </c>
      <c r="G1084">
        <v>26.7</v>
      </c>
      <c r="H1084">
        <v>243.13</v>
      </c>
      <c r="I1084" t="s">
        <v>47</v>
      </c>
      <c r="J1084">
        <v>1505</v>
      </c>
      <c r="K1084">
        <v>5</v>
      </c>
      <c r="L1084" t="str">
        <f>IF(logistics_data[[#This Row],[Delivery_Date]]="","In Transit",
 IF(logistics_data[[#This Row],[Status]]="Lost","Lost",
 IF(logistics_data[[#This Row],[Status]]="Returned","Returned",
 IF(logistics_data[[#This Row],[Status]]="Delayed","Delayed",
 "Delivered"))))</f>
        <v>Delayed</v>
      </c>
      <c r="M1084" s="2">
        <f>logistics_data[[#This Row],[Cost]]/logistics_data[[#This Row],[Distance_miles]]</f>
        <v>0.16154817275747507</v>
      </c>
      <c r="N1084" t="str">
        <f>IF(logistics_data[[#This Row],[Orginal staus of shipment]]&lt;&gt;"Delivered","not applicabel", IF(logistics_data[[#This Row],[Transit_Days]]&gt;=5,"slow","fast"))</f>
        <v>not applicabel</v>
      </c>
    </row>
    <row r="1085" spans="1:14" x14ac:dyDescent="0.3">
      <c r="A1085" t="s">
        <v>1131</v>
      </c>
      <c r="B1085" t="s">
        <v>27</v>
      </c>
      <c r="C1085" t="s">
        <v>36</v>
      </c>
      <c r="D1085" t="s">
        <v>37</v>
      </c>
      <c r="E1085" s="1">
        <v>45106</v>
      </c>
      <c r="F1085" s="1">
        <v>45108</v>
      </c>
      <c r="G1085">
        <v>22.6</v>
      </c>
      <c r="H1085">
        <v>115.12</v>
      </c>
      <c r="I1085" t="s">
        <v>15</v>
      </c>
      <c r="J1085">
        <v>719</v>
      </c>
      <c r="K1085">
        <v>2</v>
      </c>
      <c r="L1085" t="str">
        <f>IF(logistics_data[[#This Row],[Delivery_Date]]="","In Transit",
 IF(logistics_data[[#This Row],[Status]]="Lost","Lost",
 IF(logistics_data[[#This Row],[Status]]="Returned","Returned",
 IF(logistics_data[[#This Row],[Status]]="Delayed","Delayed",
 "Delivered"))))</f>
        <v>Delivered</v>
      </c>
      <c r="M1085" s="2">
        <f>logistics_data[[#This Row],[Cost]]/logistics_data[[#This Row],[Distance_miles]]</f>
        <v>0.16011126564673159</v>
      </c>
      <c r="N1085" t="str">
        <f>IF(logistics_data[[#This Row],[Orginal staus of shipment]]&lt;&gt;"Delivered","not applicabel", IF(logistics_data[[#This Row],[Transit_Days]]&gt;=5,"slow","fast"))</f>
        <v>fast</v>
      </c>
    </row>
    <row r="1086" spans="1:14" x14ac:dyDescent="0.3">
      <c r="A1086" t="s">
        <v>1132</v>
      </c>
      <c r="B1086" t="s">
        <v>56</v>
      </c>
      <c r="C1086" t="s">
        <v>52</v>
      </c>
      <c r="D1086" t="s">
        <v>32</v>
      </c>
      <c r="E1086" s="1">
        <v>45278</v>
      </c>
      <c r="F1086" s="1">
        <v>45281</v>
      </c>
      <c r="G1086">
        <v>31</v>
      </c>
      <c r="H1086">
        <v>227.94</v>
      </c>
      <c r="I1086" t="s">
        <v>15</v>
      </c>
      <c r="J1086">
        <v>1045</v>
      </c>
      <c r="K1086">
        <v>3</v>
      </c>
      <c r="L1086" t="str">
        <f>IF(logistics_data[[#This Row],[Delivery_Date]]="","In Transit",
 IF(logistics_data[[#This Row],[Status]]="Lost","Lost",
 IF(logistics_data[[#This Row],[Status]]="Returned","Returned",
 IF(logistics_data[[#This Row],[Status]]="Delayed","Delayed",
 "Delivered"))))</f>
        <v>Delivered</v>
      </c>
      <c r="M1086" s="2">
        <f>logistics_data[[#This Row],[Cost]]/logistics_data[[#This Row],[Distance_miles]]</f>
        <v>0.21812440191387561</v>
      </c>
      <c r="N1086" t="str">
        <f>IF(logistics_data[[#This Row],[Orginal staus of shipment]]&lt;&gt;"Delivered","not applicabel", IF(logistics_data[[#This Row],[Transit_Days]]&gt;=5,"slow","fast"))</f>
        <v>fast</v>
      </c>
    </row>
    <row r="1087" spans="1:14" x14ac:dyDescent="0.3">
      <c r="A1087" t="s">
        <v>1133</v>
      </c>
      <c r="B1087" t="s">
        <v>27</v>
      </c>
      <c r="C1087" t="s">
        <v>17</v>
      </c>
      <c r="D1087" t="s">
        <v>32</v>
      </c>
      <c r="E1087" s="1">
        <v>45216</v>
      </c>
      <c r="F1087" s="1">
        <v>45220</v>
      </c>
      <c r="G1087">
        <v>22.9</v>
      </c>
      <c r="H1087">
        <v>178.45</v>
      </c>
      <c r="I1087" t="s">
        <v>15</v>
      </c>
      <c r="J1087">
        <v>1185</v>
      </c>
      <c r="K1087">
        <v>4</v>
      </c>
      <c r="L1087" t="str">
        <f>IF(logistics_data[[#This Row],[Delivery_Date]]="","In Transit",
 IF(logistics_data[[#This Row],[Status]]="Lost","Lost",
 IF(logistics_data[[#This Row],[Status]]="Returned","Returned",
 IF(logistics_data[[#This Row],[Status]]="Delayed","Delayed",
 "Delivered"))))</f>
        <v>Delivered</v>
      </c>
      <c r="M1087" s="2">
        <f>logistics_data[[#This Row],[Cost]]/logistics_data[[#This Row],[Distance_miles]]</f>
        <v>0.15059071729957804</v>
      </c>
      <c r="N1087" t="str">
        <f>IF(logistics_data[[#This Row],[Orginal staus of shipment]]&lt;&gt;"Delivered","not applicabel", IF(logistics_data[[#This Row],[Transit_Days]]&gt;=5,"slow","fast"))</f>
        <v>fast</v>
      </c>
    </row>
    <row r="1088" spans="1:14" x14ac:dyDescent="0.3">
      <c r="A1088" t="s">
        <v>1134</v>
      </c>
      <c r="B1088" t="s">
        <v>30</v>
      </c>
      <c r="C1088" t="s">
        <v>46</v>
      </c>
      <c r="D1088" t="s">
        <v>14</v>
      </c>
      <c r="E1088" s="1">
        <v>45180</v>
      </c>
      <c r="F1088" s="1">
        <v>45186</v>
      </c>
      <c r="G1088">
        <v>41.5</v>
      </c>
      <c r="H1088">
        <v>338.34</v>
      </c>
      <c r="I1088" t="s">
        <v>15</v>
      </c>
      <c r="J1088">
        <v>2120</v>
      </c>
      <c r="K1088">
        <v>6</v>
      </c>
      <c r="L1088" t="str">
        <f>IF(logistics_data[[#This Row],[Delivery_Date]]="","In Transit",
 IF(logistics_data[[#This Row],[Status]]="Lost","Lost",
 IF(logistics_data[[#This Row],[Status]]="Returned","Returned",
 IF(logistics_data[[#This Row],[Status]]="Delayed","Delayed",
 "Delivered"))))</f>
        <v>Delivered</v>
      </c>
      <c r="M1088" s="2">
        <f>logistics_data[[#This Row],[Cost]]/logistics_data[[#This Row],[Distance_miles]]</f>
        <v>0.1595943396226415</v>
      </c>
      <c r="N1088" t="str">
        <f>IF(logistics_data[[#This Row],[Orginal staus of shipment]]&lt;&gt;"Delivered","not applicabel", IF(logistics_data[[#This Row],[Transit_Days]]&gt;=5,"slow","fast"))</f>
        <v>slow</v>
      </c>
    </row>
    <row r="1089" spans="1:14" x14ac:dyDescent="0.3">
      <c r="A1089" t="s">
        <v>1135</v>
      </c>
      <c r="B1089" t="s">
        <v>23</v>
      </c>
      <c r="C1089" t="s">
        <v>36</v>
      </c>
      <c r="D1089" t="s">
        <v>25</v>
      </c>
      <c r="E1089" s="1">
        <v>45237</v>
      </c>
      <c r="F1089" s="1">
        <v>45242</v>
      </c>
      <c r="G1089">
        <v>40</v>
      </c>
      <c r="H1089">
        <v>437.26</v>
      </c>
      <c r="I1089" t="s">
        <v>15</v>
      </c>
      <c r="J1089">
        <v>2431</v>
      </c>
      <c r="K1089">
        <v>5</v>
      </c>
      <c r="L1089" t="str">
        <f>IF(logistics_data[[#This Row],[Delivery_Date]]="","In Transit",
 IF(logistics_data[[#This Row],[Status]]="Lost","Lost",
 IF(logistics_data[[#This Row],[Status]]="Returned","Returned",
 IF(logistics_data[[#This Row],[Status]]="Delayed","Delayed",
 "Delivered"))))</f>
        <v>Delivered</v>
      </c>
      <c r="M1089" s="2">
        <f>logistics_data[[#This Row],[Cost]]/logistics_data[[#This Row],[Distance_miles]]</f>
        <v>0.17986836692719047</v>
      </c>
      <c r="N1089" t="str">
        <f>IF(logistics_data[[#This Row],[Orginal staus of shipment]]&lt;&gt;"Delivered","not applicabel", IF(logistics_data[[#This Row],[Transit_Days]]&gt;=5,"slow","fast"))</f>
        <v>slow</v>
      </c>
    </row>
    <row r="1090" spans="1:14" x14ac:dyDescent="0.3">
      <c r="A1090" t="s">
        <v>1136</v>
      </c>
      <c r="B1090" t="s">
        <v>23</v>
      </c>
      <c r="C1090" t="s">
        <v>31</v>
      </c>
      <c r="D1090" t="s">
        <v>18</v>
      </c>
      <c r="E1090" s="1">
        <v>45223</v>
      </c>
      <c r="F1090" s="1">
        <v>45225</v>
      </c>
      <c r="G1090">
        <v>3.5</v>
      </c>
      <c r="H1090">
        <v>105.56</v>
      </c>
      <c r="I1090" t="s">
        <v>15</v>
      </c>
      <c r="J1090">
        <v>799</v>
      </c>
      <c r="K1090">
        <v>2</v>
      </c>
      <c r="L1090" t="str">
        <f>IF(logistics_data[[#This Row],[Delivery_Date]]="","In Transit",
 IF(logistics_data[[#This Row],[Status]]="Lost","Lost",
 IF(logistics_data[[#This Row],[Status]]="Returned","Returned",
 IF(logistics_data[[#This Row],[Status]]="Delayed","Delayed",
 "Delivered"))))</f>
        <v>Delivered</v>
      </c>
      <c r="M1090" s="2">
        <f>logistics_data[[#This Row],[Cost]]/logistics_data[[#This Row],[Distance_miles]]</f>
        <v>0.13211514392991239</v>
      </c>
      <c r="N1090" t="str">
        <f>IF(logistics_data[[#This Row],[Orginal staus of shipment]]&lt;&gt;"Delivered","not applicabel", IF(logistics_data[[#This Row],[Transit_Days]]&gt;=5,"slow","fast"))</f>
        <v>fast</v>
      </c>
    </row>
    <row r="1091" spans="1:14" x14ac:dyDescent="0.3">
      <c r="A1091" t="s">
        <v>1137</v>
      </c>
      <c r="B1091" t="s">
        <v>20</v>
      </c>
      <c r="C1091" t="s">
        <v>40</v>
      </c>
      <c r="D1091" t="s">
        <v>42</v>
      </c>
      <c r="E1091" s="1">
        <v>45227</v>
      </c>
      <c r="F1091" s="1">
        <v>45230</v>
      </c>
      <c r="G1091">
        <v>70.400000000000006</v>
      </c>
      <c r="H1091">
        <v>166.43</v>
      </c>
      <c r="I1091" t="s">
        <v>15</v>
      </c>
      <c r="J1091">
        <v>795</v>
      </c>
      <c r="K1091">
        <v>3</v>
      </c>
      <c r="L1091" t="str">
        <f>IF(logistics_data[[#This Row],[Delivery_Date]]="","In Transit",
 IF(logistics_data[[#This Row],[Status]]="Lost","Lost",
 IF(logistics_data[[#This Row],[Status]]="Returned","Returned",
 IF(logistics_data[[#This Row],[Status]]="Delayed","Delayed",
 "Delivered"))))</f>
        <v>Delivered</v>
      </c>
      <c r="M1091" s="2">
        <f>logistics_data[[#This Row],[Cost]]/logistics_data[[#This Row],[Distance_miles]]</f>
        <v>0.20934591194968555</v>
      </c>
      <c r="N1091" t="str">
        <f>IF(logistics_data[[#This Row],[Orginal staus of shipment]]&lt;&gt;"Delivered","not applicabel", IF(logistics_data[[#This Row],[Transit_Days]]&gt;=5,"slow","fast"))</f>
        <v>fast</v>
      </c>
    </row>
    <row r="1092" spans="1:14" x14ac:dyDescent="0.3">
      <c r="A1092" t="s">
        <v>1138</v>
      </c>
      <c r="B1092" t="s">
        <v>20</v>
      </c>
      <c r="C1092" t="s">
        <v>40</v>
      </c>
      <c r="D1092" t="s">
        <v>18</v>
      </c>
      <c r="E1092" s="1">
        <v>45282</v>
      </c>
      <c r="F1092" s="1">
        <v>45285</v>
      </c>
      <c r="G1092">
        <v>17.5</v>
      </c>
      <c r="H1092">
        <v>100.77</v>
      </c>
      <c r="I1092" t="s">
        <v>15</v>
      </c>
      <c r="J1092">
        <v>427</v>
      </c>
      <c r="K1092">
        <v>3</v>
      </c>
      <c r="L1092" t="str">
        <f>IF(logistics_data[[#This Row],[Delivery_Date]]="","In Transit",
 IF(logistics_data[[#This Row],[Status]]="Lost","Lost",
 IF(logistics_data[[#This Row],[Status]]="Returned","Returned",
 IF(logistics_data[[#This Row],[Status]]="Delayed","Delayed",
 "Delivered"))))</f>
        <v>Delivered</v>
      </c>
      <c r="M1092" s="2">
        <f>logistics_data[[#This Row],[Cost]]/logistics_data[[#This Row],[Distance_miles]]</f>
        <v>0.23599531615925057</v>
      </c>
      <c r="N1092" t="str">
        <f>IF(logistics_data[[#This Row],[Orginal staus of shipment]]&lt;&gt;"Delivered","not applicabel", IF(logistics_data[[#This Row],[Transit_Days]]&gt;=5,"slow","fast"))</f>
        <v>fast</v>
      </c>
    </row>
    <row r="1093" spans="1:14" x14ac:dyDescent="0.3">
      <c r="A1093" t="s">
        <v>1139</v>
      </c>
      <c r="B1093" t="s">
        <v>27</v>
      </c>
      <c r="C1093" t="s">
        <v>17</v>
      </c>
      <c r="D1093" t="s">
        <v>42</v>
      </c>
      <c r="E1093" s="1">
        <v>45133</v>
      </c>
      <c r="F1093" s="1">
        <v>45145</v>
      </c>
      <c r="G1093">
        <v>15.5</v>
      </c>
      <c r="H1093">
        <v>130.66999999999999</v>
      </c>
      <c r="I1093" t="s">
        <v>47</v>
      </c>
      <c r="J1093">
        <v>1035</v>
      </c>
      <c r="K1093">
        <v>3</v>
      </c>
      <c r="L1093" t="str">
        <f>IF(logistics_data[[#This Row],[Delivery_Date]]="","In Transit",
 IF(logistics_data[[#This Row],[Status]]="Lost","Lost",
 IF(logistics_data[[#This Row],[Status]]="Returned","Returned",
 IF(logistics_data[[#This Row],[Status]]="Delayed","Delayed",
 "Delivered"))))</f>
        <v>Delayed</v>
      </c>
      <c r="M1093" s="2">
        <f>logistics_data[[#This Row],[Cost]]/logistics_data[[#This Row],[Distance_miles]]</f>
        <v>0.1262512077294686</v>
      </c>
      <c r="N1093" t="str">
        <f>IF(logistics_data[[#This Row],[Orginal staus of shipment]]&lt;&gt;"Delivered","not applicabel", IF(logistics_data[[#This Row],[Transit_Days]]&gt;=5,"slow","fast"))</f>
        <v>not applicabel</v>
      </c>
    </row>
    <row r="1094" spans="1:14" x14ac:dyDescent="0.3">
      <c r="A1094" t="s">
        <v>1140</v>
      </c>
      <c r="B1094" t="s">
        <v>51</v>
      </c>
      <c r="C1094" t="s">
        <v>36</v>
      </c>
      <c r="D1094" t="s">
        <v>18</v>
      </c>
      <c r="E1094" s="1">
        <v>45136</v>
      </c>
      <c r="F1094" s="1">
        <v>45140</v>
      </c>
      <c r="G1094">
        <v>26.5</v>
      </c>
      <c r="H1094">
        <v>292.13</v>
      </c>
      <c r="I1094" t="s">
        <v>15</v>
      </c>
      <c r="J1094">
        <v>1670</v>
      </c>
      <c r="K1094">
        <v>4</v>
      </c>
      <c r="L1094" t="str">
        <f>IF(logistics_data[[#This Row],[Delivery_Date]]="","In Transit",
 IF(logistics_data[[#This Row],[Status]]="Lost","Lost",
 IF(logistics_data[[#This Row],[Status]]="Returned","Returned",
 IF(logistics_data[[#This Row],[Status]]="Delayed","Delayed",
 "Delivered"))))</f>
        <v>Delivered</v>
      </c>
      <c r="M1094" s="2">
        <f>logistics_data[[#This Row],[Cost]]/logistics_data[[#This Row],[Distance_miles]]</f>
        <v>0.17492814371257484</v>
      </c>
      <c r="N1094" t="str">
        <f>IF(logistics_data[[#This Row],[Orginal staus of shipment]]&lt;&gt;"Delivered","not applicabel", IF(logistics_data[[#This Row],[Transit_Days]]&gt;=5,"slow","fast"))</f>
        <v>fast</v>
      </c>
    </row>
    <row r="1095" spans="1:14" x14ac:dyDescent="0.3">
      <c r="A1095" t="s">
        <v>1141</v>
      </c>
      <c r="B1095" t="s">
        <v>23</v>
      </c>
      <c r="C1095" t="s">
        <v>36</v>
      </c>
      <c r="D1095" t="s">
        <v>37</v>
      </c>
      <c r="E1095" s="1">
        <v>45049</v>
      </c>
      <c r="F1095" s="1">
        <v>45061</v>
      </c>
      <c r="G1095">
        <v>7.7</v>
      </c>
      <c r="H1095">
        <v>226.92</v>
      </c>
      <c r="I1095" t="s">
        <v>15</v>
      </c>
      <c r="J1095">
        <v>1895</v>
      </c>
      <c r="K1095">
        <v>12</v>
      </c>
      <c r="L1095" t="str">
        <f>IF(logistics_data[[#This Row],[Delivery_Date]]="","In Transit",
 IF(logistics_data[[#This Row],[Status]]="Lost","Lost",
 IF(logistics_data[[#This Row],[Status]]="Returned","Returned",
 IF(logistics_data[[#This Row],[Status]]="Delayed","Delayed",
 "Delivered"))))</f>
        <v>Delivered</v>
      </c>
      <c r="M1095" s="2">
        <f>logistics_data[[#This Row],[Cost]]/logistics_data[[#This Row],[Distance_miles]]</f>
        <v>0.11974670184696569</v>
      </c>
      <c r="N1095" t="str">
        <f>IF(logistics_data[[#This Row],[Orginal staus of shipment]]&lt;&gt;"Delivered","not applicabel", IF(logistics_data[[#This Row],[Transit_Days]]&gt;=5,"slow","fast"))</f>
        <v>slow</v>
      </c>
    </row>
    <row r="1096" spans="1:14" x14ac:dyDescent="0.3">
      <c r="A1096" t="s">
        <v>1142</v>
      </c>
      <c r="B1096" t="s">
        <v>30</v>
      </c>
      <c r="C1096" t="s">
        <v>54</v>
      </c>
      <c r="D1096" t="s">
        <v>37</v>
      </c>
      <c r="E1096" s="1">
        <v>45070</v>
      </c>
      <c r="F1096" s="1">
        <v>45074</v>
      </c>
      <c r="G1096">
        <v>31.7</v>
      </c>
      <c r="H1096">
        <v>134.57</v>
      </c>
      <c r="I1096" t="s">
        <v>15</v>
      </c>
      <c r="J1096">
        <v>862</v>
      </c>
      <c r="K1096">
        <v>4</v>
      </c>
      <c r="L1096" t="str">
        <f>IF(logistics_data[[#This Row],[Delivery_Date]]="","In Transit",
 IF(logistics_data[[#This Row],[Status]]="Lost","Lost",
 IF(logistics_data[[#This Row],[Status]]="Returned","Returned",
 IF(logistics_data[[#This Row],[Status]]="Delayed","Delayed",
 "Delivered"))))</f>
        <v>Delivered</v>
      </c>
      <c r="M1096" s="2">
        <f>logistics_data[[#This Row],[Cost]]/logistics_data[[#This Row],[Distance_miles]]</f>
        <v>0.1561136890951276</v>
      </c>
      <c r="N1096" t="str">
        <f>IF(logistics_data[[#This Row],[Orginal staus of shipment]]&lt;&gt;"Delivered","not applicabel", IF(logistics_data[[#This Row],[Transit_Days]]&gt;=5,"slow","fast"))</f>
        <v>fast</v>
      </c>
    </row>
    <row r="1097" spans="1:14" x14ac:dyDescent="0.3">
      <c r="A1097" t="s">
        <v>1143</v>
      </c>
      <c r="B1097" t="s">
        <v>27</v>
      </c>
      <c r="C1097" t="s">
        <v>31</v>
      </c>
      <c r="D1097" t="s">
        <v>18</v>
      </c>
      <c r="E1097" s="1">
        <v>45070</v>
      </c>
      <c r="F1097" s="1">
        <v>45074</v>
      </c>
      <c r="G1097">
        <v>15.3</v>
      </c>
      <c r="H1097">
        <v>271.25</v>
      </c>
      <c r="I1097" t="s">
        <v>15</v>
      </c>
      <c r="J1097">
        <v>1709</v>
      </c>
      <c r="K1097">
        <v>4</v>
      </c>
      <c r="L1097" t="str">
        <f>IF(logistics_data[[#This Row],[Delivery_Date]]="","In Transit",
 IF(logistics_data[[#This Row],[Status]]="Lost","Lost",
 IF(logistics_data[[#This Row],[Status]]="Returned","Returned",
 IF(logistics_data[[#This Row],[Status]]="Delayed","Delayed",
 "Delivered"))))</f>
        <v>Delivered</v>
      </c>
      <c r="M1097" s="2">
        <f>logistics_data[[#This Row],[Cost]]/logistics_data[[#This Row],[Distance_miles]]</f>
        <v>0.15871854885898187</v>
      </c>
      <c r="N1097" t="str">
        <f>IF(logistics_data[[#This Row],[Orginal staus of shipment]]&lt;&gt;"Delivered","not applicabel", IF(logistics_data[[#This Row],[Transit_Days]]&gt;=5,"slow","fast"))</f>
        <v>fast</v>
      </c>
    </row>
    <row r="1098" spans="1:14" x14ac:dyDescent="0.3">
      <c r="A1098" t="s">
        <v>1144</v>
      </c>
      <c r="B1098" t="s">
        <v>51</v>
      </c>
      <c r="C1098" t="s">
        <v>52</v>
      </c>
      <c r="D1098" t="s">
        <v>32</v>
      </c>
      <c r="E1098" s="1">
        <v>45061</v>
      </c>
      <c r="F1098" s="1">
        <v>45067</v>
      </c>
      <c r="G1098">
        <v>7.1</v>
      </c>
      <c r="H1098">
        <v>304.95999999999998</v>
      </c>
      <c r="I1098" t="s">
        <v>15</v>
      </c>
      <c r="J1098">
        <v>2397</v>
      </c>
      <c r="K1098">
        <v>6</v>
      </c>
      <c r="L1098" t="str">
        <f>IF(logistics_data[[#This Row],[Delivery_Date]]="","In Transit",
 IF(logistics_data[[#This Row],[Status]]="Lost","Lost",
 IF(logistics_data[[#This Row],[Status]]="Returned","Returned",
 IF(logistics_data[[#This Row],[Status]]="Delayed","Delayed",
 "Delivered"))))</f>
        <v>Delivered</v>
      </c>
      <c r="M1098" s="2">
        <f>logistics_data[[#This Row],[Cost]]/logistics_data[[#This Row],[Distance_miles]]</f>
        <v>0.12722569879015436</v>
      </c>
      <c r="N1098" t="str">
        <f>IF(logistics_data[[#This Row],[Orginal staus of shipment]]&lt;&gt;"Delivered","not applicabel", IF(logistics_data[[#This Row],[Transit_Days]]&gt;=5,"slow","fast"))</f>
        <v>slow</v>
      </c>
    </row>
    <row r="1099" spans="1:14" x14ac:dyDescent="0.3">
      <c r="A1099" t="s">
        <v>1145</v>
      </c>
      <c r="B1099" t="s">
        <v>39</v>
      </c>
      <c r="C1099" t="s">
        <v>36</v>
      </c>
      <c r="D1099" t="s">
        <v>32</v>
      </c>
      <c r="E1099" s="1">
        <v>44937</v>
      </c>
      <c r="F1099" s="1">
        <v>44943</v>
      </c>
      <c r="G1099">
        <v>90.3</v>
      </c>
      <c r="H1099">
        <v>248.01</v>
      </c>
      <c r="I1099" t="s">
        <v>15</v>
      </c>
      <c r="J1099">
        <v>1076</v>
      </c>
      <c r="K1099">
        <v>6</v>
      </c>
      <c r="L1099" t="str">
        <f>IF(logistics_data[[#This Row],[Delivery_Date]]="","In Transit",
 IF(logistics_data[[#This Row],[Status]]="Lost","Lost",
 IF(logistics_data[[#This Row],[Status]]="Returned","Returned",
 IF(logistics_data[[#This Row],[Status]]="Delayed","Delayed",
 "Delivered"))))</f>
        <v>Delivered</v>
      </c>
      <c r="M1099" s="2">
        <f>logistics_data[[#This Row],[Cost]]/logistics_data[[#This Row],[Distance_miles]]</f>
        <v>0.23049256505576207</v>
      </c>
      <c r="N1099" t="str">
        <f>IF(logistics_data[[#This Row],[Orginal staus of shipment]]&lt;&gt;"Delivered","not applicabel", IF(logistics_data[[#This Row],[Transit_Days]]&gt;=5,"slow","fast"))</f>
        <v>slow</v>
      </c>
    </row>
    <row r="1100" spans="1:14" x14ac:dyDescent="0.3">
      <c r="A1100" t="s">
        <v>1146</v>
      </c>
      <c r="B1100" t="s">
        <v>20</v>
      </c>
      <c r="C1100" t="s">
        <v>13</v>
      </c>
      <c r="D1100" t="s">
        <v>42</v>
      </c>
      <c r="E1100" s="1">
        <v>45016</v>
      </c>
      <c r="F1100" s="1">
        <v>45020</v>
      </c>
      <c r="G1100">
        <v>30.3</v>
      </c>
      <c r="H1100">
        <v>127.04</v>
      </c>
      <c r="I1100" t="s">
        <v>15</v>
      </c>
      <c r="J1100">
        <v>862</v>
      </c>
      <c r="K1100">
        <v>4</v>
      </c>
      <c r="L1100" t="str">
        <f>IF(logistics_data[[#This Row],[Delivery_Date]]="","In Transit",
 IF(logistics_data[[#This Row],[Status]]="Lost","Lost",
 IF(logistics_data[[#This Row],[Status]]="Returned","Returned",
 IF(logistics_data[[#This Row],[Status]]="Delayed","Delayed",
 "Delivered"))))</f>
        <v>Delivered</v>
      </c>
      <c r="M1100" s="2">
        <f>logistics_data[[#This Row],[Cost]]/logistics_data[[#This Row],[Distance_miles]]</f>
        <v>0.14737819025522042</v>
      </c>
      <c r="N1100" t="str">
        <f>IF(logistics_data[[#This Row],[Orginal staus of shipment]]&lt;&gt;"Delivered","not applicabel", IF(logistics_data[[#This Row],[Transit_Days]]&gt;=5,"slow","fast"))</f>
        <v>fast</v>
      </c>
    </row>
    <row r="1101" spans="1:14" x14ac:dyDescent="0.3">
      <c r="A1101" t="s">
        <v>1147</v>
      </c>
      <c r="B1101" t="s">
        <v>56</v>
      </c>
      <c r="C1101" t="s">
        <v>17</v>
      </c>
      <c r="D1101" t="s">
        <v>25</v>
      </c>
      <c r="E1101" s="1">
        <v>45224</v>
      </c>
      <c r="F1101" s="1">
        <v>45230</v>
      </c>
      <c r="G1101">
        <v>12.6</v>
      </c>
      <c r="H1101">
        <v>158.56</v>
      </c>
      <c r="I1101" t="s">
        <v>15</v>
      </c>
      <c r="J1101">
        <v>1256</v>
      </c>
      <c r="K1101">
        <v>6</v>
      </c>
      <c r="L1101" t="str">
        <f>IF(logistics_data[[#This Row],[Delivery_Date]]="","In Transit",
 IF(logistics_data[[#This Row],[Status]]="Lost","Lost",
 IF(logistics_data[[#This Row],[Status]]="Returned","Returned",
 IF(logistics_data[[#This Row],[Status]]="Delayed","Delayed",
 "Delivered"))))</f>
        <v>Delivered</v>
      </c>
      <c r="M1101" s="2">
        <f>logistics_data[[#This Row],[Cost]]/logistics_data[[#This Row],[Distance_miles]]</f>
        <v>0.12624203821656052</v>
      </c>
      <c r="N1101" t="str">
        <f>IF(logistics_data[[#This Row],[Orginal staus of shipment]]&lt;&gt;"Delivered","not applicabel", IF(logistics_data[[#This Row],[Transit_Days]]&gt;=5,"slow","fast"))</f>
        <v>slow</v>
      </c>
    </row>
    <row r="1102" spans="1:14" x14ac:dyDescent="0.3">
      <c r="A1102" t="s">
        <v>1148</v>
      </c>
      <c r="B1102" t="s">
        <v>51</v>
      </c>
      <c r="C1102" t="s">
        <v>54</v>
      </c>
      <c r="D1102" t="s">
        <v>32</v>
      </c>
      <c r="E1102" s="1">
        <v>45178</v>
      </c>
      <c r="F1102" s="1">
        <v>45182</v>
      </c>
      <c r="G1102">
        <v>15</v>
      </c>
      <c r="H1102">
        <v>185.82</v>
      </c>
      <c r="I1102" t="s">
        <v>15</v>
      </c>
      <c r="J1102">
        <v>1368</v>
      </c>
      <c r="K1102">
        <v>4</v>
      </c>
      <c r="L1102" t="str">
        <f>IF(logistics_data[[#This Row],[Delivery_Date]]="","In Transit",
 IF(logistics_data[[#This Row],[Status]]="Lost","Lost",
 IF(logistics_data[[#This Row],[Status]]="Returned","Returned",
 IF(logistics_data[[#This Row],[Status]]="Delayed","Delayed",
 "Delivered"))))</f>
        <v>Delivered</v>
      </c>
      <c r="M1102" s="2">
        <f>logistics_data[[#This Row],[Cost]]/logistics_data[[#This Row],[Distance_miles]]</f>
        <v>0.13583333333333333</v>
      </c>
      <c r="N1102" t="str">
        <f>IF(logistics_data[[#This Row],[Orginal staus of shipment]]&lt;&gt;"Delivered","not applicabel", IF(logistics_data[[#This Row],[Transit_Days]]&gt;=5,"slow","fast"))</f>
        <v>fast</v>
      </c>
    </row>
    <row r="1103" spans="1:14" x14ac:dyDescent="0.3">
      <c r="A1103" t="s">
        <v>1149</v>
      </c>
      <c r="B1103" t="s">
        <v>35</v>
      </c>
      <c r="C1103" t="s">
        <v>54</v>
      </c>
      <c r="D1103" t="s">
        <v>25</v>
      </c>
      <c r="E1103" s="1">
        <v>44928</v>
      </c>
      <c r="F1103" s="1">
        <v>44946</v>
      </c>
      <c r="G1103">
        <v>57.4</v>
      </c>
      <c r="H1103">
        <v>222.36</v>
      </c>
      <c r="I1103" t="s">
        <v>47</v>
      </c>
      <c r="J1103">
        <v>1350</v>
      </c>
      <c r="K1103">
        <v>5</v>
      </c>
      <c r="L1103" t="str">
        <f>IF(logistics_data[[#This Row],[Delivery_Date]]="","In Transit",
 IF(logistics_data[[#This Row],[Status]]="Lost","Lost",
 IF(logistics_data[[#This Row],[Status]]="Returned","Returned",
 IF(logistics_data[[#This Row],[Status]]="Delayed","Delayed",
 "Delivered"))))</f>
        <v>Delayed</v>
      </c>
      <c r="M1103" s="2">
        <f>logistics_data[[#This Row],[Cost]]/logistics_data[[#This Row],[Distance_miles]]</f>
        <v>0.16471111111111111</v>
      </c>
      <c r="N1103" t="str">
        <f>IF(logistics_data[[#This Row],[Orginal staus of shipment]]&lt;&gt;"Delivered","not applicabel", IF(logistics_data[[#This Row],[Transit_Days]]&gt;=5,"slow","fast"))</f>
        <v>not applicabel</v>
      </c>
    </row>
    <row r="1104" spans="1:14" x14ac:dyDescent="0.3">
      <c r="A1104" t="s">
        <v>1150</v>
      </c>
      <c r="B1104" t="s">
        <v>30</v>
      </c>
      <c r="C1104" t="s">
        <v>21</v>
      </c>
      <c r="D1104" t="s">
        <v>14</v>
      </c>
      <c r="E1104" s="1">
        <v>45252</v>
      </c>
      <c r="F1104" s="1">
        <v>45257</v>
      </c>
      <c r="G1104">
        <v>61.5</v>
      </c>
      <c r="H1104">
        <v>383.67</v>
      </c>
      <c r="I1104" t="s">
        <v>15</v>
      </c>
      <c r="J1104">
        <v>1976</v>
      </c>
      <c r="K1104">
        <v>5</v>
      </c>
      <c r="L1104" t="str">
        <f>IF(logistics_data[[#This Row],[Delivery_Date]]="","In Transit",
 IF(logistics_data[[#This Row],[Status]]="Lost","Lost",
 IF(logistics_data[[#This Row],[Status]]="Returned","Returned",
 IF(logistics_data[[#This Row],[Status]]="Delayed","Delayed",
 "Delivered"))))</f>
        <v>Delivered</v>
      </c>
      <c r="M1104" s="2">
        <f>logistics_data[[#This Row],[Cost]]/logistics_data[[#This Row],[Distance_miles]]</f>
        <v>0.19416497975708502</v>
      </c>
      <c r="N1104" t="str">
        <f>IF(logistics_data[[#This Row],[Orginal staus of shipment]]&lt;&gt;"Delivered","not applicabel", IF(logistics_data[[#This Row],[Transit_Days]]&gt;=5,"slow","fast"))</f>
        <v>slow</v>
      </c>
    </row>
    <row r="1105" spans="1:14" x14ac:dyDescent="0.3">
      <c r="A1105" t="s">
        <v>1151</v>
      </c>
      <c r="B1105" t="s">
        <v>20</v>
      </c>
      <c r="C1105" t="s">
        <v>13</v>
      </c>
      <c r="D1105" t="s">
        <v>32</v>
      </c>
      <c r="E1105" s="1">
        <v>45156</v>
      </c>
      <c r="F1105" s="1">
        <v>45162</v>
      </c>
      <c r="G1105">
        <v>7.7</v>
      </c>
      <c r="H1105">
        <v>49.02</v>
      </c>
      <c r="I1105" t="s">
        <v>62</v>
      </c>
      <c r="J1105">
        <v>313</v>
      </c>
      <c r="K1105">
        <v>6</v>
      </c>
      <c r="L1105" t="str">
        <f>IF(logistics_data[[#This Row],[Delivery_Date]]="","In Transit",
 IF(logistics_data[[#This Row],[Status]]="Lost","Lost",
 IF(logistics_data[[#This Row],[Status]]="Returned","Returned",
 IF(logistics_data[[#This Row],[Status]]="Delayed","Delayed",
 "Delivered"))))</f>
        <v>Delivered</v>
      </c>
      <c r="M1105" s="2">
        <f>logistics_data[[#This Row],[Cost]]/logistics_data[[#This Row],[Distance_miles]]</f>
        <v>0.15661341853035146</v>
      </c>
      <c r="N1105" t="str">
        <f>IF(logistics_data[[#This Row],[Orginal staus of shipment]]&lt;&gt;"Delivered","not applicabel", IF(logistics_data[[#This Row],[Transit_Days]]&gt;=5,"slow","fast"))</f>
        <v>slow</v>
      </c>
    </row>
    <row r="1106" spans="1:14" x14ac:dyDescent="0.3">
      <c r="A1106" t="s">
        <v>1152</v>
      </c>
      <c r="B1106" t="s">
        <v>39</v>
      </c>
      <c r="C1106" t="s">
        <v>81</v>
      </c>
      <c r="D1106" t="s">
        <v>32</v>
      </c>
      <c r="E1106" s="1">
        <v>45262</v>
      </c>
      <c r="F1106" s="1">
        <v>45265</v>
      </c>
      <c r="G1106">
        <v>53.7</v>
      </c>
      <c r="H1106">
        <v>255.13</v>
      </c>
      <c r="I1106" t="s">
        <v>15</v>
      </c>
      <c r="J1106">
        <v>1030</v>
      </c>
      <c r="K1106">
        <v>3</v>
      </c>
      <c r="L1106" t="str">
        <f>IF(logistics_data[[#This Row],[Delivery_Date]]="","In Transit",
 IF(logistics_data[[#This Row],[Status]]="Lost","Lost",
 IF(logistics_data[[#This Row],[Status]]="Returned","Returned",
 IF(logistics_data[[#This Row],[Status]]="Delayed","Delayed",
 "Delivered"))))</f>
        <v>Delivered</v>
      </c>
      <c r="M1106" s="2">
        <f>logistics_data[[#This Row],[Cost]]/logistics_data[[#This Row],[Distance_miles]]</f>
        <v>0.24769902912621358</v>
      </c>
      <c r="N1106" t="str">
        <f>IF(logistics_data[[#This Row],[Orginal staus of shipment]]&lt;&gt;"Delivered","not applicabel", IF(logistics_data[[#This Row],[Transit_Days]]&gt;=5,"slow","fast"))</f>
        <v>fast</v>
      </c>
    </row>
    <row r="1107" spans="1:14" x14ac:dyDescent="0.3">
      <c r="A1107" t="s">
        <v>1153</v>
      </c>
      <c r="B1107" t="s">
        <v>20</v>
      </c>
      <c r="C1107" t="s">
        <v>13</v>
      </c>
      <c r="D1107" t="s">
        <v>42</v>
      </c>
      <c r="E1107" s="1">
        <v>45141</v>
      </c>
      <c r="F1107" s="1">
        <v>45148</v>
      </c>
      <c r="G1107">
        <v>54.6</v>
      </c>
      <c r="H1107">
        <v>6562.21</v>
      </c>
      <c r="I1107" t="s">
        <v>15</v>
      </c>
      <c r="J1107">
        <v>1942</v>
      </c>
      <c r="K1107">
        <v>7</v>
      </c>
      <c r="L1107" t="str">
        <f>IF(logistics_data[[#This Row],[Delivery_Date]]="","In Transit",
 IF(logistics_data[[#This Row],[Status]]="Lost","Lost",
 IF(logistics_data[[#This Row],[Status]]="Returned","Returned",
 IF(logistics_data[[#This Row],[Status]]="Delayed","Delayed",
 "Delivered"))))</f>
        <v>Delivered</v>
      </c>
      <c r="M1107" s="2">
        <f>logistics_data[[#This Row],[Cost]]/logistics_data[[#This Row],[Distance_miles]]</f>
        <v>3.3790988671472708</v>
      </c>
      <c r="N1107" t="str">
        <f>IF(logistics_data[[#This Row],[Orginal staus of shipment]]&lt;&gt;"Delivered","not applicabel", IF(logistics_data[[#This Row],[Transit_Days]]&gt;=5,"slow","fast"))</f>
        <v>slow</v>
      </c>
    </row>
    <row r="1108" spans="1:14" x14ac:dyDescent="0.3">
      <c r="A1108" t="s">
        <v>1154</v>
      </c>
      <c r="B1108" t="s">
        <v>56</v>
      </c>
      <c r="C1108" t="s">
        <v>13</v>
      </c>
      <c r="D1108" t="s">
        <v>14</v>
      </c>
      <c r="E1108" s="1">
        <v>44997</v>
      </c>
      <c r="F1108" s="1">
        <v>45000</v>
      </c>
      <c r="G1108">
        <v>19</v>
      </c>
      <c r="H1108">
        <v>180.68</v>
      </c>
      <c r="I1108" t="s">
        <v>15</v>
      </c>
      <c r="J1108">
        <v>1291</v>
      </c>
      <c r="K1108">
        <v>3</v>
      </c>
      <c r="L1108" t="str">
        <f>IF(logistics_data[[#This Row],[Delivery_Date]]="","In Transit",
 IF(logistics_data[[#This Row],[Status]]="Lost","Lost",
 IF(logistics_data[[#This Row],[Status]]="Returned","Returned",
 IF(logistics_data[[#This Row],[Status]]="Delayed","Delayed",
 "Delivered"))))</f>
        <v>Delivered</v>
      </c>
      <c r="M1108" s="2">
        <f>logistics_data[[#This Row],[Cost]]/logistics_data[[#This Row],[Distance_miles]]</f>
        <v>0.13995352439969017</v>
      </c>
      <c r="N1108" t="str">
        <f>IF(logistics_data[[#This Row],[Orginal staus of shipment]]&lt;&gt;"Delivered","not applicabel", IF(logistics_data[[#This Row],[Transit_Days]]&gt;=5,"slow","fast"))</f>
        <v>fast</v>
      </c>
    </row>
    <row r="1109" spans="1:14" x14ac:dyDescent="0.3">
      <c r="A1109" t="s">
        <v>1155</v>
      </c>
      <c r="B1109" t="s">
        <v>49</v>
      </c>
      <c r="C1109" t="s">
        <v>36</v>
      </c>
      <c r="D1109" t="s">
        <v>32</v>
      </c>
      <c r="E1109" s="1">
        <v>45255</v>
      </c>
      <c r="F1109" s="1">
        <v>45264</v>
      </c>
      <c r="G1109">
        <v>12.6</v>
      </c>
      <c r="H1109">
        <v>291.61</v>
      </c>
      <c r="I1109" t="s">
        <v>47</v>
      </c>
      <c r="J1109">
        <v>1899</v>
      </c>
      <c r="K1109">
        <v>5</v>
      </c>
      <c r="L1109" t="str">
        <f>IF(logistics_data[[#This Row],[Delivery_Date]]="","In Transit",
 IF(logistics_data[[#This Row],[Status]]="Lost","Lost",
 IF(logistics_data[[#This Row],[Status]]="Returned","Returned",
 IF(logistics_data[[#This Row],[Status]]="Delayed","Delayed",
 "Delivered"))))</f>
        <v>Delayed</v>
      </c>
      <c r="M1109" s="2">
        <f>logistics_data[[#This Row],[Cost]]/logistics_data[[#This Row],[Distance_miles]]</f>
        <v>0.15355976829910481</v>
      </c>
      <c r="N1109" t="str">
        <f>IF(logistics_data[[#This Row],[Orginal staus of shipment]]&lt;&gt;"Delivered","not applicabel", IF(logistics_data[[#This Row],[Transit_Days]]&gt;=5,"slow","fast"))</f>
        <v>not applicabel</v>
      </c>
    </row>
    <row r="1110" spans="1:14" x14ac:dyDescent="0.3">
      <c r="A1110" t="s">
        <v>1156</v>
      </c>
      <c r="B1110" t="s">
        <v>23</v>
      </c>
      <c r="C1110" t="s">
        <v>54</v>
      </c>
      <c r="D1110" t="s">
        <v>14</v>
      </c>
      <c r="E1110" s="1">
        <v>45103</v>
      </c>
      <c r="F1110" s="1">
        <v>45108</v>
      </c>
      <c r="G1110">
        <v>54.3</v>
      </c>
      <c r="H1110">
        <v>314.48</v>
      </c>
      <c r="I1110" t="s">
        <v>15</v>
      </c>
      <c r="J1110">
        <v>1853</v>
      </c>
      <c r="K1110">
        <v>5</v>
      </c>
      <c r="L1110" t="str">
        <f>IF(logistics_data[[#This Row],[Delivery_Date]]="","In Transit",
 IF(logistics_data[[#This Row],[Status]]="Lost","Lost",
 IF(logistics_data[[#This Row],[Status]]="Returned","Returned",
 IF(logistics_data[[#This Row],[Status]]="Delayed","Delayed",
 "Delivered"))))</f>
        <v>Delivered</v>
      </c>
      <c r="M1110" s="2">
        <f>logistics_data[[#This Row],[Cost]]/logistics_data[[#This Row],[Distance_miles]]</f>
        <v>0.16971397733405288</v>
      </c>
      <c r="N1110" t="str">
        <f>IF(logistics_data[[#This Row],[Orginal staus of shipment]]&lt;&gt;"Delivered","not applicabel", IF(logistics_data[[#This Row],[Transit_Days]]&gt;=5,"slow","fast"))</f>
        <v>slow</v>
      </c>
    </row>
    <row r="1111" spans="1:14" x14ac:dyDescent="0.3">
      <c r="A1111" t="s">
        <v>1157</v>
      </c>
      <c r="B1111" t="s">
        <v>20</v>
      </c>
      <c r="C1111" t="s">
        <v>28</v>
      </c>
      <c r="D1111" t="s">
        <v>18</v>
      </c>
      <c r="E1111" s="1">
        <v>44934</v>
      </c>
      <c r="F1111" s="1">
        <v>44937</v>
      </c>
      <c r="G1111">
        <v>11.8</v>
      </c>
      <c r="H1111">
        <v>193.89</v>
      </c>
      <c r="I1111" t="s">
        <v>15</v>
      </c>
      <c r="J1111">
        <v>1435</v>
      </c>
      <c r="K1111">
        <v>3</v>
      </c>
      <c r="L1111" t="str">
        <f>IF(logistics_data[[#This Row],[Delivery_Date]]="","In Transit",
 IF(logistics_data[[#This Row],[Status]]="Lost","Lost",
 IF(logistics_data[[#This Row],[Status]]="Returned","Returned",
 IF(logistics_data[[#This Row],[Status]]="Delayed","Delayed",
 "Delivered"))))</f>
        <v>Delivered</v>
      </c>
      <c r="M1111" s="2">
        <f>logistics_data[[#This Row],[Cost]]/logistics_data[[#This Row],[Distance_miles]]</f>
        <v>0.13511498257839721</v>
      </c>
      <c r="N1111" t="str">
        <f>IF(logistics_data[[#This Row],[Orginal staus of shipment]]&lt;&gt;"Delivered","not applicabel", IF(logistics_data[[#This Row],[Transit_Days]]&gt;=5,"slow","fast"))</f>
        <v>fast</v>
      </c>
    </row>
    <row r="1112" spans="1:14" x14ac:dyDescent="0.3">
      <c r="A1112" t="s">
        <v>1158</v>
      </c>
      <c r="B1112" t="s">
        <v>51</v>
      </c>
      <c r="C1112" t="s">
        <v>36</v>
      </c>
      <c r="D1112" t="s">
        <v>32</v>
      </c>
      <c r="E1112" s="1">
        <v>45139</v>
      </c>
      <c r="F1112" s="1">
        <v>45145</v>
      </c>
      <c r="G1112">
        <v>22.9</v>
      </c>
      <c r="H1112">
        <v>358.05</v>
      </c>
      <c r="I1112" t="s">
        <v>15</v>
      </c>
      <c r="J1112">
        <v>2443</v>
      </c>
      <c r="K1112">
        <v>6</v>
      </c>
      <c r="L1112" t="str">
        <f>IF(logistics_data[[#This Row],[Delivery_Date]]="","In Transit",
 IF(logistics_data[[#This Row],[Status]]="Lost","Lost",
 IF(logistics_data[[#This Row],[Status]]="Returned","Returned",
 IF(logistics_data[[#This Row],[Status]]="Delayed","Delayed",
 "Delivered"))))</f>
        <v>Delivered</v>
      </c>
      <c r="M1112" s="2">
        <f>logistics_data[[#This Row],[Cost]]/logistics_data[[#This Row],[Distance_miles]]</f>
        <v>0.14656160458452722</v>
      </c>
      <c r="N1112" t="str">
        <f>IF(logistics_data[[#This Row],[Orginal staus of shipment]]&lt;&gt;"Delivered","not applicabel", IF(logistics_data[[#This Row],[Transit_Days]]&gt;=5,"slow","fast"))</f>
        <v>slow</v>
      </c>
    </row>
    <row r="1113" spans="1:14" x14ac:dyDescent="0.3">
      <c r="A1113" t="s">
        <v>1159</v>
      </c>
      <c r="B1113" t="s">
        <v>49</v>
      </c>
      <c r="C1113" t="s">
        <v>13</v>
      </c>
      <c r="D1113" t="s">
        <v>59</v>
      </c>
      <c r="E1113" s="1">
        <v>44965</v>
      </c>
      <c r="F1113" s="1">
        <v>44967</v>
      </c>
      <c r="G1113">
        <v>24.1</v>
      </c>
      <c r="H1113">
        <v>80.77</v>
      </c>
      <c r="I1113" t="s">
        <v>15</v>
      </c>
      <c r="J1113">
        <v>531</v>
      </c>
      <c r="K1113">
        <v>2</v>
      </c>
      <c r="L1113" t="str">
        <f>IF(logistics_data[[#This Row],[Delivery_Date]]="","In Transit",
 IF(logistics_data[[#This Row],[Status]]="Lost","Lost",
 IF(logistics_data[[#This Row],[Status]]="Returned","Returned",
 IF(logistics_data[[#This Row],[Status]]="Delayed","Delayed",
 "Delivered"))))</f>
        <v>Delivered</v>
      </c>
      <c r="M1113" s="2">
        <f>logistics_data[[#This Row],[Cost]]/logistics_data[[#This Row],[Distance_miles]]</f>
        <v>0.15210922787193973</v>
      </c>
      <c r="N1113" t="str">
        <f>IF(logistics_data[[#This Row],[Orginal staus of shipment]]&lt;&gt;"Delivered","not applicabel", IF(logistics_data[[#This Row],[Transit_Days]]&gt;=5,"slow","fast"))</f>
        <v>fast</v>
      </c>
    </row>
    <row r="1114" spans="1:14" x14ac:dyDescent="0.3">
      <c r="A1114" t="s">
        <v>1160</v>
      </c>
      <c r="B1114" t="s">
        <v>39</v>
      </c>
      <c r="C1114" t="s">
        <v>21</v>
      </c>
      <c r="D1114" t="s">
        <v>59</v>
      </c>
      <c r="E1114" s="1">
        <v>45076</v>
      </c>
      <c r="F1114" s="1">
        <v>45077</v>
      </c>
      <c r="G1114">
        <v>24.2</v>
      </c>
      <c r="H1114">
        <v>44.49</v>
      </c>
      <c r="I1114" t="s">
        <v>15</v>
      </c>
      <c r="J1114">
        <v>134</v>
      </c>
      <c r="K1114">
        <v>1</v>
      </c>
      <c r="L1114" t="str">
        <f>IF(logistics_data[[#This Row],[Delivery_Date]]="","In Transit",
 IF(logistics_data[[#This Row],[Status]]="Lost","Lost",
 IF(logistics_data[[#This Row],[Status]]="Returned","Returned",
 IF(logistics_data[[#This Row],[Status]]="Delayed","Delayed",
 "Delivered"))))</f>
        <v>Delivered</v>
      </c>
      <c r="M1114" s="2">
        <f>logistics_data[[#This Row],[Cost]]/logistics_data[[#This Row],[Distance_miles]]</f>
        <v>0.33201492537313432</v>
      </c>
      <c r="N1114" t="str">
        <f>IF(logistics_data[[#This Row],[Orginal staus of shipment]]&lt;&gt;"Delivered","not applicabel", IF(logistics_data[[#This Row],[Transit_Days]]&gt;=5,"slow","fast"))</f>
        <v>fast</v>
      </c>
    </row>
    <row r="1115" spans="1:14" x14ac:dyDescent="0.3">
      <c r="A1115" t="s">
        <v>1161</v>
      </c>
      <c r="B1115" t="s">
        <v>27</v>
      </c>
      <c r="C1115" t="s">
        <v>24</v>
      </c>
      <c r="D1115" t="s">
        <v>32</v>
      </c>
      <c r="E1115" s="1">
        <v>45105</v>
      </c>
      <c r="F1115" s="1">
        <v>45110</v>
      </c>
      <c r="G1115">
        <v>54.5</v>
      </c>
      <c r="H1115">
        <v>373.97</v>
      </c>
      <c r="I1115" t="s">
        <v>15</v>
      </c>
      <c r="J1115">
        <v>2490</v>
      </c>
      <c r="K1115">
        <v>5</v>
      </c>
      <c r="L1115" t="str">
        <f>IF(logistics_data[[#This Row],[Delivery_Date]]="","In Transit",
 IF(logistics_data[[#This Row],[Status]]="Lost","Lost",
 IF(logistics_data[[#This Row],[Status]]="Returned","Returned",
 IF(logistics_data[[#This Row],[Status]]="Delayed","Delayed",
 "Delivered"))))</f>
        <v>Delivered</v>
      </c>
      <c r="M1115" s="2">
        <f>logistics_data[[#This Row],[Cost]]/logistics_data[[#This Row],[Distance_miles]]</f>
        <v>0.15018875502008033</v>
      </c>
      <c r="N1115" t="str">
        <f>IF(logistics_data[[#This Row],[Orginal staus of shipment]]&lt;&gt;"Delivered","not applicabel", IF(logistics_data[[#This Row],[Transit_Days]]&gt;=5,"slow","fast"))</f>
        <v>slow</v>
      </c>
    </row>
    <row r="1116" spans="1:14" x14ac:dyDescent="0.3">
      <c r="A1116" t="s">
        <v>1162</v>
      </c>
      <c r="B1116" t="s">
        <v>35</v>
      </c>
      <c r="C1116" t="s">
        <v>70</v>
      </c>
      <c r="D1116" t="s">
        <v>37</v>
      </c>
      <c r="E1116" s="1">
        <v>44983</v>
      </c>
      <c r="F1116" s="1">
        <v>44992</v>
      </c>
      <c r="G1116">
        <v>26.2</v>
      </c>
      <c r="H1116">
        <v>282.94</v>
      </c>
      <c r="I1116" t="s">
        <v>15</v>
      </c>
      <c r="J1116">
        <v>2291</v>
      </c>
      <c r="K1116">
        <v>9</v>
      </c>
      <c r="L1116" t="str">
        <f>IF(logistics_data[[#This Row],[Delivery_Date]]="","In Transit",
 IF(logistics_data[[#This Row],[Status]]="Lost","Lost",
 IF(logistics_data[[#This Row],[Status]]="Returned","Returned",
 IF(logistics_data[[#This Row],[Status]]="Delayed","Delayed",
 "Delivered"))))</f>
        <v>Delivered</v>
      </c>
      <c r="M1116" s="2">
        <f>logistics_data[[#This Row],[Cost]]/logistics_data[[#This Row],[Distance_miles]]</f>
        <v>0.12350065473592317</v>
      </c>
      <c r="N1116" t="str">
        <f>IF(logistics_data[[#This Row],[Orginal staus of shipment]]&lt;&gt;"Delivered","not applicabel", IF(logistics_data[[#This Row],[Transit_Days]]&gt;=5,"slow","fast"))</f>
        <v>slow</v>
      </c>
    </row>
    <row r="1117" spans="1:14" x14ac:dyDescent="0.3">
      <c r="A1117" t="s">
        <v>1163</v>
      </c>
      <c r="B1117" t="s">
        <v>39</v>
      </c>
      <c r="C1117" t="s">
        <v>17</v>
      </c>
      <c r="D1117" t="s">
        <v>18</v>
      </c>
      <c r="E1117" s="1">
        <v>44987</v>
      </c>
      <c r="F1117" s="1">
        <v>44992</v>
      </c>
      <c r="G1117">
        <v>17.8</v>
      </c>
      <c r="H1117">
        <v>123.19</v>
      </c>
      <c r="I1117" t="s">
        <v>15</v>
      </c>
      <c r="J1117">
        <v>800</v>
      </c>
      <c r="K1117">
        <v>5</v>
      </c>
      <c r="L1117" t="str">
        <f>IF(logistics_data[[#This Row],[Delivery_Date]]="","In Transit",
 IF(logistics_data[[#This Row],[Status]]="Lost","Lost",
 IF(logistics_data[[#This Row],[Status]]="Returned","Returned",
 IF(logistics_data[[#This Row],[Status]]="Delayed","Delayed",
 "Delivered"))))</f>
        <v>Delivered</v>
      </c>
      <c r="M1117" s="2">
        <f>logistics_data[[#This Row],[Cost]]/logistics_data[[#This Row],[Distance_miles]]</f>
        <v>0.1539875</v>
      </c>
      <c r="N1117" t="str">
        <f>IF(logistics_data[[#This Row],[Orginal staus of shipment]]&lt;&gt;"Delivered","not applicabel", IF(logistics_data[[#This Row],[Transit_Days]]&gt;=5,"slow","fast"))</f>
        <v>slow</v>
      </c>
    </row>
    <row r="1118" spans="1:14" x14ac:dyDescent="0.3">
      <c r="A1118" t="s">
        <v>1164</v>
      </c>
      <c r="B1118" t="s">
        <v>20</v>
      </c>
      <c r="C1118" t="s">
        <v>54</v>
      </c>
      <c r="D1118" t="s">
        <v>42</v>
      </c>
      <c r="E1118" s="1">
        <v>45277</v>
      </c>
      <c r="F1118" s="1">
        <v>45281</v>
      </c>
      <c r="G1118">
        <v>16.399999999999999</v>
      </c>
      <c r="H1118">
        <v>316.52</v>
      </c>
      <c r="I1118" t="s">
        <v>67</v>
      </c>
      <c r="J1118">
        <v>1914</v>
      </c>
      <c r="K1118">
        <v>4</v>
      </c>
      <c r="L1118" t="str">
        <f>IF(logistics_data[[#This Row],[Delivery_Date]]="","In Transit",
 IF(logistics_data[[#This Row],[Status]]="Lost","Lost",
 IF(logistics_data[[#This Row],[Status]]="Returned","Returned",
 IF(logistics_data[[#This Row],[Status]]="Delayed","Delayed",
 "Delivered"))))</f>
        <v>Returned</v>
      </c>
      <c r="M1118" s="2">
        <f>logistics_data[[#This Row],[Cost]]/logistics_data[[#This Row],[Distance_miles]]</f>
        <v>0.16537095088819226</v>
      </c>
      <c r="N1118" t="str">
        <f>IF(logistics_data[[#This Row],[Orginal staus of shipment]]&lt;&gt;"Delivered","not applicabel", IF(logistics_data[[#This Row],[Transit_Days]]&gt;=5,"slow","fast"))</f>
        <v>not applicabel</v>
      </c>
    </row>
    <row r="1119" spans="1:14" x14ac:dyDescent="0.3">
      <c r="A1119" t="s">
        <v>1165</v>
      </c>
      <c r="B1119" t="s">
        <v>56</v>
      </c>
      <c r="C1119" t="s">
        <v>40</v>
      </c>
      <c r="D1119" t="s">
        <v>59</v>
      </c>
      <c r="E1119" s="1">
        <v>45017</v>
      </c>
      <c r="G1119">
        <v>10.8</v>
      </c>
      <c r="H1119">
        <v>218.34</v>
      </c>
      <c r="I1119" t="s">
        <v>15</v>
      </c>
      <c r="J1119">
        <v>1937</v>
      </c>
      <c r="K1119">
        <v>5</v>
      </c>
      <c r="L1119" t="str">
        <f>IF(logistics_data[[#This Row],[Delivery_Date]]="","In Transit",
 IF(logistics_data[[#This Row],[Status]]="Lost","Lost",
 IF(logistics_data[[#This Row],[Status]]="Returned","Returned",
 IF(logistics_data[[#This Row],[Status]]="Delayed","Delayed",
 "Delivered"))))</f>
        <v>In Transit</v>
      </c>
      <c r="M1119" s="2">
        <f>logistics_data[[#This Row],[Cost]]/logistics_data[[#This Row],[Distance_miles]]</f>
        <v>0.11272070211667527</v>
      </c>
      <c r="N1119" t="str">
        <f>IF(logistics_data[[#This Row],[Orginal staus of shipment]]&lt;&gt;"Delivered","not applicabel", IF(logistics_data[[#This Row],[Transit_Days]]&gt;=5,"slow","fast"))</f>
        <v>not applicabel</v>
      </c>
    </row>
    <row r="1120" spans="1:14" x14ac:dyDescent="0.3">
      <c r="A1120" t="s">
        <v>1166</v>
      </c>
      <c r="B1120" t="s">
        <v>30</v>
      </c>
      <c r="C1120" t="s">
        <v>28</v>
      </c>
      <c r="D1120" t="s">
        <v>37</v>
      </c>
      <c r="E1120" s="1">
        <v>44951</v>
      </c>
      <c r="F1120" s="1">
        <v>44956</v>
      </c>
      <c r="G1120">
        <v>44.6</v>
      </c>
      <c r="H1120">
        <v>209.38</v>
      </c>
      <c r="I1120" t="s">
        <v>15</v>
      </c>
      <c r="J1120">
        <v>1333</v>
      </c>
      <c r="K1120">
        <v>5</v>
      </c>
      <c r="L1120" t="str">
        <f>IF(logistics_data[[#This Row],[Delivery_Date]]="","In Transit",
 IF(logistics_data[[#This Row],[Status]]="Lost","Lost",
 IF(logistics_data[[#This Row],[Status]]="Returned","Returned",
 IF(logistics_data[[#This Row],[Status]]="Delayed","Delayed",
 "Delivered"))))</f>
        <v>Delivered</v>
      </c>
      <c r="M1120" s="2">
        <f>logistics_data[[#This Row],[Cost]]/logistics_data[[#This Row],[Distance_miles]]</f>
        <v>0.15707426856714179</v>
      </c>
      <c r="N1120" t="str">
        <f>IF(logistics_data[[#This Row],[Orginal staus of shipment]]&lt;&gt;"Delivered","not applicabel", IF(logistics_data[[#This Row],[Transit_Days]]&gt;=5,"slow","fast"))</f>
        <v>slow</v>
      </c>
    </row>
    <row r="1121" spans="1:14" x14ac:dyDescent="0.3">
      <c r="A1121" t="s">
        <v>1167</v>
      </c>
      <c r="B1121" t="s">
        <v>23</v>
      </c>
      <c r="C1121" t="s">
        <v>24</v>
      </c>
      <c r="D1121" t="s">
        <v>59</v>
      </c>
      <c r="E1121" s="1">
        <v>45289</v>
      </c>
      <c r="F1121" s="1">
        <v>45295</v>
      </c>
      <c r="G1121">
        <v>6.7</v>
      </c>
      <c r="H1121">
        <v>88.73</v>
      </c>
      <c r="I1121" t="s">
        <v>15</v>
      </c>
      <c r="J1121">
        <v>627</v>
      </c>
      <c r="K1121">
        <v>6</v>
      </c>
      <c r="L1121" t="str">
        <f>IF(logistics_data[[#This Row],[Delivery_Date]]="","In Transit",
 IF(logistics_data[[#This Row],[Status]]="Lost","Lost",
 IF(logistics_data[[#This Row],[Status]]="Returned","Returned",
 IF(logistics_data[[#This Row],[Status]]="Delayed","Delayed",
 "Delivered"))))</f>
        <v>Delivered</v>
      </c>
      <c r="M1121" s="2">
        <f>logistics_data[[#This Row],[Cost]]/logistics_data[[#This Row],[Distance_miles]]</f>
        <v>0.14151515151515151</v>
      </c>
      <c r="N1121" t="str">
        <f>IF(logistics_data[[#This Row],[Orginal staus of shipment]]&lt;&gt;"Delivered","not applicabel", IF(logistics_data[[#This Row],[Transit_Days]]&gt;=5,"slow","fast"))</f>
        <v>slow</v>
      </c>
    </row>
    <row r="1122" spans="1:14" x14ac:dyDescent="0.3">
      <c r="A1122" t="s">
        <v>1168</v>
      </c>
      <c r="B1122" t="s">
        <v>51</v>
      </c>
      <c r="C1122" t="s">
        <v>21</v>
      </c>
      <c r="D1122" t="s">
        <v>32</v>
      </c>
      <c r="E1122" s="1">
        <v>45258</v>
      </c>
      <c r="F1122" s="1">
        <v>45262</v>
      </c>
      <c r="G1122">
        <v>54.5</v>
      </c>
      <c r="H1122">
        <v>232.49</v>
      </c>
      <c r="I1122" t="s">
        <v>15</v>
      </c>
      <c r="J1122">
        <v>866</v>
      </c>
      <c r="K1122">
        <v>4</v>
      </c>
      <c r="L1122" t="str">
        <f>IF(logistics_data[[#This Row],[Delivery_Date]]="","In Transit",
 IF(logistics_data[[#This Row],[Status]]="Lost","Lost",
 IF(logistics_data[[#This Row],[Status]]="Returned","Returned",
 IF(logistics_data[[#This Row],[Status]]="Delayed","Delayed",
 "Delivered"))))</f>
        <v>Delivered</v>
      </c>
      <c r="M1122" s="2">
        <f>logistics_data[[#This Row],[Cost]]/logistics_data[[#This Row],[Distance_miles]]</f>
        <v>0.26846420323325637</v>
      </c>
      <c r="N1122" t="str">
        <f>IF(logistics_data[[#This Row],[Orginal staus of shipment]]&lt;&gt;"Delivered","not applicabel", IF(logistics_data[[#This Row],[Transit_Days]]&gt;=5,"slow","fast"))</f>
        <v>fast</v>
      </c>
    </row>
    <row r="1123" spans="1:14" x14ac:dyDescent="0.3">
      <c r="A1123" t="s">
        <v>1169</v>
      </c>
      <c r="B1123" t="s">
        <v>49</v>
      </c>
      <c r="C1123" t="s">
        <v>46</v>
      </c>
      <c r="D1123" t="s">
        <v>32</v>
      </c>
      <c r="E1123" s="1">
        <v>45165</v>
      </c>
      <c r="F1123" s="1">
        <v>45170</v>
      </c>
      <c r="G1123">
        <v>17.2</v>
      </c>
      <c r="H1123">
        <v>248.83</v>
      </c>
      <c r="I1123" t="s">
        <v>15</v>
      </c>
      <c r="J1123">
        <v>1896</v>
      </c>
      <c r="K1123">
        <v>5</v>
      </c>
      <c r="L1123" t="str">
        <f>IF(logistics_data[[#This Row],[Delivery_Date]]="","In Transit",
 IF(logistics_data[[#This Row],[Status]]="Lost","Lost",
 IF(logistics_data[[#This Row],[Status]]="Returned","Returned",
 IF(logistics_data[[#This Row],[Status]]="Delayed","Delayed",
 "Delivered"))))</f>
        <v>Delivered</v>
      </c>
      <c r="M1123" s="2">
        <f>logistics_data[[#This Row],[Cost]]/logistics_data[[#This Row],[Distance_miles]]</f>
        <v>0.13123945147679325</v>
      </c>
      <c r="N1123" t="str">
        <f>IF(logistics_data[[#This Row],[Orginal staus of shipment]]&lt;&gt;"Delivered","not applicabel", IF(logistics_data[[#This Row],[Transit_Days]]&gt;=5,"slow","fast"))</f>
        <v>slow</v>
      </c>
    </row>
    <row r="1124" spans="1:14" x14ac:dyDescent="0.3">
      <c r="A1124" t="s">
        <v>1170</v>
      </c>
      <c r="B1124" t="s">
        <v>20</v>
      </c>
      <c r="C1124" t="s">
        <v>13</v>
      </c>
      <c r="D1124" t="s">
        <v>32</v>
      </c>
      <c r="E1124" s="1">
        <v>45181</v>
      </c>
      <c r="F1124" s="1">
        <v>45187</v>
      </c>
      <c r="G1124">
        <v>30.8</v>
      </c>
      <c r="H1124">
        <v>314.99</v>
      </c>
      <c r="I1124" t="s">
        <v>15</v>
      </c>
      <c r="J1124">
        <v>1981</v>
      </c>
      <c r="K1124">
        <v>6</v>
      </c>
      <c r="L1124" t="str">
        <f>IF(logistics_data[[#This Row],[Delivery_Date]]="","In Transit",
 IF(logistics_data[[#This Row],[Status]]="Lost","Lost",
 IF(logistics_data[[#This Row],[Status]]="Returned","Returned",
 IF(logistics_data[[#This Row],[Status]]="Delayed","Delayed",
 "Delivered"))))</f>
        <v>Delivered</v>
      </c>
      <c r="M1124" s="2">
        <f>logistics_data[[#This Row],[Cost]]/logistics_data[[#This Row],[Distance_miles]]</f>
        <v>0.15900555275113579</v>
      </c>
      <c r="N1124" t="str">
        <f>IF(logistics_data[[#This Row],[Orginal staus of shipment]]&lt;&gt;"Delivered","not applicabel", IF(logistics_data[[#This Row],[Transit_Days]]&gt;=5,"slow","fast"))</f>
        <v>slow</v>
      </c>
    </row>
    <row r="1125" spans="1:14" x14ac:dyDescent="0.3">
      <c r="A1125" t="s">
        <v>1171</v>
      </c>
      <c r="B1125" t="s">
        <v>12</v>
      </c>
      <c r="C1125" t="s">
        <v>21</v>
      </c>
      <c r="D1125" t="s">
        <v>14</v>
      </c>
      <c r="E1125" s="1">
        <v>44987</v>
      </c>
      <c r="F1125" s="1">
        <v>44988</v>
      </c>
      <c r="G1125">
        <v>14</v>
      </c>
      <c r="H1125">
        <v>50.83</v>
      </c>
      <c r="I1125" t="s">
        <v>62</v>
      </c>
      <c r="J1125">
        <v>266</v>
      </c>
      <c r="K1125">
        <v>1</v>
      </c>
      <c r="L1125" t="str">
        <f>IF(logistics_data[[#This Row],[Delivery_Date]]="","In Transit",
 IF(logistics_data[[#This Row],[Status]]="Lost","Lost",
 IF(logistics_data[[#This Row],[Status]]="Returned","Returned",
 IF(logistics_data[[#This Row],[Status]]="Delayed","Delayed",
 "Delivered"))))</f>
        <v>Delivered</v>
      </c>
      <c r="M1125" s="2">
        <f>logistics_data[[#This Row],[Cost]]/logistics_data[[#This Row],[Distance_miles]]</f>
        <v>0.19109022556390975</v>
      </c>
      <c r="N1125" t="str">
        <f>IF(logistics_data[[#This Row],[Orginal staus of shipment]]&lt;&gt;"Delivered","not applicabel", IF(logistics_data[[#This Row],[Transit_Days]]&gt;=5,"slow","fast"))</f>
        <v>fast</v>
      </c>
    </row>
    <row r="1126" spans="1:14" x14ac:dyDescent="0.3">
      <c r="A1126" t="s">
        <v>1172</v>
      </c>
      <c r="B1126" t="s">
        <v>51</v>
      </c>
      <c r="C1126" t="s">
        <v>21</v>
      </c>
      <c r="D1126" t="s">
        <v>14</v>
      </c>
      <c r="E1126" s="1">
        <v>45016</v>
      </c>
      <c r="F1126" s="1">
        <v>45020</v>
      </c>
      <c r="G1126">
        <v>7.9</v>
      </c>
      <c r="H1126">
        <v>219.09</v>
      </c>
      <c r="I1126" t="s">
        <v>15</v>
      </c>
      <c r="J1126">
        <v>1665</v>
      </c>
      <c r="K1126">
        <v>4</v>
      </c>
      <c r="L1126" t="str">
        <f>IF(logistics_data[[#This Row],[Delivery_Date]]="","In Transit",
 IF(logistics_data[[#This Row],[Status]]="Lost","Lost",
 IF(logistics_data[[#This Row],[Status]]="Returned","Returned",
 IF(logistics_data[[#This Row],[Status]]="Delayed","Delayed",
 "Delivered"))))</f>
        <v>Delivered</v>
      </c>
      <c r="M1126" s="2">
        <f>logistics_data[[#This Row],[Cost]]/logistics_data[[#This Row],[Distance_miles]]</f>
        <v>0.13158558558558558</v>
      </c>
      <c r="N1126" t="str">
        <f>IF(logistics_data[[#This Row],[Orginal staus of shipment]]&lt;&gt;"Delivered","not applicabel", IF(logistics_data[[#This Row],[Transit_Days]]&gt;=5,"slow","fast"))</f>
        <v>fast</v>
      </c>
    </row>
    <row r="1127" spans="1:14" x14ac:dyDescent="0.3">
      <c r="A1127" t="s">
        <v>1173</v>
      </c>
      <c r="B1127" t="s">
        <v>56</v>
      </c>
      <c r="C1127" t="s">
        <v>31</v>
      </c>
      <c r="D1127" t="s">
        <v>18</v>
      </c>
      <c r="E1127" s="1">
        <v>45285</v>
      </c>
      <c r="F1127" s="1">
        <v>45289</v>
      </c>
      <c r="G1127">
        <v>14.3</v>
      </c>
      <c r="H1127">
        <v>256.95999999999998</v>
      </c>
      <c r="I1127" t="s">
        <v>15</v>
      </c>
      <c r="J1127">
        <v>1446</v>
      </c>
      <c r="K1127">
        <v>4</v>
      </c>
      <c r="L1127" t="str">
        <f>IF(logistics_data[[#This Row],[Delivery_Date]]="","In Transit",
 IF(logistics_data[[#This Row],[Status]]="Lost","Lost",
 IF(logistics_data[[#This Row],[Status]]="Returned","Returned",
 IF(logistics_data[[#This Row],[Status]]="Delayed","Delayed",
 "Delivered"))))</f>
        <v>Delivered</v>
      </c>
      <c r="M1127" s="2">
        <f>logistics_data[[#This Row],[Cost]]/logistics_data[[#This Row],[Distance_miles]]</f>
        <v>0.17770401106500691</v>
      </c>
      <c r="N1127" t="str">
        <f>IF(logistics_data[[#This Row],[Orginal staus of shipment]]&lt;&gt;"Delivered","not applicabel", IF(logistics_data[[#This Row],[Transit_Days]]&gt;=5,"slow","fast"))</f>
        <v>fast</v>
      </c>
    </row>
    <row r="1128" spans="1:14" x14ac:dyDescent="0.3">
      <c r="A1128" t="s">
        <v>1174</v>
      </c>
      <c r="B1128" t="s">
        <v>39</v>
      </c>
      <c r="C1128" t="s">
        <v>54</v>
      </c>
      <c r="D1128" t="s">
        <v>14</v>
      </c>
      <c r="E1128" s="1">
        <v>45169</v>
      </c>
      <c r="F1128" s="1">
        <v>45171</v>
      </c>
      <c r="G1128">
        <v>40.700000000000003</v>
      </c>
      <c r="H1128">
        <v>140.21</v>
      </c>
      <c r="I1128" t="s">
        <v>15</v>
      </c>
      <c r="J1128">
        <v>807</v>
      </c>
      <c r="K1128">
        <v>2</v>
      </c>
      <c r="L1128" t="str">
        <f>IF(logistics_data[[#This Row],[Delivery_Date]]="","In Transit",
 IF(logistics_data[[#This Row],[Status]]="Lost","Lost",
 IF(logistics_data[[#This Row],[Status]]="Returned","Returned",
 IF(logistics_data[[#This Row],[Status]]="Delayed","Delayed",
 "Delivered"))))</f>
        <v>Delivered</v>
      </c>
      <c r="M1128" s="2">
        <f>logistics_data[[#This Row],[Cost]]/logistics_data[[#This Row],[Distance_miles]]</f>
        <v>0.17374225526641884</v>
      </c>
      <c r="N1128" t="str">
        <f>IF(logistics_data[[#This Row],[Orginal staus of shipment]]&lt;&gt;"Delivered","not applicabel", IF(logistics_data[[#This Row],[Transit_Days]]&gt;=5,"slow","fast"))</f>
        <v>fast</v>
      </c>
    </row>
    <row r="1129" spans="1:14" x14ac:dyDescent="0.3">
      <c r="A1129" t="s">
        <v>1175</v>
      </c>
      <c r="B1129" t="s">
        <v>51</v>
      </c>
      <c r="C1129" t="s">
        <v>52</v>
      </c>
      <c r="D1129" t="s">
        <v>32</v>
      </c>
      <c r="E1129" s="1">
        <v>45186</v>
      </c>
      <c r="F1129" s="1">
        <v>45192</v>
      </c>
      <c r="G1129">
        <v>24.5</v>
      </c>
      <c r="H1129">
        <v>300.24</v>
      </c>
      <c r="I1129" t="s">
        <v>15</v>
      </c>
      <c r="J1129">
        <v>1863</v>
      </c>
      <c r="K1129">
        <v>6</v>
      </c>
      <c r="L1129" t="str">
        <f>IF(logistics_data[[#This Row],[Delivery_Date]]="","In Transit",
 IF(logistics_data[[#This Row],[Status]]="Lost","Lost",
 IF(logistics_data[[#This Row],[Status]]="Returned","Returned",
 IF(logistics_data[[#This Row],[Status]]="Delayed","Delayed",
 "Delivered"))))</f>
        <v>Delivered</v>
      </c>
      <c r="M1129" s="2">
        <f>logistics_data[[#This Row],[Cost]]/logistics_data[[#This Row],[Distance_miles]]</f>
        <v>0.16115942028985508</v>
      </c>
      <c r="N1129" t="str">
        <f>IF(logistics_data[[#This Row],[Orginal staus of shipment]]&lt;&gt;"Delivered","not applicabel", IF(logistics_data[[#This Row],[Transit_Days]]&gt;=5,"slow","fast"))</f>
        <v>slow</v>
      </c>
    </row>
    <row r="1130" spans="1:14" x14ac:dyDescent="0.3">
      <c r="A1130" t="s">
        <v>1176</v>
      </c>
      <c r="B1130" t="s">
        <v>56</v>
      </c>
      <c r="C1130" t="s">
        <v>52</v>
      </c>
      <c r="D1130" t="s">
        <v>42</v>
      </c>
      <c r="E1130" s="1">
        <v>45150</v>
      </c>
      <c r="F1130" s="1">
        <v>45157</v>
      </c>
      <c r="G1130">
        <v>28.4</v>
      </c>
      <c r="H1130">
        <v>95.99</v>
      </c>
      <c r="I1130" t="s">
        <v>47</v>
      </c>
      <c r="J1130">
        <v>496</v>
      </c>
      <c r="K1130">
        <v>1</v>
      </c>
      <c r="L1130" t="str">
        <f>IF(logistics_data[[#This Row],[Delivery_Date]]="","In Transit",
 IF(logistics_data[[#This Row],[Status]]="Lost","Lost",
 IF(logistics_data[[#This Row],[Status]]="Returned","Returned",
 IF(logistics_data[[#This Row],[Status]]="Delayed","Delayed",
 "Delivered"))))</f>
        <v>Delayed</v>
      </c>
      <c r="M1130" s="2">
        <f>logistics_data[[#This Row],[Cost]]/logistics_data[[#This Row],[Distance_miles]]</f>
        <v>0.1935282258064516</v>
      </c>
      <c r="N1130" t="str">
        <f>IF(logistics_data[[#This Row],[Orginal staus of shipment]]&lt;&gt;"Delivered","not applicabel", IF(logistics_data[[#This Row],[Transit_Days]]&gt;=5,"slow","fast"))</f>
        <v>not applicabel</v>
      </c>
    </row>
    <row r="1131" spans="1:14" x14ac:dyDescent="0.3">
      <c r="A1131" t="s">
        <v>1177</v>
      </c>
      <c r="B1131" t="s">
        <v>49</v>
      </c>
      <c r="C1131" t="s">
        <v>52</v>
      </c>
      <c r="D1131" t="s">
        <v>59</v>
      </c>
      <c r="E1131" s="1">
        <v>45223</v>
      </c>
      <c r="F1131" s="1">
        <v>45227</v>
      </c>
      <c r="G1131">
        <v>21.5</v>
      </c>
      <c r="H1131">
        <v>200.39</v>
      </c>
      <c r="I1131" t="s">
        <v>15</v>
      </c>
      <c r="J1131">
        <v>1391</v>
      </c>
      <c r="K1131">
        <v>4</v>
      </c>
      <c r="L1131" t="str">
        <f>IF(logistics_data[[#This Row],[Delivery_Date]]="","In Transit",
 IF(logistics_data[[#This Row],[Status]]="Lost","Lost",
 IF(logistics_data[[#This Row],[Status]]="Returned","Returned",
 IF(logistics_data[[#This Row],[Status]]="Delayed","Delayed",
 "Delivered"))))</f>
        <v>Delivered</v>
      </c>
      <c r="M1131" s="2">
        <f>logistics_data[[#This Row],[Cost]]/logistics_data[[#This Row],[Distance_miles]]</f>
        <v>0.14406182602444284</v>
      </c>
      <c r="N1131" t="str">
        <f>IF(logistics_data[[#This Row],[Orginal staus of shipment]]&lt;&gt;"Delivered","not applicabel", IF(logistics_data[[#This Row],[Transit_Days]]&gt;=5,"slow","fast"))</f>
        <v>fast</v>
      </c>
    </row>
    <row r="1132" spans="1:14" x14ac:dyDescent="0.3">
      <c r="A1132" t="s">
        <v>1178</v>
      </c>
      <c r="B1132" t="s">
        <v>51</v>
      </c>
      <c r="C1132" t="s">
        <v>28</v>
      </c>
      <c r="D1132" t="s">
        <v>18</v>
      </c>
      <c r="E1132" s="1">
        <v>45087</v>
      </c>
      <c r="F1132" s="1">
        <v>45088</v>
      </c>
      <c r="G1132">
        <v>18.2</v>
      </c>
      <c r="H1132">
        <v>77.400000000000006</v>
      </c>
      <c r="I1132" t="s">
        <v>15</v>
      </c>
      <c r="J1132">
        <v>361</v>
      </c>
      <c r="K1132">
        <v>1</v>
      </c>
      <c r="L1132" t="str">
        <f>IF(logistics_data[[#This Row],[Delivery_Date]]="","In Transit",
 IF(logistics_data[[#This Row],[Status]]="Lost","Lost",
 IF(logistics_data[[#This Row],[Status]]="Returned","Returned",
 IF(logistics_data[[#This Row],[Status]]="Delayed","Delayed",
 "Delivered"))))</f>
        <v>Delivered</v>
      </c>
      <c r="M1132" s="2">
        <f>logistics_data[[#This Row],[Cost]]/logistics_data[[#This Row],[Distance_miles]]</f>
        <v>0.21440443213296401</v>
      </c>
      <c r="N1132" t="str">
        <f>IF(logistics_data[[#This Row],[Orginal staus of shipment]]&lt;&gt;"Delivered","not applicabel", IF(logistics_data[[#This Row],[Transit_Days]]&gt;=5,"slow","fast"))</f>
        <v>fast</v>
      </c>
    </row>
    <row r="1133" spans="1:14" x14ac:dyDescent="0.3">
      <c r="A1133" t="s">
        <v>1179</v>
      </c>
      <c r="B1133" t="s">
        <v>39</v>
      </c>
      <c r="C1133" t="s">
        <v>57</v>
      </c>
      <c r="D1133" t="s">
        <v>14</v>
      </c>
      <c r="E1133" s="1">
        <v>45259</v>
      </c>
      <c r="F1133" s="1">
        <v>45265</v>
      </c>
      <c r="G1133">
        <v>1.1000000000000001</v>
      </c>
      <c r="H1133">
        <v>394.62</v>
      </c>
      <c r="I1133" t="s">
        <v>15</v>
      </c>
      <c r="J1133">
        <v>2484</v>
      </c>
      <c r="K1133">
        <v>6</v>
      </c>
      <c r="L1133" t="str">
        <f>IF(logistics_data[[#This Row],[Delivery_Date]]="","In Transit",
 IF(logistics_data[[#This Row],[Status]]="Lost","Lost",
 IF(logistics_data[[#This Row],[Status]]="Returned","Returned",
 IF(logistics_data[[#This Row],[Status]]="Delayed","Delayed",
 "Delivered"))))</f>
        <v>Delivered</v>
      </c>
      <c r="M1133" s="2">
        <f>logistics_data[[#This Row],[Cost]]/logistics_data[[#This Row],[Distance_miles]]</f>
        <v>0.15886473429951692</v>
      </c>
      <c r="N1133" t="str">
        <f>IF(logistics_data[[#This Row],[Orginal staus of shipment]]&lt;&gt;"Delivered","not applicabel", IF(logistics_data[[#This Row],[Transit_Days]]&gt;=5,"slow","fast"))</f>
        <v>slow</v>
      </c>
    </row>
    <row r="1134" spans="1:14" x14ac:dyDescent="0.3">
      <c r="A1134" t="s">
        <v>1180</v>
      </c>
      <c r="B1134" t="s">
        <v>23</v>
      </c>
      <c r="C1134" t="s">
        <v>57</v>
      </c>
      <c r="D1134" t="s">
        <v>42</v>
      </c>
      <c r="E1134" s="1">
        <v>45277</v>
      </c>
      <c r="F1134" s="1">
        <v>45291</v>
      </c>
      <c r="G1134">
        <v>35.4</v>
      </c>
      <c r="H1134">
        <v>212.98</v>
      </c>
      <c r="I1134" t="s">
        <v>47</v>
      </c>
      <c r="J1134">
        <v>1171</v>
      </c>
      <c r="K1134">
        <v>5</v>
      </c>
      <c r="L1134" t="str">
        <f>IF(logistics_data[[#This Row],[Delivery_Date]]="","In Transit",
 IF(logistics_data[[#This Row],[Status]]="Lost","Lost",
 IF(logistics_data[[#This Row],[Status]]="Returned","Returned",
 IF(logistics_data[[#This Row],[Status]]="Delayed","Delayed",
 "Delivered"))))</f>
        <v>Delayed</v>
      </c>
      <c r="M1134" s="2">
        <f>logistics_data[[#This Row],[Cost]]/logistics_data[[#This Row],[Distance_miles]]</f>
        <v>0.18187873612297181</v>
      </c>
      <c r="N1134" t="str">
        <f>IF(logistics_data[[#This Row],[Orginal staus of shipment]]&lt;&gt;"Delivered","not applicabel", IF(logistics_data[[#This Row],[Transit_Days]]&gt;=5,"slow","fast"))</f>
        <v>not applicabel</v>
      </c>
    </row>
    <row r="1135" spans="1:14" x14ac:dyDescent="0.3">
      <c r="A1135" t="s">
        <v>1181</v>
      </c>
      <c r="B1135" t="s">
        <v>23</v>
      </c>
      <c r="C1135" t="s">
        <v>44</v>
      </c>
      <c r="D1135" t="s">
        <v>14</v>
      </c>
      <c r="E1135" s="1">
        <v>45119</v>
      </c>
      <c r="F1135" s="1">
        <v>45124</v>
      </c>
      <c r="G1135">
        <v>10.4</v>
      </c>
      <c r="H1135">
        <v>107.97</v>
      </c>
      <c r="I1135" t="s">
        <v>15</v>
      </c>
      <c r="J1135">
        <v>810</v>
      </c>
      <c r="K1135">
        <v>5</v>
      </c>
      <c r="L1135" t="str">
        <f>IF(logistics_data[[#This Row],[Delivery_Date]]="","In Transit",
 IF(logistics_data[[#This Row],[Status]]="Lost","Lost",
 IF(logistics_data[[#This Row],[Status]]="Returned","Returned",
 IF(logistics_data[[#This Row],[Status]]="Delayed","Delayed",
 "Delivered"))))</f>
        <v>Delivered</v>
      </c>
      <c r="M1135" s="2">
        <f>logistics_data[[#This Row],[Cost]]/logistics_data[[#This Row],[Distance_miles]]</f>
        <v>0.1332962962962963</v>
      </c>
      <c r="N1135" t="str">
        <f>IF(logistics_data[[#This Row],[Orginal staus of shipment]]&lt;&gt;"Delivered","not applicabel", IF(logistics_data[[#This Row],[Transit_Days]]&gt;=5,"slow","fast"))</f>
        <v>slow</v>
      </c>
    </row>
    <row r="1136" spans="1:14" x14ac:dyDescent="0.3">
      <c r="A1136" t="s">
        <v>1182</v>
      </c>
      <c r="B1136" t="s">
        <v>23</v>
      </c>
      <c r="C1136" t="s">
        <v>17</v>
      </c>
      <c r="D1136" t="s">
        <v>59</v>
      </c>
      <c r="E1136" s="1">
        <v>44964</v>
      </c>
      <c r="F1136" s="1">
        <v>44968</v>
      </c>
      <c r="G1136">
        <v>15.6</v>
      </c>
      <c r="H1136">
        <v>159.13</v>
      </c>
      <c r="I1136" t="s">
        <v>15</v>
      </c>
      <c r="J1136">
        <v>1230</v>
      </c>
      <c r="K1136">
        <v>4</v>
      </c>
      <c r="L1136" t="str">
        <f>IF(logistics_data[[#This Row],[Delivery_Date]]="","In Transit",
 IF(logistics_data[[#This Row],[Status]]="Lost","Lost",
 IF(logistics_data[[#This Row],[Status]]="Returned","Returned",
 IF(logistics_data[[#This Row],[Status]]="Delayed","Delayed",
 "Delivered"))))</f>
        <v>Delivered</v>
      </c>
      <c r="M1136" s="2">
        <f>logistics_data[[#This Row],[Cost]]/logistics_data[[#This Row],[Distance_miles]]</f>
        <v>0.12937398373983738</v>
      </c>
      <c r="N1136" t="str">
        <f>IF(logistics_data[[#This Row],[Orginal staus of shipment]]&lt;&gt;"Delivered","not applicabel", IF(logistics_data[[#This Row],[Transit_Days]]&gt;=5,"slow","fast"))</f>
        <v>fast</v>
      </c>
    </row>
    <row r="1137" spans="1:14" x14ac:dyDescent="0.3">
      <c r="A1137" t="s">
        <v>1183</v>
      </c>
      <c r="B1137" t="s">
        <v>51</v>
      </c>
      <c r="C1137" t="s">
        <v>70</v>
      </c>
      <c r="D1137" t="s">
        <v>59</v>
      </c>
      <c r="E1137" s="1">
        <v>45260</v>
      </c>
      <c r="F1137" s="1">
        <v>45267</v>
      </c>
      <c r="G1137">
        <v>9.6</v>
      </c>
      <c r="I1137" t="s">
        <v>15</v>
      </c>
      <c r="J1137">
        <v>1000</v>
      </c>
      <c r="K1137">
        <v>7</v>
      </c>
      <c r="L1137" t="str">
        <f>IF(logistics_data[[#This Row],[Delivery_Date]]="","In Transit",
 IF(logistics_data[[#This Row],[Status]]="Lost","Lost",
 IF(logistics_data[[#This Row],[Status]]="Returned","Returned",
 IF(logistics_data[[#This Row],[Status]]="Delayed","Delayed",
 "Delivered"))))</f>
        <v>Delivered</v>
      </c>
      <c r="M1137" s="2">
        <f>logistics_data[[#This Row],[Cost]]/logistics_data[[#This Row],[Distance_miles]]</f>
        <v>0</v>
      </c>
      <c r="N1137" t="str">
        <f>IF(logistics_data[[#This Row],[Orginal staus of shipment]]&lt;&gt;"Delivered","not applicabel", IF(logistics_data[[#This Row],[Transit_Days]]&gt;=5,"slow","fast"))</f>
        <v>slow</v>
      </c>
    </row>
    <row r="1138" spans="1:14" x14ac:dyDescent="0.3">
      <c r="A1138" t="s">
        <v>1184</v>
      </c>
      <c r="B1138" t="s">
        <v>30</v>
      </c>
      <c r="C1138" t="s">
        <v>40</v>
      </c>
      <c r="D1138" t="s">
        <v>18</v>
      </c>
      <c r="E1138" s="1">
        <v>45258</v>
      </c>
      <c r="F1138" s="1">
        <v>45259</v>
      </c>
      <c r="G1138">
        <v>15</v>
      </c>
      <c r="H1138">
        <v>48.67</v>
      </c>
      <c r="I1138" t="s">
        <v>15</v>
      </c>
      <c r="J1138">
        <v>173</v>
      </c>
      <c r="K1138">
        <v>1</v>
      </c>
      <c r="L1138" t="str">
        <f>IF(logistics_data[[#This Row],[Delivery_Date]]="","In Transit",
 IF(logistics_data[[#This Row],[Status]]="Lost","Lost",
 IF(logistics_data[[#This Row],[Status]]="Returned","Returned",
 IF(logistics_data[[#This Row],[Status]]="Delayed","Delayed",
 "Delivered"))))</f>
        <v>Delivered</v>
      </c>
      <c r="M1138" s="2">
        <f>logistics_data[[#This Row],[Cost]]/logistics_data[[#This Row],[Distance_miles]]</f>
        <v>0.28132947976878614</v>
      </c>
      <c r="N1138" t="str">
        <f>IF(logistics_data[[#This Row],[Orginal staus of shipment]]&lt;&gt;"Delivered","not applicabel", IF(logistics_data[[#This Row],[Transit_Days]]&gt;=5,"slow","fast"))</f>
        <v>fast</v>
      </c>
    </row>
    <row r="1139" spans="1:14" x14ac:dyDescent="0.3">
      <c r="A1139" t="s">
        <v>1185</v>
      </c>
      <c r="B1139" t="s">
        <v>49</v>
      </c>
      <c r="C1139" t="s">
        <v>46</v>
      </c>
      <c r="D1139" t="s">
        <v>42</v>
      </c>
      <c r="E1139" s="1">
        <v>44978</v>
      </c>
      <c r="F1139" s="1">
        <v>44983</v>
      </c>
      <c r="G1139">
        <v>15.1</v>
      </c>
      <c r="H1139">
        <v>223.5</v>
      </c>
      <c r="I1139" t="s">
        <v>15</v>
      </c>
      <c r="J1139">
        <v>1689</v>
      </c>
      <c r="K1139">
        <v>5</v>
      </c>
      <c r="L1139" t="str">
        <f>IF(logistics_data[[#This Row],[Delivery_Date]]="","In Transit",
 IF(logistics_data[[#This Row],[Status]]="Lost","Lost",
 IF(logistics_data[[#This Row],[Status]]="Returned","Returned",
 IF(logistics_data[[#This Row],[Status]]="Delayed","Delayed",
 "Delivered"))))</f>
        <v>Delivered</v>
      </c>
      <c r="M1139" s="2">
        <f>logistics_data[[#This Row],[Cost]]/logistics_data[[#This Row],[Distance_miles]]</f>
        <v>0.13232682060390763</v>
      </c>
      <c r="N1139" t="str">
        <f>IF(logistics_data[[#This Row],[Orginal staus of shipment]]&lt;&gt;"Delivered","not applicabel", IF(logistics_data[[#This Row],[Transit_Days]]&gt;=5,"slow","fast"))</f>
        <v>slow</v>
      </c>
    </row>
    <row r="1140" spans="1:14" x14ac:dyDescent="0.3">
      <c r="A1140" t="s">
        <v>1186</v>
      </c>
      <c r="B1140" t="s">
        <v>35</v>
      </c>
      <c r="C1140" t="s">
        <v>81</v>
      </c>
      <c r="D1140" t="s">
        <v>59</v>
      </c>
      <c r="E1140" s="1">
        <v>44984</v>
      </c>
      <c r="F1140" s="1">
        <v>44988</v>
      </c>
      <c r="G1140">
        <v>26.1</v>
      </c>
      <c r="H1140">
        <v>147.22</v>
      </c>
      <c r="I1140" t="s">
        <v>62</v>
      </c>
      <c r="J1140">
        <v>1000</v>
      </c>
      <c r="K1140">
        <v>4</v>
      </c>
      <c r="L1140" t="str">
        <f>IF(logistics_data[[#This Row],[Delivery_Date]]="","In Transit",
 IF(logistics_data[[#This Row],[Status]]="Lost","Lost",
 IF(logistics_data[[#This Row],[Status]]="Returned","Returned",
 IF(logistics_data[[#This Row],[Status]]="Delayed","Delayed",
 "Delivered"))))</f>
        <v>Delivered</v>
      </c>
      <c r="M1140" s="2">
        <f>logistics_data[[#This Row],[Cost]]/logistics_data[[#This Row],[Distance_miles]]</f>
        <v>0.14721999999999999</v>
      </c>
      <c r="N1140" t="str">
        <f>IF(logistics_data[[#This Row],[Orginal staus of shipment]]&lt;&gt;"Delivered","not applicabel", IF(logistics_data[[#This Row],[Transit_Days]]&gt;=5,"slow","fast"))</f>
        <v>fast</v>
      </c>
    </row>
    <row r="1141" spans="1:14" x14ac:dyDescent="0.3">
      <c r="A1141" t="s">
        <v>1187</v>
      </c>
      <c r="B1141" t="s">
        <v>56</v>
      </c>
      <c r="C1141" t="s">
        <v>31</v>
      </c>
      <c r="D1141" t="s">
        <v>32</v>
      </c>
      <c r="E1141" s="1">
        <v>45130</v>
      </c>
      <c r="F1141" s="1">
        <v>45133</v>
      </c>
      <c r="G1141">
        <v>49.8</v>
      </c>
      <c r="H1141">
        <v>191.95</v>
      </c>
      <c r="I1141" t="s">
        <v>15</v>
      </c>
      <c r="J1141">
        <v>910</v>
      </c>
      <c r="K1141">
        <v>3</v>
      </c>
      <c r="L1141" t="str">
        <f>IF(logistics_data[[#This Row],[Delivery_Date]]="","In Transit",
 IF(logistics_data[[#This Row],[Status]]="Lost","Lost",
 IF(logistics_data[[#This Row],[Status]]="Returned","Returned",
 IF(logistics_data[[#This Row],[Status]]="Delayed","Delayed",
 "Delivered"))))</f>
        <v>Delivered</v>
      </c>
      <c r="M1141" s="2">
        <f>logistics_data[[#This Row],[Cost]]/logistics_data[[#This Row],[Distance_miles]]</f>
        <v>0.21093406593406591</v>
      </c>
      <c r="N1141" t="str">
        <f>IF(logistics_data[[#This Row],[Orginal staus of shipment]]&lt;&gt;"Delivered","not applicabel", IF(logistics_data[[#This Row],[Transit_Days]]&gt;=5,"slow","fast"))</f>
        <v>fast</v>
      </c>
    </row>
    <row r="1142" spans="1:14" x14ac:dyDescent="0.3">
      <c r="A1142" t="s">
        <v>1188</v>
      </c>
      <c r="B1142" t="s">
        <v>49</v>
      </c>
      <c r="C1142" t="s">
        <v>52</v>
      </c>
      <c r="D1142" t="s">
        <v>37</v>
      </c>
      <c r="E1142" s="1">
        <v>45106</v>
      </c>
      <c r="F1142" s="1">
        <v>45108</v>
      </c>
      <c r="G1142">
        <v>21.1</v>
      </c>
      <c r="H1142">
        <v>42.11</v>
      </c>
      <c r="I1142" t="s">
        <v>15</v>
      </c>
      <c r="J1142">
        <v>111</v>
      </c>
      <c r="K1142">
        <v>2</v>
      </c>
      <c r="L1142" t="str">
        <f>IF(logistics_data[[#This Row],[Delivery_Date]]="","In Transit",
 IF(logistics_data[[#This Row],[Status]]="Lost","Lost",
 IF(logistics_data[[#This Row],[Status]]="Returned","Returned",
 IF(logistics_data[[#This Row],[Status]]="Delayed","Delayed",
 "Delivered"))))</f>
        <v>Delivered</v>
      </c>
      <c r="M1142" s="2">
        <f>logistics_data[[#This Row],[Cost]]/logistics_data[[#This Row],[Distance_miles]]</f>
        <v>0.37936936936936938</v>
      </c>
      <c r="N1142" t="str">
        <f>IF(logistics_data[[#This Row],[Orginal staus of shipment]]&lt;&gt;"Delivered","not applicabel", IF(logistics_data[[#This Row],[Transit_Days]]&gt;=5,"slow","fast"))</f>
        <v>fast</v>
      </c>
    </row>
    <row r="1143" spans="1:14" x14ac:dyDescent="0.3">
      <c r="A1143" t="s">
        <v>1189</v>
      </c>
      <c r="B1143" t="s">
        <v>20</v>
      </c>
      <c r="C1143" t="s">
        <v>13</v>
      </c>
      <c r="D1143" t="s">
        <v>14</v>
      </c>
      <c r="E1143" s="1">
        <v>45236</v>
      </c>
      <c r="F1143" s="1">
        <v>45248</v>
      </c>
      <c r="G1143">
        <v>49.6</v>
      </c>
      <c r="H1143">
        <v>245.62</v>
      </c>
      <c r="I1143" t="s">
        <v>47</v>
      </c>
      <c r="J1143">
        <v>1043</v>
      </c>
      <c r="K1143">
        <v>5</v>
      </c>
      <c r="L1143" t="str">
        <f>IF(logistics_data[[#This Row],[Delivery_Date]]="","In Transit",
 IF(logistics_data[[#This Row],[Status]]="Lost","Lost",
 IF(logistics_data[[#This Row],[Status]]="Returned","Returned",
 IF(logistics_data[[#This Row],[Status]]="Delayed","Delayed",
 "Delivered"))))</f>
        <v>Delayed</v>
      </c>
      <c r="M1143" s="2">
        <f>logistics_data[[#This Row],[Cost]]/logistics_data[[#This Row],[Distance_miles]]</f>
        <v>0.23549376797698945</v>
      </c>
      <c r="N1143" t="str">
        <f>IF(logistics_data[[#This Row],[Orginal staus of shipment]]&lt;&gt;"Delivered","not applicabel", IF(logistics_data[[#This Row],[Transit_Days]]&gt;=5,"slow","fast"))</f>
        <v>not applicabel</v>
      </c>
    </row>
    <row r="1144" spans="1:14" x14ac:dyDescent="0.3">
      <c r="A1144" t="s">
        <v>1190</v>
      </c>
      <c r="B1144" t="s">
        <v>49</v>
      </c>
      <c r="C1144" t="s">
        <v>13</v>
      </c>
      <c r="D1144" t="s">
        <v>32</v>
      </c>
      <c r="E1144" s="1">
        <v>44991</v>
      </c>
      <c r="F1144" s="1">
        <v>44994</v>
      </c>
      <c r="G1144">
        <v>51.1</v>
      </c>
      <c r="H1144">
        <v>221.01</v>
      </c>
      <c r="I1144" t="s">
        <v>15</v>
      </c>
      <c r="J1144">
        <v>1170</v>
      </c>
      <c r="K1144">
        <v>3</v>
      </c>
      <c r="L1144" t="str">
        <f>IF(logistics_data[[#This Row],[Delivery_Date]]="","In Transit",
 IF(logistics_data[[#This Row],[Status]]="Lost","Lost",
 IF(logistics_data[[#This Row],[Status]]="Returned","Returned",
 IF(logistics_data[[#This Row],[Status]]="Delayed","Delayed",
 "Delivered"))))</f>
        <v>Delivered</v>
      </c>
      <c r="M1144" s="2">
        <f>logistics_data[[#This Row],[Cost]]/logistics_data[[#This Row],[Distance_miles]]</f>
        <v>0.18889743589743588</v>
      </c>
      <c r="N1144" t="str">
        <f>IF(logistics_data[[#This Row],[Orginal staus of shipment]]&lt;&gt;"Delivered","not applicabel", IF(logistics_data[[#This Row],[Transit_Days]]&gt;=5,"slow","fast"))</f>
        <v>fast</v>
      </c>
    </row>
    <row r="1145" spans="1:14" x14ac:dyDescent="0.3">
      <c r="A1145" t="s">
        <v>1191</v>
      </c>
      <c r="B1145" t="s">
        <v>39</v>
      </c>
      <c r="C1145" t="s">
        <v>52</v>
      </c>
      <c r="D1145" t="s">
        <v>37</v>
      </c>
      <c r="E1145" s="1">
        <v>45276</v>
      </c>
      <c r="F1145" s="1">
        <v>45278</v>
      </c>
      <c r="G1145">
        <v>1.9</v>
      </c>
      <c r="H1145">
        <v>119.85</v>
      </c>
      <c r="I1145" t="s">
        <v>15</v>
      </c>
      <c r="J1145">
        <v>796</v>
      </c>
      <c r="K1145">
        <v>2</v>
      </c>
      <c r="L1145" t="str">
        <f>IF(logistics_data[[#This Row],[Delivery_Date]]="","In Transit",
 IF(logistics_data[[#This Row],[Status]]="Lost","Lost",
 IF(logistics_data[[#This Row],[Status]]="Returned","Returned",
 IF(logistics_data[[#This Row],[Status]]="Delayed","Delayed",
 "Delivered"))))</f>
        <v>Delivered</v>
      </c>
      <c r="M1145" s="2">
        <f>logistics_data[[#This Row],[Cost]]/logistics_data[[#This Row],[Distance_miles]]</f>
        <v>0.15056532663316582</v>
      </c>
      <c r="N1145" t="str">
        <f>IF(logistics_data[[#This Row],[Orginal staus of shipment]]&lt;&gt;"Delivered","not applicabel", IF(logistics_data[[#This Row],[Transit_Days]]&gt;=5,"slow","fast"))</f>
        <v>fast</v>
      </c>
    </row>
    <row r="1146" spans="1:14" x14ac:dyDescent="0.3">
      <c r="A1146" t="s">
        <v>1192</v>
      </c>
      <c r="B1146" t="s">
        <v>23</v>
      </c>
      <c r="C1146" t="s">
        <v>70</v>
      </c>
      <c r="D1146" t="s">
        <v>25</v>
      </c>
      <c r="E1146" s="1">
        <v>45107</v>
      </c>
      <c r="F1146" s="1">
        <v>45111</v>
      </c>
      <c r="G1146">
        <v>21.2</v>
      </c>
      <c r="H1146">
        <v>271.48</v>
      </c>
      <c r="I1146" t="s">
        <v>15</v>
      </c>
      <c r="J1146">
        <v>1849</v>
      </c>
      <c r="K1146">
        <v>4</v>
      </c>
      <c r="L1146" t="str">
        <f>IF(logistics_data[[#This Row],[Delivery_Date]]="","In Transit",
 IF(logistics_data[[#This Row],[Status]]="Lost","Lost",
 IF(logistics_data[[#This Row],[Status]]="Returned","Returned",
 IF(logistics_data[[#This Row],[Status]]="Delayed","Delayed",
 "Delivered"))))</f>
        <v>Delivered</v>
      </c>
      <c r="M1146" s="2">
        <f>logistics_data[[#This Row],[Cost]]/logistics_data[[#This Row],[Distance_miles]]</f>
        <v>0.14682531097890753</v>
      </c>
      <c r="N1146" t="str">
        <f>IF(logistics_data[[#This Row],[Orginal staus of shipment]]&lt;&gt;"Delivered","not applicabel", IF(logistics_data[[#This Row],[Transit_Days]]&gt;=5,"slow","fast"))</f>
        <v>fast</v>
      </c>
    </row>
    <row r="1147" spans="1:14" x14ac:dyDescent="0.3">
      <c r="A1147" t="s">
        <v>1193</v>
      </c>
      <c r="B1147" t="s">
        <v>12</v>
      </c>
      <c r="C1147" t="s">
        <v>70</v>
      </c>
      <c r="D1147" t="s">
        <v>25</v>
      </c>
      <c r="E1147" s="1">
        <v>45291</v>
      </c>
      <c r="F1147" s="1">
        <v>45299</v>
      </c>
      <c r="G1147">
        <v>44.8</v>
      </c>
      <c r="H1147">
        <v>183.23</v>
      </c>
      <c r="I1147" t="s">
        <v>62</v>
      </c>
      <c r="J1147">
        <v>716</v>
      </c>
      <c r="K1147">
        <v>8</v>
      </c>
      <c r="L1147" t="str">
        <f>IF(logistics_data[[#This Row],[Delivery_Date]]="","In Transit",
 IF(logistics_data[[#This Row],[Status]]="Lost","Lost",
 IF(logistics_data[[#This Row],[Status]]="Returned","Returned",
 IF(logistics_data[[#This Row],[Status]]="Delayed","Delayed",
 "Delivered"))))</f>
        <v>Delivered</v>
      </c>
      <c r="M1147" s="2">
        <f>logistics_data[[#This Row],[Cost]]/logistics_data[[#This Row],[Distance_miles]]</f>
        <v>0.25590782122905026</v>
      </c>
      <c r="N1147" t="str">
        <f>IF(logistics_data[[#This Row],[Orginal staus of shipment]]&lt;&gt;"Delivered","not applicabel", IF(logistics_data[[#This Row],[Transit_Days]]&gt;=5,"slow","fast"))</f>
        <v>slow</v>
      </c>
    </row>
    <row r="1148" spans="1:14" x14ac:dyDescent="0.3">
      <c r="A1148" t="s">
        <v>1194</v>
      </c>
      <c r="B1148" t="s">
        <v>56</v>
      </c>
      <c r="C1148" t="s">
        <v>70</v>
      </c>
      <c r="D1148" t="s">
        <v>42</v>
      </c>
      <c r="E1148" s="1">
        <v>44937</v>
      </c>
      <c r="F1148" s="1">
        <v>44938</v>
      </c>
      <c r="G1148">
        <v>6.6</v>
      </c>
      <c r="H1148">
        <v>39.880000000000003</v>
      </c>
      <c r="I1148" t="s">
        <v>15</v>
      </c>
      <c r="J1148">
        <v>265</v>
      </c>
      <c r="K1148">
        <v>1</v>
      </c>
      <c r="L1148" t="str">
        <f>IF(logistics_data[[#This Row],[Delivery_Date]]="","In Transit",
 IF(logistics_data[[#This Row],[Status]]="Lost","Lost",
 IF(logistics_data[[#This Row],[Status]]="Returned","Returned",
 IF(logistics_data[[#This Row],[Status]]="Delayed","Delayed",
 "Delivered"))))</f>
        <v>Delivered</v>
      </c>
      <c r="M1148" s="2">
        <f>logistics_data[[#This Row],[Cost]]/logistics_data[[#This Row],[Distance_miles]]</f>
        <v>0.15049056603773586</v>
      </c>
      <c r="N1148" t="str">
        <f>IF(logistics_data[[#This Row],[Orginal staus of shipment]]&lt;&gt;"Delivered","not applicabel", IF(logistics_data[[#This Row],[Transit_Days]]&gt;=5,"slow","fast"))</f>
        <v>fast</v>
      </c>
    </row>
    <row r="1149" spans="1:14" x14ac:dyDescent="0.3">
      <c r="A1149" t="s">
        <v>1195</v>
      </c>
      <c r="B1149" t="s">
        <v>35</v>
      </c>
      <c r="C1149" t="s">
        <v>24</v>
      </c>
      <c r="D1149" t="s">
        <v>59</v>
      </c>
      <c r="E1149" s="1">
        <v>45280</v>
      </c>
      <c r="F1149" s="1">
        <v>45285</v>
      </c>
      <c r="G1149">
        <v>29.9</v>
      </c>
      <c r="H1149">
        <v>233.47</v>
      </c>
      <c r="I1149" t="s">
        <v>15</v>
      </c>
      <c r="J1149">
        <v>1576</v>
      </c>
      <c r="K1149">
        <v>5</v>
      </c>
      <c r="L1149" t="str">
        <f>IF(logistics_data[[#This Row],[Delivery_Date]]="","In Transit",
 IF(logistics_data[[#This Row],[Status]]="Lost","Lost",
 IF(logistics_data[[#This Row],[Status]]="Returned","Returned",
 IF(logistics_data[[#This Row],[Status]]="Delayed","Delayed",
 "Delivered"))))</f>
        <v>Delivered</v>
      </c>
      <c r="M1149" s="2">
        <f>logistics_data[[#This Row],[Cost]]/logistics_data[[#This Row],[Distance_miles]]</f>
        <v>0.14814086294416243</v>
      </c>
      <c r="N1149" t="str">
        <f>IF(logistics_data[[#This Row],[Orginal staus of shipment]]&lt;&gt;"Delivered","not applicabel", IF(logistics_data[[#This Row],[Transit_Days]]&gt;=5,"slow","fast"))</f>
        <v>slow</v>
      </c>
    </row>
    <row r="1150" spans="1:14" x14ac:dyDescent="0.3">
      <c r="A1150" t="s">
        <v>1196</v>
      </c>
      <c r="B1150" t="s">
        <v>20</v>
      </c>
      <c r="C1150" t="s">
        <v>28</v>
      </c>
      <c r="D1150" t="s">
        <v>32</v>
      </c>
      <c r="E1150" s="1">
        <v>44947</v>
      </c>
      <c r="F1150" s="1">
        <v>44951</v>
      </c>
      <c r="G1150">
        <v>48.1</v>
      </c>
      <c r="H1150">
        <v>261.72000000000003</v>
      </c>
      <c r="I1150" t="s">
        <v>15</v>
      </c>
      <c r="J1150">
        <v>1435</v>
      </c>
      <c r="K1150">
        <v>4</v>
      </c>
      <c r="L1150" t="str">
        <f>IF(logistics_data[[#This Row],[Delivery_Date]]="","In Transit",
 IF(logistics_data[[#This Row],[Status]]="Lost","Lost",
 IF(logistics_data[[#This Row],[Status]]="Returned","Returned",
 IF(logistics_data[[#This Row],[Status]]="Delayed","Delayed",
 "Delivered"))))</f>
        <v>Delivered</v>
      </c>
      <c r="M1150" s="2">
        <f>logistics_data[[#This Row],[Cost]]/logistics_data[[#This Row],[Distance_miles]]</f>
        <v>0.18238327526132406</v>
      </c>
      <c r="N1150" t="str">
        <f>IF(logistics_data[[#This Row],[Orginal staus of shipment]]&lt;&gt;"Delivered","not applicabel", IF(logistics_data[[#This Row],[Transit_Days]]&gt;=5,"slow","fast"))</f>
        <v>fast</v>
      </c>
    </row>
    <row r="1151" spans="1:14" x14ac:dyDescent="0.3">
      <c r="A1151" t="s">
        <v>1197</v>
      </c>
      <c r="B1151" t="s">
        <v>49</v>
      </c>
      <c r="C1151" t="s">
        <v>44</v>
      </c>
      <c r="D1151" t="s">
        <v>59</v>
      </c>
      <c r="E1151" s="1">
        <v>45246</v>
      </c>
      <c r="F1151" s="1">
        <v>45249</v>
      </c>
      <c r="G1151">
        <v>19</v>
      </c>
      <c r="H1151">
        <v>782.71</v>
      </c>
      <c r="I1151" t="s">
        <v>15</v>
      </c>
      <c r="J1151">
        <v>870</v>
      </c>
      <c r="K1151">
        <v>3</v>
      </c>
      <c r="L1151" t="str">
        <f>IF(logistics_data[[#This Row],[Delivery_Date]]="","In Transit",
 IF(logistics_data[[#This Row],[Status]]="Lost","Lost",
 IF(logistics_data[[#This Row],[Status]]="Returned","Returned",
 IF(logistics_data[[#This Row],[Status]]="Delayed","Delayed",
 "Delivered"))))</f>
        <v>Delivered</v>
      </c>
      <c r="M1151" s="2">
        <f>logistics_data[[#This Row],[Cost]]/logistics_data[[#This Row],[Distance_miles]]</f>
        <v>0.89966666666666673</v>
      </c>
      <c r="N1151" t="str">
        <f>IF(logistics_data[[#This Row],[Orginal staus of shipment]]&lt;&gt;"Delivered","not applicabel", IF(logistics_data[[#This Row],[Transit_Days]]&gt;=5,"slow","fast"))</f>
        <v>fast</v>
      </c>
    </row>
    <row r="1152" spans="1:14" x14ac:dyDescent="0.3">
      <c r="A1152" t="s">
        <v>1198</v>
      </c>
      <c r="B1152" t="s">
        <v>56</v>
      </c>
      <c r="C1152" t="s">
        <v>21</v>
      </c>
      <c r="D1152" t="s">
        <v>14</v>
      </c>
      <c r="E1152" s="1">
        <v>45163</v>
      </c>
      <c r="F1152" s="1">
        <v>45170</v>
      </c>
      <c r="G1152">
        <v>25.3</v>
      </c>
      <c r="H1152">
        <v>334.33</v>
      </c>
      <c r="I1152" t="s">
        <v>15</v>
      </c>
      <c r="J1152">
        <v>2305</v>
      </c>
      <c r="K1152">
        <v>7</v>
      </c>
      <c r="L1152" t="str">
        <f>IF(logistics_data[[#This Row],[Delivery_Date]]="","In Transit",
 IF(logistics_data[[#This Row],[Status]]="Lost","Lost",
 IF(logistics_data[[#This Row],[Status]]="Returned","Returned",
 IF(logistics_data[[#This Row],[Status]]="Delayed","Delayed",
 "Delivered"))))</f>
        <v>Delivered</v>
      </c>
      <c r="M1152" s="2">
        <f>logistics_data[[#This Row],[Cost]]/logistics_data[[#This Row],[Distance_miles]]</f>
        <v>0.14504555314533621</v>
      </c>
      <c r="N1152" t="str">
        <f>IF(logistics_data[[#This Row],[Orginal staus of shipment]]&lt;&gt;"Delivered","not applicabel", IF(logistics_data[[#This Row],[Transit_Days]]&gt;=5,"slow","fast"))</f>
        <v>slow</v>
      </c>
    </row>
    <row r="1153" spans="1:14" x14ac:dyDescent="0.3">
      <c r="A1153" t="s">
        <v>1199</v>
      </c>
      <c r="B1153" t="s">
        <v>51</v>
      </c>
      <c r="C1153" t="s">
        <v>46</v>
      </c>
      <c r="D1153" t="s">
        <v>25</v>
      </c>
      <c r="E1153" s="1">
        <v>45253</v>
      </c>
      <c r="F1153" s="1">
        <v>45254</v>
      </c>
      <c r="G1153">
        <v>10.7</v>
      </c>
      <c r="H1153">
        <v>42.56</v>
      </c>
      <c r="I1153" t="s">
        <v>15</v>
      </c>
      <c r="J1153">
        <v>215</v>
      </c>
      <c r="K1153">
        <v>1</v>
      </c>
      <c r="L1153" t="str">
        <f>IF(logistics_data[[#This Row],[Delivery_Date]]="","In Transit",
 IF(logistics_data[[#This Row],[Status]]="Lost","Lost",
 IF(logistics_data[[#This Row],[Status]]="Returned","Returned",
 IF(logistics_data[[#This Row],[Status]]="Delayed","Delayed",
 "Delivered"))))</f>
        <v>Delivered</v>
      </c>
      <c r="M1153" s="2">
        <f>logistics_data[[#This Row],[Cost]]/logistics_data[[#This Row],[Distance_miles]]</f>
        <v>0.19795348837209303</v>
      </c>
      <c r="N1153" t="str">
        <f>IF(logistics_data[[#This Row],[Orginal staus of shipment]]&lt;&gt;"Delivered","not applicabel", IF(logistics_data[[#This Row],[Transit_Days]]&gt;=5,"slow","fast"))</f>
        <v>fast</v>
      </c>
    </row>
    <row r="1154" spans="1:14" x14ac:dyDescent="0.3">
      <c r="A1154" t="s">
        <v>1200</v>
      </c>
      <c r="B1154" t="s">
        <v>56</v>
      </c>
      <c r="C1154" t="s">
        <v>81</v>
      </c>
      <c r="D1154" t="s">
        <v>18</v>
      </c>
      <c r="E1154" s="1">
        <v>45180</v>
      </c>
      <c r="F1154" s="1">
        <v>45186</v>
      </c>
      <c r="G1154">
        <v>9.1999999999999993</v>
      </c>
      <c r="H1154">
        <v>225.24</v>
      </c>
      <c r="I1154" t="s">
        <v>62</v>
      </c>
      <c r="J1154">
        <v>1505</v>
      </c>
      <c r="K1154">
        <v>6</v>
      </c>
      <c r="L1154" t="str">
        <f>IF(logistics_data[[#This Row],[Delivery_Date]]="","In Transit",
 IF(logistics_data[[#This Row],[Status]]="Lost","Lost",
 IF(logistics_data[[#This Row],[Status]]="Returned","Returned",
 IF(logistics_data[[#This Row],[Status]]="Delayed","Delayed",
 "Delivered"))))</f>
        <v>Delivered</v>
      </c>
      <c r="M1154" s="2">
        <f>logistics_data[[#This Row],[Cost]]/logistics_data[[#This Row],[Distance_miles]]</f>
        <v>0.14966112956810632</v>
      </c>
      <c r="N1154" t="str">
        <f>IF(logistics_data[[#This Row],[Orginal staus of shipment]]&lt;&gt;"Delivered","not applicabel", IF(logistics_data[[#This Row],[Transit_Days]]&gt;=5,"slow","fast"))</f>
        <v>slow</v>
      </c>
    </row>
    <row r="1155" spans="1:14" x14ac:dyDescent="0.3">
      <c r="A1155" t="s">
        <v>1201</v>
      </c>
      <c r="B1155" t="s">
        <v>12</v>
      </c>
      <c r="C1155" t="s">
        <v>13</v>
      </c>
      <c r="D1155" t="s">
        <v>42</v>
      </c>
      <c r="E1155" s="1">
        <v>45162</v>
      </c>
      <c r="F1155" s="1">
        <v>45169</v>
      </c>
      <c r="G1155">
        <v>0.3</v>
      </c>
      <c r="H1155">
        <v>273.62</v>
      </c>
      <c r="I1155" t="s">
        <v>15</v>
      </c>
      <c r="J1155">
        <v>2149</v>
      </c>
      <c r="K1155">
        <v>7</v>
      </c>
      <c r="L1155" t="str">
        <f>IF(logistics_data[[#This Row],[Delivery_Date]]="","In Transit",
 IF(logistics_data[[#This Row],[Status]]="Lost","Lost",
 IF(logistics_data[[#This Row],[Status]]="Returned","Returned",
 IF(logistics_data[[#This Row],[Status]]="Delayed","Delayed",
 "Delivered"))))</f>
        <v>Delivered</v>
      </c>
      <c r="M1155" s="2">
        <f>logistics_data[[#This Row],[Cost]]/logistics_data[[#This Row],[Distance_miles]]</f>
        <v>0.12732433690088413</v>
      </c>
      <c r="N1155" t="str">
        <f>IF(logistics_data[[#This Row],[Orginal staus of shipment]]&lt;&gt;"Delivered","not applicabel", IF(logistics_data[[#This Row],[Transit_Days]]&gt;=5,"slow","fast"))</f>
        <v>slow</v>
      </c>
    </row>
    <row r="1156" spans="1:14" x14ac:dyDescent="0.3">
      <c r="A1156" t="s">
        <v>1202</v>
      </c>
      <c r="B1156" t="s">
        <v>49</v>
      </c>
      <c r="C1156" t="s">
        <v>44</v>
      </c>
      <c r="D1156" t="s">
        <v>37</v>
      </c>
      <c r="E1156" s="1">
        <v>45210</v>
      </c>
      <c r="F1156" s="1">
        <v>45216</v>
      </c>
      <c r="G1156">
        <v>18.5</v>
      </c>
      <c r="H1156">
        <v>225.53</v>
      </c>
      <c r="I1156" t="s">
        <v>15</v>
      </c>
      <c r="J1156">
        <v>1585</v>
      </c>
      <c r="K1156">
        <v>6</v>
      </c>
      <c r="L1156" t="str">
        <f>IF(logistics_data[[#This Row],[Delivery_Date]]="","In Transit",
 IF(logistics_data[[#This Row],[Status]]="Lost","Lost",
 IF(logistics_data[[#This Row],[Status]]="Returned","Returned",
 IF(logistics_data[[#This Row],[Status]]="Delayed","Delayed",
 "Delivered"))))</f>
        <v>Delivered</v>
      </c>
      <c r="M1156" s="2">
        <f>logistics_data[[#This Row],[Cost]]/logistics_data[[#This Row],[Distance_miles]]</f>
        <v>0.14229022082018927</v>
      </c>
      <c r="N1156" t="str">
        <f>IF(logistics_data[[#This Row],[Orginal staus of shipment]]&lt;&gt;"Delivered","not applicabel", IF(logistics_data[[#This Row],[Transit_Days]]&gt;=5,"slow","fast"))</f>
        <v>slow</v>
      </c>
    </row>
    <row r="1157" spans="1:14" x14ac:dyDescent="0.3">
      <c r="A1157" t="s">
        <v>1203</v>
      </c>
      <c r="B1157" t="s">
        <v>20</v>
      </c>
      <c r="C1157" t="s">
        <v>44</v>
      </c>
      <c r="D1157" t="s">
        <v>18</v>
      </c>
      <c r="E1157" s="1">
        <v>45188</v>
      </c>
      <c r="F1157" s="1">
        <v>45191</v>
      </c>
      <c r="G1157">
        <v>10.199999999999999</v>
      </c>
      <c r="H1157">
        <v>31.86</v>
      </c>
      <c r="I1157" t="s">
        <v>15</v>
      </c>
      <c r="J1157">
        <v>112</v>
      </c>
      <c r="K1157">
        <v>3</v>
      </c>
      <c r="L1157" t="str">
        <f>IF(logistics_data[[#This Row],[Delivery_Date]]="","In Transit",
 IF(logistics_data[[#This Row],[Status]]="Lost","Lost",
 IF(logistics_data[[#This Row],[Status]]="Returned","Returned",
 IF(logistics_data[[#This Row],[Status]]="Delayed","Delayed",
 "Delivered"))))</f>
        <v>Delivered</v>
      </c>
      <c r="M1157" s="2">
        <f>logistics_data[[#This Row],[Cost]]/logistics_data[[#This Row],[Distance_miles]]</f>
        <v>0.28446428571428573</v>
      </c>
      <c r="N1157" t="str">
        <f>IF(logistics_data[[#This Row],[Orginal staus of shipment]]&lt;&gt;"Delivered","not applicabel", IF(logistics_data[[#This Row],[Transit_Days]]&gt;=5,"slow","fast"))</f>
        <v>fast</v>
      </c>
    </row>
    <row r="1158" spans="1:14" x14ac:dyDescent="0.3">
      <c r="A1158" t="s">
        <v>1204</v>
      </c>
      <c r="B1158" t="s">
        <v>27</v>
      </c>
      <c r="C1158" t="s">
        <v>57</v>
      </c>
      <c r="D1158" t="s">
        <v>42</v>
      </c>
      <c r="E1158" s="1">
        <v>45159</v>
      </c>
      <c r="F1158" s="1">
        <v>45166</v>
      </c>
      <c r="G1158">
        <v>72.2</v>
      </c>
      <c r="H1158">
        <v>354.2</v>
      </c>
      <c r="I1158" t="s">
        <v>15</v>
      </c>
      <c r="J1158">
        <v>2135</v>
      </c>
      <c r="K1158">
        <v>7</v>
      </c>
      <c r="L1158" t="str">
        <f>IF(logistics_data[[#This Row],[Delivery_Date]]="","In Transit",
 IF(logistics_data[[#This Row],[Status]]="Lost","Lost",
 IF(logistics_data[[#This Row],[Status]]="Returned","Returned",
 IF(logistics_data[[#This Row],[Status]]="Delayed","Delayed",
 "Delivered"))))</f>
        <v>Delivered</v>
      </c>
      <c r="M1158" s="2">
        <f>logistics_data[[#This Row],[Cost]]/logistics_data[[#This Row],[Distance_miles]]</f>
        <v>0.1659016393442623</v>
      </c>
      <c r="N1158" t="str">
        <f>IF(logistics_data[[#This Row],[Orginal staus of shipment]]&lt;&gt;"Delivered","not applicabel", IF(logistics_data[[#This Row],[Transit_Days]]&gt;=5,"slow","fast"))</f>
        <v>slow</v>
      </c>
    </row>
    <row r="1159" spans="1:14" x14ac:dyDescent="0.3">
      <c r="A1159" t="s">
        <v>1205</v>
      </c>
      <c r="B1159" t="s">
        <v>56</v>
      </c>
      <c r="C1159" t="s">
        <v>46</v>
      </c>
      <c r="D1159" t="s">
        <v>32</v>
      </c>
      <c r="E1159" s="1">
        <v>45173</v>
      </c>
      <c r="F1159" s="1">
        <v>45179</v>
      </c>
      <c r="G1159">
        <v>25</v>
      </c>
      <c r="H1159">
        <v>316.11</v>
      </c>
      <c r="I1159" t="s">
        <v>15</v>
      </c>
      <c r="J1159">
        <v>2154</v>
      </c>
      <c r="K1159">
        <v>6</v>
      </c>
      <c r="L1159" t="str">
        <f>IF(logistics_data[[#This Row],[Delivery_Date]]="","In Transit",
 IF(logistics_data[[#This Row],[Status]]="Lost","Lost",
 IF(logistics_data[[#This Row],[Status]]="Returned","Returned",
 IF(logistics_data[[#This Row],[Status]]="Delayed","Delayed",
 "Delivered"))))</f>
        <v>Delivered</v>
      </c>
      <c r="M1159" s="2">
        <f>logistics_data[[#This Row],[Cost]]/logistics_data[[#This Row],[Distance_miles]]</f>
        <v>0.14675487465181059</v>
      </c>
      <c r="N1159" t="str">
        <f>IF(logistics_data[[#This Row],[Orginal staus of shipment]]&lt;&gt;"Delivered","not applicabel", IF(logistics_data[[#This Row],[Transit_Days]]&gt;=5,"slow","fast"))</f>
        <v>slow</v>
      </c>
    </row>
    <row r="1160" spans="1:14" x14ac:dyDescent="0.3">
      <c r="A1160" t="s">
        <v>1206</v>
      </c>
      <c r="B1160" t="s">
        <v>12</v>
      </c>
      <c r="C1160" t="s">
        <v>46</v>
      </c>
      <c r="D1160" t="s">
        <v>25</v>
      </c>
      <c r="E1160" s="1">
        <v>45183</v>
      </c>
      <c r="F1160" s="1">
        <v>45188</v>
      </c>
      <c r="G1160">
        <v>9.6</v>
      </c>
      <c r="H1160">
        <v>202.87</v>
      </c>
      <c r="I1160" t="s">
        <v>62</v>
      </c>
      <c r="J1160">
        <v>1608</v>
      </c>
      <c r="K1160">
        <v>5</v>
      </c>
      <c r="L1160" t="str">
        <f>IF(logistics_data[[#This Row],[Delivery_Date]]="","In Transit",
 IF(logistics_data[[#This Row],[Status]]="Lost","Lost",
 IF(logistics_data[[#This Row],[Status]]="Returned","Returned",
 IF(logistics_data[[#This Row],[Status]]="Delayed","Delayed",
 "Delivered"))))</f>
        <v>Delivered</v>
      </c>
      <c r="M1160" s="2">
        <f>logistics_data[[#This Row],[Cost]]/logistics_data[[#This Row],[Distance_miles]]</f>
        <v>0.12616293532338307</v>
      </c>
      <c r="N1160" t="str">
        <f>IF(logistics_data[[#This Row],[Orginal staus of shipment]]&lt;&gt;"Delivered","not applicabel", IF(logistics_data[[#This Row],[Transit_Days]]&gt;=5,"slow","fast"))</f>
        <v>slow</v>
      </c>
    </row>
    <row r="1161" spans="1:14" x14ac:dyDescent="0.3">
      <c r="A1161" t="s">
        <v>1207</v>
      </c>
      <c r="B1161" t="s">
        <v>23</v>
      </c>
      <c r="C1161" t="s">
        <v>17</v>
      </c>
      <c r="D1161" t="s">
        <v>18</v>
      </c>
      <c r="E1161" s="1">
        <v>45158</v>
      </c>
      <c r="F1161" s="1">
        <v>45161</v>
      </c>
      <c r="G1161">
        <v>6.9</v>
      </c>
      <c r="H1161">
        <v>149.93</v>
      </c>
      <c r="I1161" t="s">
        <v>15</v>
      </c>
      <c r="J1161">
        <v>1077</v>
      </c>
      <c r="K1161">
        <v>3</v>
      </c>
      <c r="L1161" t="str">
        <f>IF(logistics_data[[#This Row],[Delivery_Date]]="","In Transit",
 IF(logistics_data[[#This Row],[Status]]="Lost","Lost",
 IF(logistics_data[[#This Row],[Status]]="Returned","Returned",
 IF(logistics_data[[#This Row],[Status]]="Delayed","Delayed",
 "Delivered"))))</f>
        <v>Delivered</v>
      </c>
      <c r="M1161" s="2">
        <f>logistics_data[[#This Row],[Cost]]/logistics_data[[#This Row],[Distance_miles]]</f>
        <v>0.13921077065923862</v>
      </c>
      <c r="N1161" t="str">
        <f>IF(logistics_data[[#This Row],[Orginal staus of shipment]]&lt;&gt;"Delivered","not applicabel", IF(logistics_data[[#This Row],[Transit_Days]]&gt;=5,"slow","fast"))</f>
        <v>fast</v>
      </c>
    </row>
    <row r="1162" spans="1:14" x14ac:dyDescent="0.3">
      <c r="A1162" t="s">
        <v>1208</v>
      </c>
      <c r="B1162" t="s">
        <v>49</v>
      </c>
      <c r="C1162" t="s">
        <v>81</v>
      </c>
      <c r="D1162" t="s">
        <v>59</v>
      </c>
      <c r="E1162" s="1">
        <v>45259</v>
      </c>
      <c r="F1162" s="1">
        <v>45261</v>
      </c>
      <c r="G1162">
        <v>15.1</v>
      </c>
      <c r="H1162">
        <v>99.27</v>
      </c>
      <c r="I1162" t="s">
        <v>15</v>
      </c>
      <c r="J1162">
        <v>565</v>
      </c>
      <c r="K1162">
        <v>2</v>
      </c>
      <c r="L1162" t="str">
        <f>IF(logistics_data[[#This Row],[Delivery_Date]]="","In Transit",
 IF(logistics_data[[#This Row],[Status]]="Lost","Lost",
 IF(logistics_data[[#This Row],[Status]]="Returned","Returned",
 IF(logistics_data[[#This Row],[Status]]="Delayed","Delayed",
 "Delivered"))))</f>
        <v>Delivered</v>
      </c>
      <c r="M1162" s="2">
        <f>logistics_data[[#This Row],[Cost]]/logistics_data[[#This Row],[Distance_miles]]</f>
        <v>0.17569911504424779</v>
      </c>
      <c r="N1162" t="str">
        <f>IF(logistics_data[[#This Row],[Orginal staus of shipment]]&lt;&gt;"Delivered","not applicabel", IF(logistics_data[[#This Row],[Transit_Days]]&gt;=5,"slow","fast"))</f>
        <v>fast</v>
      </c>
    </row>
    <row r="1163" spans="1:14" x14ac:dyDescent="0.3">
      <c r="A1163" t="s">
        <v>1209</v>
      </c>
      <c r="B1163" t="s">
        <v>35</v>
      </c>
      <c r="C1163" t="s">
        <v>81</v>
      </c>
      <c r="D1163" t="s">
        <v>42</v>
      </c>
      <c r="E1163" s="1">
        <v>45055</v>
      </c>
      <c r="F1163" s="1">
        <v>45058</v>
      </c>
      <c r="G1163">
        <v>67.400000000000006</v>
      </c>
      <c r="H1163">
        <v>220.93</v>
      </c>
      <c r="I1163" t="s">
        <v>15</v>
      </c>
      <c r="J1163">
        <v>1000</v>
      </c>
      <c r="K1163">
        <v>3</v>
      </c>
      <c r="L1163" t="str">
        <f>IF(logistics_data[[#This Row],[Delivery_Date]]="","In Transit",
 IF(logistics_data[[#This Row],[Status]]="Lost","Lost",
 IF(logistics_data[[#This Row],[Status]]="Returned","Returned",
 IF(logistics_data[[#This Row],[Status]]="Delayed","Delayed",
 "Delivered"))))</f>
        <v>Delivered</v>
      </c>
      <c r="M1163" s="2">
        <f>logistics_data[[#This Row],[Cost]]/logistics_data[[#This Row],[Distance_miles]]</f>
        <v>0.22093000000000002</v>
      </c>
      <c r="N1163" t="str">
        <f>IF(logistics_data[[#This Row],[Orginal staus of shipment]]&lt;&gt;"Delivered","not applicabel", IF(logistics_data[[#This Row],[Transit_Days]]&gt;=5,"slow","fast"))</f>
        <v>fast</v>
      </c>
    </row>
    <row r="1164" spans="1:14" x14ac:dyDescent="0.3">
      <c r="A1164" t="s">
        <v>1210</v>
      </c>
      <c r="B1164" t="s">
        <v>12</v>
      </c>
      <c r="C1164" t="s">
        <v>44</v>
      </c>
      <c r="D1164" t="s">
        <v>18</v>
      </c>
      <c r="E1164" s="1">
        <v>45213</v>
      </c>
      <c r="F1164" s="1">
        <v>45214</v>
      </c>
      <c r="G1164">
        <v>18.3</v>
      </c>
      <c r="H1164">
        <v>87.07</v>
      </c>
      <c r="I1164" t="s">
        <v>15</v>
      </c>
      <c r="J1164">
        <v>453</v>
      </c>
      <c r="K1164">
        <v>1</v>
      </c>
      <c r="L1164" t="str">
        <f>IF(logistics_data[[#This Row],[Delivery_Date]]="","In Transit",
 IF(logistics_data[[#This Row],[Status]]="Lost","Lost",
 IF(logistics_data[[#This Row],[Status]]="Returned","Returned",
 IF(logistics_data[[#This Row],[Status]]="Delayed","Delayed",
 "Delivered"))))</f>
        <v>Delivered</v>
      </c>
      <c r="M1164" s="2">
        <f>logistics_data[[#This Row],[Cost]]/logistics_data[[#This Row],[Distance_miles]]</f>
        <v>0.19220750551876378</v>
      </c>
      <c r="N1164" t="str">
        <f>IF(logistics_data[[#This Row],[Orginal staus of shipment]]&lt;&gt;"Delivered","not applicabel", IF(logistics_data[[#This Row],[Transit_Days]]&gt;=5,"slow","fast"))</f>
        <v>fast</v>
      </c>
    </row>
    <row r="1165" spans="1:14" x14ac:dyDescent="0.3">
      <c r="A1165" t="s">
        <v>1211</v>
      </c>
      <c r="B1165" t="s">
        <v>56</v>
      </c>
      <c r="C1165" t="s">
        <v>57</v>
      </c>
      <c r="D1165" t="s">
        <v>37</v>
      </c>
      <c r="E1165" s="1">
        <v>44963</v>
      </c>
      <c r="F1165" s="1">
        <v>44966</v>
      </c>
      <c r="G1165">
        <v>94.1</v>
      </c>
      <c r="H1165">
        <v>117.26</v>
      </c>
      <c r="I1165" t="s">
        <v>15</v>
      </c>
      <c r="J1165">
        <v>132</v>
      </c>
      <c r="K1165">
        <v>3</v>
      </c>
      <c r="L1165" t="str">
        <f>IF(logistics_data[[#This Row],[Delivery_Date]]="","In Transit",
 IF(logistics_data[[#This Row],[Status]]="Lost","Lost",
 IF(logistics_data[[#This Row],[Status]]="Returned","Returned",
 IF(logistics_data[[#This Row],[Status]]="Delayed","Delayed",
 "Delivered"))))</f>
        <v>Delivered</v>
      </c>
      <c r="M1165" s="2">
        <f>logistics_data[[#This Row],[Cost]]/logistics_data[[#This Row],[Distance_miles]]</f>
        <v>0.88833333333333342</v>
      </c>
      <c r="N1165" t="str">
        <f>IF(logistics_data[[#This Row],[Orginal staus of shipment]]&lt;&gt;"Delivered","not applicabel", IF(logistics_data[[#This Row],[Transit_Days]]&gt;=5,"slow","fast"))</f>
        <v>fast</v>
      </c>
    </row>
    <row r="1166" spans="1:14" x14ac:dyDescent="0.3">
      <c r="A1166" t="s">
        <v>1212</v>
      </c>
      <c r="B1166" t="s">
        <v>20</v>
      </c>
      <c r="C1166" t="s">
        <v>28</v>
      </c>
      <c r="D1166" t="s">
        <v>18</v>
      </c>
      <c r="E1166" s="1">
        <v>44944</v>
      </c>
      <c r="F1166" s="1">
        <v>44947</v>
      </c>
      <c r="G1166">
        <v>8.1999999999999993</v>
      </c>
      <c r="H1166">
        <v>207.39</v>
      </c>
      <c r="I1166" t="s">
        <v>15</v>
      </c>
      <c r="J1166">
        <v>1435</v>
      </c>
      <c r="K1166">
        <v>3</v>
      </c>
      <c r="L1166" t="str">
        <f>IF(logistics_data[[#This Row],[Delivery_Date]]="","In Transit",
 IF(logistics_data[[#This Row],[Status]]="Lost","Lost",
 IF(logistics_data[[#This Row],[Status]]="Returned","Returned",
 IF(logistics_data[[#This Row],[Status]]="Delayed","Delayed",
 "Delivered"))))</f>
        <v>Delivered</v>
      </c>
      <c r="M1166" s="2">
        <f>logistics_data[[#This Row],[Cost]]/logistics_data[[#This Row],[Distance_miles]]</f>
        <v>0.14452264808362369</v>
      </c>
      <c r="N1166" t="str">
        <f>IF(logistics_data[[#This Row],[Orginal staus of shipment]]&lt;&gt;"Delivered","not applicabel", IF(logistics_data[[#This Row],[Transit_Days]]&gt;=5,"slow","fast"))</f>
        <v>fast</v>
      </c>
    </row>
    <row r="1167" spans="1:14" x14ac:dyDescent="0.3">
      <c r="A1167" t="s">
        <v>1213</v>
      </c>
      <c r="B1167" t="s">
        <v>39</v>
      </c>
      <c r="C1167" t="s">
        <v>31</v>
      </c>
      <c r="D1167" t="s">
        <v>14</v>
      </c>
      <c r="E1167" s="1">
        <v>45032</v>
      </c>
      <c r="F1167" s="1">
        <v>45037</v>
      </c>
      <c r="G1167">
        <v>7</v>
      </c>
      <c r="H1167">
        <v>291.75</v>
      </c>
      <c r="I1167" t="s">
        <v>15</v>
      </c>
      <c r="J1167">
        <v>2078</v>
      </c>
      <c r="K1167">
        <v>5</v>
      </c>
      <c r="L1167" t="str">
        <f>IF(logistics_data[[#This Row],[Delivery_Date]]="","In Transit",
 IF(logistics_data[[#This Row],[Status]]="Lost","Lost",
 IF(logistics_data[[#This Row],[Status]]="Returned","Returned",
 IF(logistics_data[[#This Row],[Status]]="Delayed","Delayed",
 "Delivered"))))</f>
        <v>Delivered</v>
      </c>
      <c r="M1167" s="2">
        <f>logistics_data[[#This Row],[Cost]]/logistics_data[[#This Row],[Distance_miles]]</f>
        <v>0.14039942252165544</v>
      </c>
      <c r="N1167" t="str">
        <f>IF(logistics_data[[#This Row],[Orginal staus of shipment]]&lt;&gt;"Delivered","not applicabel", IF(logistics_data[[#This Row],[Transit_Days]]&gt;=5,"slow","fast"))</f>
        <v>slow</v>
      </c>
    </row>
    <row r="1168" spans="1:14" x14ac:dyDescent="0.3">
      <c r="A1168" t="s">
        <v>1214</v>
      </c>
      <c r="B1168" t="s">
        <v>20</v>
      </c>
      <c r="C1168" t="s">
        <v>21</v>
      </c>
      <c r="D1168" t="s">
        <v>59</v>
      </c>
      <c r="E1168" s="1">
        <v>44951</v>
      </c>
      <c r="F1168" s="1">
        <v>44955</v>
      </c>
      <c r="G1168">
        <v>53.6</v>
      </c>
      <c r="H1168">
        <v>196.98</v>
      </c>
      <c r="I1168" t="s">
        <v>15</v>
      </c>
      <c r="J1168">
        <v>1047</v>
      </c>
      <c r="K1168">
        <v>4</v>
      </c>
      <c r="L1168" t="str">
        <f>IF(logistics_data[[#This Row],[Delivery_Date]]="","In Transit",
 IF(logistics_data[[#This Row],[Status]]="Lost","Lost",
 IF(logistics_data[[#This Row],[Status]]="Returned","Returned",
 IF(logistics_data[[#This Row],[Status]]="Delayed","Delayed",
 "Delivered"))))</f>
        <v>Delivered</v>
      </c>
      <c r="M1168" s="2">
        <f>logistics_data[[#This Row],[Cost]]/logistics_data[[#This Row],[Distance_miles]]</f>
        <v>0.18813753581661891</v>
      </c>
      <c r="N1168" t="str">
        <f>IF(logistics_data[[#This Row],[Orginal staus of shipment]]&lt;&gt;"Delivered","not applicabel", IF(logistics_data[[#This Row],[Transit_Days]]&gt;=5,"slow","fast"))</f>
        <v>fast</v>
      </c>
    </row>
    <row r="1169" spans="1:14" x14ac:dyDescent="0.3">
      <c r="A1169" t="s">
        <v>1215</v>
      </c>
      <c r="B1169" t="s">
        <v>27</v>
      </c>
      <c r="C1169" t="s">
        <v>46</v>
      </c>
      <c r="D1169" t="s">
        <v>18</v>
      </c>
      <c r="E1169" s="1">
        <v>45152</v>
      </c>
      <c r="F1169" s="1">
        <v>45157</v>
      </c>
      <c r="G1169">
        <v>5.7</v>
      </c>
      <c r="H1169">
        <v>241.01</v>
      </c>
      <c r="I1169" t="s">
        <v>15</v>
      </c>
      <c r="J1169">
        <v>1582</v>
      </c>
      <c r="K1169">
        <v>5</v>
      </c>
      <c r="L1169" t="str">
        <f>IF(logistics_data[[#This Row],[Delivery_Date]]="","In Transit",
 IF(logistics_data[[#This Row],[Status]]="Lost","Lost",
 IF(logistics_data[[#This Row],[Status]]="Returned","Returned",
 IF(logistics_data[[#This Row],[Status]]="Delayed","Delayed",
 "Delivered"))))</f>
        <v>Delivered</v>
      </c>
      <c r="M1169" s="2">
        <f>logistics_data[[#This Row],[Cost]]/logistics_data[[#This Row],[Distance_miles]]</f>
        <v>0.15234513274336284</v>
      </c>
      <c r="N1169" t="str">
        <f>IF(logistics_data[[#This Row],[Orginal staus of shipment]]&lt;&gt;"Delivered","not applicabel", IF(logistics_data[[#This Row],[Transit_Days]]&gt;=5,"slow","fast"))</f>
        <v>slow</v>
      </c>
    </row>
    <row r="1170" spans="1:14" x14ac:dyDescent="0.3">
      <c r="A1170" t="s">
        <v>1216</v>
      </c>
      <c r="B1170" t="s">
        <v>20</v>
      </c>
      <c r="C1170" t="s">
        <v>52</v>
      </c>
      <c r="D1170" t="s">
        <v>14</v>
      </c>
      <c r="E1170" s="1">
        <v>45144</v>
      </c>
      <c r="F1170" s="1">
        <v>45149</v>
      </c>
      <c r="G1170">
        <v>27.1</v>
      </c>
      <c r="H1170">
        <v>75.569999999999993</v>
      </c>
      <c r="I1170" t="s">
        <v>15</v>
      </c>
      <c r="J1170">
        <v>373</v>
      </c>
      <c r="K1170">
        <v>5</v>
      </c>
      <c r="L1170" t="str">
        <f>IF(logistics_data[[#This Row],[Delivery_Date]]="","In Transit",
 IF(logistics_data[[#This Row],[Status]]="Lost","Lost",
 IF(logistics_data[[#This Row],[Status]]="Returned","Returned",
 IF(logistics_data[[#This Row],[Status]]="Delayed","Delayed",
 "Delivered"))))</f>
        <v>Delivered</v>
      </c>
      <c r="M1170" s="2">
        <f>logistics_data[[#This Row],[Cost]]/logistics_data[[#This Row],[Distance_miles]]</f>
        <v>0.20260053619302948</v>
      </c>
      <c r="N1170" t="str">
        <f>IF(logistics_data[[#This Row],[Orginal staus of shipment]]&lt;&gt;"Delivered","not applicabel", IF(logistics_data[[#This Row],[Transit_Days]]&gt;=5,"slow","fast"))</f>
        <v>slow</v>
      </c>
    </row>
    <row r="1171" spans="1:14" x14ac:dyDescent="0.3">
      <c r="A1171" t="s">
        <v>1217</v>
      </c>
      <c r="B1171" t="s">
        <v>30</v>
      </c>
      <c r="C1171" t="s">
        <v>46</v>
      </c>
      <c r="D1171" t="s">
        <v>37</v>
      </c>
      <c r="E1171" s="1">
        <v>45203</v>
      </c>
      <c r="F1171" s="1">
        <v>45216</v>
      </c>
      <c r="G1171">
        <v>15.9</v>
      </c>
      <c r="H1171">
        <v>216.07</v>
      </c>
      <c r="I1171" t="s">
        <v>47</v>
      </c>
      <c r="J1171">
        <v>1814</v>
      </c>
      <c r="K1171">
        <v>6</v>
      </c>
      <c r="L1171" t="str">
        <f>IF(logistics_data[[#This Row],[Delivery_Date]]="","In Transit",
 IF(logistics_data[[#This Row],[Status]]="Lost","Lost",
 IF(logistics_data[[#This Row],[Status]]="Returned","Returned",
 IF(logistics_data[[#This Row],[Status]]="Delayed","Delayed",
 "Delivered"))))</f>
        <v>Delayed</v>
      </c>
      <c r="M1171" s="2">
        <f>logistics_data[[#This Row],[Cost]]/logistics_data[[#This Row],[Distance_miles]]</f>
        <v>0.11911245865490629</v>
      </c>
      <c r="N1171" t="str">
        <f>IF(logistics_data[[#This Row],[Orginal staus of shipment]]&lt;&gt;"Delivered","not applicabel", IF(logistics_data[[#This Row],[Transit_Days]]&gt;=5,"slow","fast"))</f>
        <v>not applicabel</v>
      </c>
    </row>
    <row r="1172" spans="1:14" x14ac:dyDescent="0.3">
      <c r="A1172" t="s">
        <v>1218</v>
      </c>
      <c r="B1172" t="s">
        <v>39</v>
      </c>
      <c r="C1172" t="s">
        <v>54</v>
      </c>
      <c r="D1172" t="s">
        <v>37</v>
      </c>
      <c r="E1172" s="1">
        <v>45115</v>
      </c>
      <c r="F1172" s="1">
        <v>45119</v>
      </c>
      <c r="G1172">
        <v>6.5</v>
      </c>
      <c r="H1172">
        <v>156</v>
      </c>
      <c r="I1172" t="s">
        <v>15</v>
      </c>
      <c r="J1172">
        <v>1302</v>
      </c>
      <c r="K1172">
        <v>4</v>
      </c>
      <c r="L1172" t="str">
        <f>IF(logistics_data[[#This Row],[Delivery_Date]]="","In Transit",
 IF(logistics_data[[#This Row],[Status]]="Lost","Lost",
 IF(logistics_data[[#This Row],[Status]]="Returned","Returned",
 IF(logistics_data[[#This Row],[Status]]="Delayed","Delayed",
 "Delivered"))))</f>
        <v>Delivered</v>
      </c>
      <c r="M1172" s="2">
        <f>logistics_data[[#This Row],[Cost]]/logistics_data[[#This Row],[Distance_miles]]</f>
        <v>0.11981566820276497</v>
      </c>
      <c r="N1172" t="str">
        <f>IF(logistics_data[[#This Row],[Orginal staus of shipment]]&lt;&gt;"Delivered","not applicabel", IF(logistics_data[[#This Row],[Transit_Days]]&gt;=5,"slow","fast"))</f>
        <v>fast</v>
      </c>
    </row>
    <row r="1173" spans="1:14" x14ac:dyDescent="0.3">
      <c r="A1173" t="s">
        <v>1219</v>
      </c>
      <c r="B1173" t="s">
        <v>39</v>
      </c>
      <c r="C1173" t="s">
        <v>17</v>
      </c>
      <c r="D1173" t="s">
        <v>14</v>
      </c>
      <c r="E1173" s="1">
        <v>45286</v>
      </c>
      <c r="F1173" s="1">
        <v>45289</v>
      </c>
      <c r="G1173">
        <v>4.7</v>
      </c>
      <c r="H1173">
        <v>116.83</v>
      </c>
      <c r="I1173" t="s">
        <v>15</v>
      </c>
      <c r="J1173">
        <v>800</v>
      </c>
      <c r="K1173">
        <v>3</v>
      </c>
      <c r="L1173" t="str">
        <f>IF(logistics_data[[#This Row],[Delivery_Date]]="","In Transit",
 IF(logistics_data[[#This Row],[Status]]="Lost","Lost",
 IF(logistics_data[[#This Row],[Status]]="Returned","Returned",
 IF(logistics_data[[#This Row],[Status]]="Delayed","Delayed",
 "Delivered"))))</f>
        <v>Delivered</v>
      </c>
      <c r="M1173" s="2">
        <f>logistics_data[[#This Row],[Cost]]/logistics_data[[#This Row],[Distance_miles]]</f>
        <v>0.14603749999999999</v>
      </c>
      <c r="N1173" t="str">
        <f>IF(logistics_data[[#This Row],[Orginal staus of shipment]]&lt;&gt;"Delivered","not applicabel", IF(logistics_data[[#This Row],[Transit_Days]]&gt;=5,"slow","fast"))</f>
        <v>fast</v>
      </c>
    </row>
    <row r="1174" spans="1:14" x14ac:dyDescent="0.3">
      <c r="A1174" t="s">
        <v>1220</v>
      </c>
      <c r="B1174" t="s">
        <v>20</v>
      </c>
      <c r="C1174" t="s">
        <v>24</v>
      </c>
      <c r="D1174" t="s">
        <v>25</v>
      </c>
      <c r="E1174" s="1">
        <v>45218</v>
      </c>
      <c r="F1174" s="1">
        <v>45232</v>
      </c>
      <c r="G1174">
        <v>17.3</v>
      </c>
      <c r="H1174">
        <v>156.69999999999999</v>
      </c>
      <c r="I1174" t="s">
        <v>47</v>
      </c>
      <c r="J1174">
        <v>1135</v>
      </c>
      <c r="K1174">
        <v>5</v>
      </c>
      <c r="L1174" t="str">
        <f>IF(logistics_data[[#This Row],[Delivery_Date]]="","In Transit",
 IF(logistics_data[[#This Row],[Status]]="Lost","Lost",
 IF(logistics_data[[#This Row],[Status]]="Returned","Returned",
 IF(logistics_data[[#This Row],[Status]]="Delayed","Delayed",
 "Delivered"))))</f>
        <v>Delayed</v>
      </c>
      <c r="M1174" s="2">
        <f>logistics_data[[#This Row],[Cost]]/logistics_data[[#This Row],[Distance_miles]]</f>
        <v>0.13806167400881056</v>
      </c>
      <c r="N1174" t="str">
        <f>IF(logistics_data[[#This Row],[Orginal staus of shipment]]&lt;&gt;"Delivered","not applicabel", IF(logistics_data[[#This Row],[Transit_Days]]&gt;=5,"slow","fast"))</f>
        <v>not applicabel</v>
      </c>
    </row>
    <row r="1175" spans="1:14" x14ac:dyDescent="0.3">
      <c r="A1175" t="s">
        <v>1221</v>
      </c>
      <c r="B1175" t="s">
        <v>27</v>
      </c>
      <c r="C1175" t="s">
        <v>57</v>
      </c>
      <c r="D1175" t="s">
        <v>42</v>
      </c>
      <c r="E1175" s="1">
        <v>45149</v>
      </c>
      <c r="F1175" s="1">
        <v>45152</v>
      </c>
      <c r="G1175">
        <v>60.8</v>
      </c>
      <c r="H1175">
        <v>217.77</v>
      </c>
      <c r="I1175" t="s">
        <v>15</v>
      </c>
      <c r="J1175">
        <v>1157</v>
      </c>
      <c r="K1175">
        <v>3</v>
      </c>
      <c r="L1175" t="str">
        <f>IF(logistics_data[[#This Row],[Delivery_Date]]="","In Transit",
 IF(logistics_data[[#This Row],[Status]]="Lost","Lost",
 IF(logistics_data[[#This Row],[Status]]="Returned","Returned",
 IF(logistics_data[[#This Row],[Status]]="Delayed","Delayed",
 "Delivered"))))</f>
        <v>Delivered</v>
      </c>
      <c r="M1175" s="2">
        <f>logistics_data[[#This Row],[Cost]]/logistics_data[[#This Row],[Distance_miles]]</f>
        <v>0.18821953327571306</v>
      </c>
      <c r="N1175" t="str">
        <f>IF(logistics_data[[#This Row],[Orginal staus of shipment]]&lt;&gt;"Delivered","not applicabel", IF(logistics_data[[#This Row],[Transit_Days]]&gt;=5,"slow","fast"))</f>
        <v>fast</v>
      </c>
    </row>
    <row r="1176" spans="1:14" x14ac:dyDescent="0.3">
      <c r="A1176" t="s">
        <v>1222</v>
      </c>
      <c r="B1176" t="s">
        <v>56</v>
      </c>
      <c r="C1176" t="s">
        <v>36</v>
      </c>
      <c r="D1176" t="s">
        <v>32</v>
      </c>
      <c r="E1176" s="1">
        <v>45117</v>
      </c>
      <c r="F1176" s="1">
        <v>45122</v>
      </c>
      <c r="G1176">
        <v>17.100000000000001</v>
      </c>
      <c r="H1176">
        <v>278.83</v>
      </c>
      <c r="I1176" t="s">
        <v>15</v>
      </c>
      <c r="J1176">
        <v>1989</v>
      </c>
      <c r="K1176">
        <v>5</v>
      </c>
      <c r="L1176" t="str">
        <f>IF(logistics_data[[#This Row],[Delivery_Date]]="","In Transit",
 IF(logistics_data[[#This Row],[Status]]="Lost","Lost",
 IF(logistics_data[[#This Row],[Status]]="Returned","Returned",
 IF(logistics_data[[#This Row],[Status]]="Delayed","Delayed",
 "Delivered"))))</f>
        <v>Delivered</v>
      </c>
      <c r="M1176" s="2">
        <f>logistics_data[[#This Row],[Cost]]/logistics_data[[#This Row],[Distance_miles]]</f>
        <v>0.14018602312719958</v>
      </c>
      <c r="N1176" t="str">
        <f>IF(logistics_data[[#This Row],[Orginal staus of shipment]]&lt;&gt;"Delivered","not applicabel", IF(logistics_data[[#This Row],[Transit_Days]]&gt;=5,"slow","fast"))</f>
        <v>slow</v>
      </c>
    </row>
    <row r="1177" spans="1:14" x14ac:dyDescent="0.3">
      <c r="A1177" t="s">
        <v>1223</v>
      </c>
      <c r="B1177" t="s">
        <v>49</v>
      </c>
      <c r="C1177" t="s">
        <v>36</v>
      </c>
      <c r="D1177" t="s">
        <v>59</v>
      </c>
      <c r="E1177" s="1">
        <v>44979</v>
      </c>
      <c r="F1177" s="1">
        <v>44980</v>
      </c>
      <c r="G1177">
        <v>21.6</v>
      </c>
      <c r="H1177">
        <v>64.62</v>
      </c>
      <c r="I1177" t="s">
        <v>15</v>
      </c>
      <c r="J1177">
        <v>374</v>
      </c>
      <c r="K1177">
        <v>1</v>
      </c>
      <c r="L1177" t="str">
        <f>IF(logistics_data[[#This Row],[Delivery_Date]]="","In Transit",
 IF(logistics_data[[#This Row],[Status]]="Lost","Lost",
 IF(logistics_data[[#This Row],[Status]]="Returned","Returned",
 IF(logistics_data[[#This Row],[Status]]="Delayed","Delayed",
 "Delivered"))))</f>
        <v>Delivered</v>
      </c>
      <c r="M1177" s="2">
        <f>logistics_data[[#This Row],[Cost]]/logistics_data[[#This Row],[Distance_miles]]</f>
        <v>0.17278074866310161</v>
      </c>
      <c r="N1177" t="str">
        <f>IF(logistics_data[[#This Row],[Orginal staus of shipment]]&lt;&gt;"Delivered","not applicabel", IF(logistics_data[[#This Row],[Transit_Days]]&gt;=5,"slow","fast"))</f>
        <v>fast</v>
      </c>
    </row>
    <row r="1178" spans="1:14" x14ac:dyDescent="0.3">
      <c r="A1178" t="s">
        <v>1224</v>
      </c>
      <c r="B1178" t="s">
        <v>30</v>
      </c>
      <c r="C1178" t="s">
        <v>36</v>
      </c>
      <c r="D1178" t="s">
        <v>32</v>
      </c>
      <c r="E1178" s="1">
        <v>45086</v>
      </c>
      <c r="F1178" s="1">
        <v>45087</v>
      </c>
      <c r="G1178">
        <v>13.1</v>
      </c>
      <c r="H1178">
        <v>32.11</v>
      </c>
      <c r="I1178" t="s">
        <v>62</v>
      </c>
      <c r="J1178">
        <v>131</v>
      </c>
      <c r="K1178">
        <v>1</v>
      </c>
      <c r="L1178" t="str">
        <f>IF(logistics_data[[#This Row],[Delivery_Date]]="","In Transit",
 IF(logistics_data[[#This Row],[Status]]="Lost","Lost",
 IF(logistics_data[[#This Row],[Status]]="Returned","Returned",
 IF(logistics_data[[#This Row],[Status]]="Delayed","Delayed",
 "Delivered"))))</f>
        <v>Delivered</v>
      </c>
      <c r="M1178" s="2">
        <f>logistics_data[[#This Row],[Cost]]/logistics_data[[#This Row],[Distance_miles]]</f>
        <v>0.24511450381679389</v>
      </c>
      <c r="N1178" t="str">
        <f>IF(logistics_data[[#This Row],[Orginal staus of shipment]]&lt;&gt;"Delivered","not applicabel", IF(logistics_data[[#This Row],[Transit_Days]]&gt;=5,"slow","fast"))</f>
        <v>fast</v>
      </c>
    </row>
    <row r="1179" spans="1:14" x14ac:dyDescent="0.3">
      <c r="A1179" t="s">
        <v>1225</v>
      </c>
      <c r="B1179" t="s">
        <v>56</v>
      </c>
      <c r="C1179" t="s">
        <v>57</v>
      </c>
      <c r="D1179" t="s">
        <v>42</v>
      </c>
      <c r="E1179" s="1">
        <v>45149</v>
      </c>
      <c r="F1179" s="1">
        <v>45151</v>
      </c>
      <c r="G1179">
        <v>31.4</v>
      </c>
      <c r="H1179">
        <v>92.42</v>
      </c>
      <c r="I1179" t="s">
        <v>15</v>
      </c>
      <c r="J1179">
        <v>422</v>
      </c>
      <c r="K1179">
        <v>2</v>
      </c>
      <c r="L1179" t="str">
        <f>IF(logistics_data[[#This Row],[Delivery_Date]]="","In Transit",
 IF(logistics_data[[#This Row],[Status]]="Lost","Lost",
 IF(logistics_data[[#This Row],[Status]]="Returned","Returned",
 IF(logistics_data[[#This Row],[Status]]="Delayed","Delayed",
 "Delivered"))))</f>
        <v>Delivered</v>
      </c>
      <c r="M1179" s="2">
        <f>logistics_data[[#This Row],[Cost]]/logistics_data[[#This Row],[Distance_miles]]</f>
        <v>0.21900473933649289</v>
      </c>
      <c r="N1179" t="str">
        <f>IF(logistics_data[[#This Row],[Orginal staus of shipment]]&lt;&gt;"Delivered","not applicabel", IF(logistics_data[[#This Row],[Transit_Days]]&gt;=5,"slow","fast"))</f>
        <v>fast</v>
      </c>
    </row>
    <row r="1180" spans="1:14" x14ac:dyDescent="0.3">
      <c r="A1180" t="s">
        <v>1226</v>
      </c>
      <c r="B1180" t="s">
        <v>30</v>
      </c>
      <c r="C1180" t="s">
        <v>17</v>
      </c>
      <c r="D1180" t="s">
        <v>32</v>
      </c>
      <c r="E1180" s="1">
        <v>45112</v>
      </c>
      <c r="F1180" s="1">
        <v>45117</v>
      </c>
      <c r="G1180">
        <v>38</v>
      </c>
      <c r="H1180">
        <v>329.04</v>
      </c>
      <c r="I1180" t="s">
        <v>15</v>
      </c>
      <c r="J1180">
        <v>1940</v>
      </c>
      <c r="K1180">
        <v>5</v>
      </c>
      <c r="L1180" t="str">
        <f>IF(logistics_data[[#This Row],[Delivery_Date]]="","In Transit",
 IF(logistics_data[[#This Row],[Status]]="Lost","Lost",
 IF(logistics_data[[#This Row],[Status]]="Returned","Returned",
 IF(logistics_data[[#This Row],[Status]]="Delayed","Delayed",
 "Delivered"))))</f>
        <v>Delivered</v>
      </c>
      <c r="M1180" s="2">
        <f>logistics_data[[#This Row],[Cost]]/logistics_data[[#This Row],[Distance_miles]]</f>
        <v>0.16960824742268044</v>
      </c>
      <c r="N1180" t="str">
        <f>IF(logistics_data[[#This Row],[Orginal staus of shipment]]&lt;&gt;"Delivered","not applicabel", IF(logistics_data[[#This Row],[Transit_Days]]&gt;=5,"slow","fast"))</f>
        <v>slow</v>
      </c>
    </row>
    <row r="1181" spans="1:14" x14ac:dyDescent="0.3">
      <c r="A1181" t="s">
        <v>1227</v>
      </c>
      <c r="B1181" t="s">
        <v>51</v>
      </c>
      <c r="C1181" t="s">
        <v>44</v>
      </c>
      <c r="D1181" t="s">
        <v>18</v>
      </c>
      <c r="E1181" s="1">
        <v>45286</v>
      </c>
      <c r="F1181" s="1">
        <v>45303</v>
      </c>
      <c r="G1181">
        <v>13.4</v>
      </c>
      <c r="H1181">
        <v>137.91</v>
      </c>
      <c r="I1181" t="s">
        <v>47</v>
      </c>
      <c r="J1181">
        <v>790</v>
      </c>
      <c r="K1181">
        <v>4</v>
      </c>
      <c r="L1181" t="str">
        <f>IF(logistics_data[[#This Row],[Delivery_Date]]="","In Transit",
 IF(logistics_data[[#This Row],[Status]]="Lost","Lost",
 IF(logistics_data[[#This Row],[Status]]="Returned","Returned",
 IF(logistics_data[[#This Row],[Status]]="Delayed","Delayed",
 "Delivered"))))</f>
        <v>Delayed</v>
      </c>
      <c r="M1181" s="2">
        <f>logistics_data[[#This Row],[Cost]]/logistics_data[[#This Row],[Distance_miles]]</f>
        <v>0.17456962025316455</v>
      </c>
      <c r="N1181" t="str">
        <f>IF(logistics_data[[#This Row],[Orginal staus of shipment]]&lt;&gt;"Delivered","not applicabel", IF(logistics_data[[#This Row],[Transit_Days]]&gt;=5,"slow","fast"))</f>
        <v>not applicabel</v>
      </c>
    </row>
    <row r="1182" spans="1:14" x14ac:dyDescent="0.3">
      <c r="A1182" t="s">
        <v>1228</v>
      </c>
      <c r="B1182" t="s">
        <v>51</v>
      </c>
      <c r="C1182" t="s">
        <v>24</v>
      </c>
      <c r="D1182" t="s">
        <v>18</v>
      </c>
      <c r="E1182" s="1">
        <v>45023</v>
      </c>
      <c r="F1182" s="1">
        <v>45026</v>
      </c>
      <c r="G1182">
        <v>13</v>
      </c>
      <c r="H1182">
        <v>123.25</v>
      </c>
      <c r="I1182" t="s">
        <v>15</v>
      </c>
      <c r="J1182">
        <v>860</v>
      </c>
      <c r="K1182">
        <v>3</v>
      </c>
      <c r="L1182" t="str">
        <f>IF(logistics_data[[#This Row],[Delivery_Date]]="","In Transit",
 IF(logistics_data[[#This Row],[Status]]="Lost","Lost",
 IF(logistics_data[[#This Row],[Status]]="Returned","Returned",
 IF(logistics_data[[#This Row],[Status]]="Delayed","Delayed",
 "Delivered"))))</f>
        <v>Delivered</v>
      </c>
      <c r="M1182" s="2">
        <f>logistics_data[[#This Row],[Cost]]/logistics_data[[#This Row],[Distance_miles]]</f>
        <v>0.14331395348837209</v>
      </c>
      <c r="N1182" t="str">
        <f>IF(logistics_data[[#This Row],[Orginal staus of shipment]]&lt;&gt;"Delivered","not applicabel", IF(logistics_data[[#This Row],[Transit_Days]]&gt;=5,"slow","fast"))</f>
        <v>fast</v>
      </c>
    </row>
    <row r="1183" spans="1:14" x14ac:dyDescent="0.3">
      <c r="A1183" t="s">
        <v>1229</v>
      </c>
      <c r="B1183" t="s">
        <v>27</v>
      </c>
      <c r="C1183" t="s">
        <v>54</v>
      </c>
      <c r="D1183" t="s">
        <v>25</v>
      </c>
      <c r="E1183" s="1">
        <v>45125</v>
      </c>
      <c r="F1183" s="1">
        <v>45128</v>
      </c>
      <c r="G1183">
        <v>7.2</v>
      </c>
      <c r="H1183">
        <v>139.61000000000001</v>
      </c>
      <c r="I1183" t="s">
        <v>15</v>
      </c>
      <c r="J1183">
        <v>1122</v>
      </c>
      <c r="K1183">
        <v>3</v>
      </c>
      <c r="L1183" t="str">
        <f>IF(logistics_data[[#This Row],[Delivery_Date]]="","In Transit",
 IF(logistics_data[[#This Row],[Status]]="Lost","Lost",
 IF(logistics_data[[#This Row],[Status]]="Returned","Returned",
 IF(logistics_data[[#This Row],[Status]]="Delayed","Delayed",
 "Delivered"))))</f>
        <v>Delivered</v>
      </c>
      <c r="M1183" s="2">
        <f>logistics_data[[#This Row],[Cost]]/logistics_data[[#This Row],[Distance_miles]]</f>
        <v>0.12442959001782532</v>
      </c>
      <c r="N1183" t="str">
        <f>IF(logistics_data[[#This Row],[Orginal staus of shipment]]&lt;&gt;"Delivered","not applicabel", IF(logistics_data[[#This Row],[Transit_Days]]&gt;=5,"slow","fast"))</f>
        <v>fast</v>
      </c>
    </row>
    <row r="1184" spans="1:14" x14ac:dyDescent="0.3">
      <c r="A1184" t="s">
        <v>1230</v>
      </c>
      <c r="B1184" t="s">
        <v>27</v>
      </c>
      <c r="C1184" t="s">
        <v>57</v>
      </c>
      <c r="D1184" t="s">
        <v>32</v>
      </c>
      <c r="E1184" s="1">
        <v>45031</v>
      </c>
      <c r="F1184" s="1">
        <v>45035</v>
      </c>
      <c r="G1184">
        <v>8.4</v>
      </c>
      <c r="H1184">
        <v>214.35</v>
      </c>
      <c r="I1184" t="s">
        <v>62</v>
      </c>
      <c r="J1184">
        <v>1640</v>
      </c>
      <c r="K1184">
        <v>4</v>
      </c>
      <c r="L1184" t="str">
        <f>IF(logistics_data[[#This Row],[Delivery_Date]]="","In Transit",
 IF(logistics_data[[#This Row],[Status]]="Lost","Lost",
 IF(logistics_data[[#This Row],[Status]]="Returned","Returned",
 IF(logistics_data[[#This Row],[Status]]="Delayed","Delayed",
 "Delivered"))))</f>
        <v>Delivered</v>
      </c>
      <c r="M1184" s="2">
        <f>logistics_data[[#This Row],[Cost]]/logistics_data[[#This Row],[Distance_miles]]</f>
        <v>0.13070121951219513</v>
      </c>
      <c r="N1184" t="str">
        <f>IF(logistics_data[[#This Row],[Orginal staus of shipment]]&lt;&gt;"Delivered","not applicabel", IF(logistics_data[[#This Row],[Transit_Days]]&gt;=5,"slow","fast"))</f>
        <v>fast</v>
      </c>
    </row>
    <row r="1185" spans="1:14" x14ac:dyDescent="0.3">
      <c r="A1185" t="s">
        <v>1231</v>
      </c>
      <c r="B1185" t="s">
        <v>51</v>
      </c>
      <c r="C1185" t="s">
        <v>13</v>
      </c>
      <c r="D1185" t="s">
        <v>18</v>
      </c>
      <c r="E1185" s="1">
        <v>45240</v>
      </c>
      <c r="F1185" s="1">
        <v>45248</v>
      </c>
      <c r="G1185">
        <v>9.5</v>
      </c>
      <c r="H1185">
        <v>353.39</v>
      </c>
      <c r="I1185" t="s">
        <v>15</v>
      </c>
      <c r="J1185">
        <v>2274</v>
      </c>
      <c r="K1185">
        <v>8</v>
      </c>
      <c r="L1185" t="str">
        <f>IF(logistics_data[[#This Row],[Delivery_Date]]="","In Transit",
 IF(logistics_data[[#This Row],[Status]]="Lost","Lost",
 IF(logistics_data[[#This Row],[Status]]="Returned","Returned",
 IF(logistics_data[[#This Row],[Status]]="Delayed","Delayed",
 "Delivered"))))</f>
        <v>Delivered</v>
      </c>
      <c r="M1185" s="2">
        <f>logistics_data[[#This Row],[Cost]]/logistics_data[[#This Row],[Distance_miles]]</f>
        <v>0.15540457343887423</v>
      </c>
      <c r="N1185" t="str">
        <f>IF(logistics_data[[#This Row],[Orginal staus of shipment]]&lt;&gt;"Delivered","not applicabel", IF(logistics_data[[#This Row],[Transit_Days]]&gt;=5,"slow","fast"))</f>
        <v>slow</v>
      </c>
    </row>
    <row r="1186" spans="1:14" x14ac:dyDescent="0.3">
      <c r="A1186" t="s">
        <v>1232</v>
      </c>
      <c r="B1186" t="s">
        <v>51</v>
      </c>
      <c r="C1186" t="s">
        <v>81</v>
      </c>
      <c r="D1186" t="s">
        <v>59</v>
      </c>
      <c r="E1186" s="1">
        <v>44954</v>
      </c>
      <c r="F1186" s="1">
        <v>44955</v>
      </c>
      <c r="G1186">
        <v>21.7</v>
      </c>
      <c r="H1186">
        <v>78.83</v>
      </c>
      <c r="I1186" t="s">
        <v>15</v>
      </c>
      <c r="J1186">
        <v>461</v>
      </c>
      <c r="K1186">
        <v>1</v>
      </c>
      <c r="L1186" t="str">
        <f>IF(logistics_data[[#This Row],[Delivery_Date]]="","In Transit",
 IF(logistics_data[[#This Row],[Status]]="Lost","Lost",
 IF(logistics_data[[#This Row],[Status]]="Returned","Returned",
 IF(logistics_data[[#This Row],[Status]]="Delayed","Delayed",
 "Delivered"))))</f>
        <v>Delivered</v>
      </c>
      <c r="M1186" s="2">
        <f>logistics_data[[#This Row],[Cost]]/logistics_data[[#This Row],[Distance_miles]]</f>
        <v>0.17099783080260303</v>
      </c>
      <c r="N1186" t="str">
        <f>IF(logistics_data[[#This Row],[Orginal staus of shipment]]&lt;&gt;"Delivered","not applicabel", IF(logistics_data[[#This Row],[Transit_Days]]&gt;=5,"slow","fast"))</f>
        <v>fast</v>
      </c>
    </row>
    <row r="1187" spans="1:14" x14ac:dyDescent="0.3">
      <c r="A1187" t="s">
        <v>1233</v>
      </c>
      <c r="B1187" t="s">
        <v>35</v>
      </c>
      <c r="C1187" t="s">
        <v>46</v>
      </c>
      <c r="D1187" t="s">
        <v>14</v>
      </c>
      <c r="E1187" s="1">
        <v>45104</v>
      </c>
      <c r="F1187" s="1">
        <v>45109</v>
      </c>
      <c r="G1187">
        <v>10.199999999999999</v>
      </c>
      <c r="I1187" t="s">
        <v>15</v>
      </c>
      <c r="J1187">
        <v>1924</v>
      </c>
      <c r="K1187">
        <v>5</v>
      </c>
      <c r="L1187" t="str">
        <f>IF(logistics_data[[#This Row],[Delivery_Date]]="","In Transit",
 IF(logistics_data[[#This Row],[Status]]="Lost","Lost",
 IF(logistics_data[[#This Row],[Status]]="Returned","Returned",
 IF(logistics_data[[#This Row],[Status]]="Delayed","Delayed",
 "Delivered"))))</f>
        <v>Delivered</v>
      </c>
      <c r="M1187" s="2">
        <f>logistics_data[[#This Row],[Cost]]/logistics_data[[#This Row],[Distance_miles]]</f>
        <v>0</v>
      </c>
      <c r="N1187" t="str">
        <f>IF(logistics_data[[#This Row],[Orginal staus of shipment]]&lt;&gt;"Delivered","not applicabel", IF(logistics_data[[#This Row],[Transit_Days]]&gt;=5,"slow","fast"))</f>
        <v>slow</v>
      </c>
    </row>
    <row r="1188" spans="1:14" x14ac:dyDescent="0.3">
      <c r="A1188" t="s">
        <v>1234</v>
      </c>
      <c r="B1188" t="s">
        <v>20</v>
      </c>
      <c r="C1188" t="s">
        <v>21</v>
      </c>
      <c r="D1188" t="s">
        <v>32</v>
      </c>
      <c r="E1188" s="1">
        <v>44969</v>
      </c>
      <c r="F1188" s="1">
        <v>44939</v>
      </c>
      <c r="G1188">
        <v>22.1</v>
      </c>
      <c r="H1188">
        <v>301.23</v>
      </c>
      <c r="I1188" t="s">
        <v>47</v>
      </c>
      <c r="J1188">
        <v>1879</v>
      </c>
      <c r="K1188">
        <v>5</v>
      </c>
      <c r="L1188" t="str">
        <f>IF(logistics_data[[#This Row],[Delivery_Date]]="","In Transit",
 IF(logistics_data[[#This Row],[Status]]="Lost","Lost",
 IF(logistics_data[[#This Row],[Status]]="Returned","Returned",
 IF(logistics_data[[#This Row],[Status]]="Delayed","Delayed",
 "Delivered"))))</f>
        <v>Delayed</v>
      </c>
      <c r="M1188" s="2">
        <f>logistics_data[[#This Row],[Cost]]/logistics_data[[#This Row],[Distance_miles]]</f>
        <v>0.16031399680681213</v>
      </c>
      <c r="N1188" t="str">
        <f>IF(logistics_data[[#This Row],[Orginal staus of shipment]]&lt;&gt;"Delivered","not applicabel", IF(logistics_data[[#This Row],[Transit_Days]]&gt;=5,"slow","fast"))</f>
        <v>not applicabel</v>
      </c>
    </row>
    <row r="1189" spans="1:14" x14ac:dyDescent="0.3">
      <c r="A1189" t="s">
        <v>1235</v>
      </c>
      <c r="B1189" t="s">
        <v>12</v>
      </c>
      <c r="C1189" t="s">
        <v>40</v>
      </c>
      <c r="D1189" t="s">
        <v>18</v>
      </c>
      <c r="E1189" s="1">
        <v>44934</v>
      </c>
      <c r="F1189" s="1">
        <v>44937</v>
      </c>
      <c r="G1189">
        <v>13.5</v>
      </c>
      <c r="H1189">
        <v>116.78</v>
      </c>
      <c r="I1189" t="s">
        <v>62</v>
      </c>
      <c r="J1189">
        <v>702</v>
      </c>
      <c r="K1189">
        <v>3</v>
      </c>
      <c r="L1189" t="str">
        <f>IF(logistics_data[[#This Row],[Delivery_Date]]="","In Transit",
 IF(logistics_data[[#This Row],[Status]]="Lost","Lost",
 IF(logistics_data[[#This Row],[Status]]="Returned","Returned",
 IF(logistics_data[[#This Row],[Status]]="Delayed","Delayed",
 "Delivered"))))</f>
        <v>Delivered</v>
      </c>
      <c r="M1189" s="2">
        <f>logistics_data[[#This Row],[Cost]]/logistics_data[[#This Row],[Distance_miles]]</f>
        <v>0.16635327635327635</v>
      </c>
      <c r="N1189" t="str">
        <f>IF(logistics_data[[#This Row],[Orginal staus of shipment]]&lt;&gt;"Delivered","not applicabel", IF(logistics_data[[#This Row],[Transit_Days]]&gt;=5,"slow","fast"))</f>
        <v>fast</v>
      </c>
    </row>
    <row r="1190" spans="1:14" x14ac:dyDescent="0.3">
      <c r="A1190" t="s">
        <v>1236</v>
      </c>
      <c r="B1190" t="s">
        <v>39</v>
      </c>
      <c r="C1190" t="s">
        <v>81</v>
      </c>
      <c r="D1190" t="s">
        <v>42</v>
      </c>
      <c r="E1190" s="1">
        <v>44983</v>
      </c>
      <c r="F1190" s="1">
        <v>44953</v>
      </c>
      <c r="G1190">
        <v>45</v>
      </c>
      <c r="H1190">
        <v>182.33</v>
      </c>
      <c r="I1190" t="s">
        <v>67</v>
      </c>
      <c r="J1190">
        <v>1030</v>
      </c>
      <c r="K1190">
        <v>3</v>
      </c>
      <c r="L1190" t="str">
        <f>IF(logistics_data[[#This Row],[Delivery_Date]]="","In Transit",
 IF(logistics_data[[#This Row],[Status]]="Lost","Lost",
 IF(logistics_data[[#This Row],[Status]]="Returned","Returned",
 IF(logistics_data[[#This Row],[Status]]="Delayed","Delayed",
 "Delivered"))))</f>
        <v>Returned</v>
      </c>
      <c r="M1190" s="2">
        <f>logistics_data[[#This Row],[Cost]]/logistics_data[[#This Row],[Distance_miles]]</f>
        <v>0.17701941747572816</v>
      </c>
      <c r="N1190" t="str">
        <f>IF(logistics_data[[#This Row],[Orginal staus of shipment]]&lt;&gt;"Delivered","not applicabel", IF(logistics_data[[#This Row],[Transit_Days]]&gt;=5,"slow","fast"))</f>
        <v>not applicabel</v>
      </c>
    </row>
    <row r="1191" spans="1:14" x14ac:dyDescent="0.3">
      <c r="A1191" t="s">
        <v>1237</v>
      </c>
      <c r="B1191" t="s">
        <v>27</v>
      </c>
      <c r="C1191" t="s">
        <v>13</v>
      </c>
      <c r="D1191" t="s">
        <v>32</v>
      </c>
      <c r="E1191" s="1">
        <v>45251</v>
      </c>
      <c r="F1191" s="1">
        <v>45254</v>
      </c>
      <c r="G1191">
        <v>43.7</v>
      </c>
      <c r="H1191">
        <v>135.18</v>
      </c>
      <c r="I1191" t="s">
        <v>15</v>
      </c>
      <c r="J1191">
        <v>462</v>
      </c>
      <c r="K1191">
        <v>3</v>
      </c>
      <c r="L1191" t="str">
        <f>IF(logistics_data[[#This Row],[Delivery_Date]]="","In Transit",
 IF(logistics_data[[#This Row],[Status]]="Lost","Lost",
 IF(logistics_data[[#This Row],[Status]]="Returned","Returned",
 IF(logistics_data[[#This Row],[Status]]="Delayed","Delayed",
 "Delivered"))))</f>
        <v>Delivered</v>
      </c>
      <c r="M1191" s="2">
        <f>logistics_data[[#This Row],[Cost]]/logistics_data[[#This Row],[Distance_miles]]</f>
        <v>0.29259740259740263</v>
      </c>
      <c r="N1191" t="str">
        <f>IF(logistics_data[[#This Row],[Orginal staus of shipment]]&lt;&gt;"Delivered","not applicabel", IF(logistics_data[[#This Row],[Transit_Days]]&gt;=5,"slow","fast"))</f>
        <v>fast</v>
      </c>
    </row>
    <row r="1192" spans="1:14" x14ac:dyDescent="0.3">
      <c r="A1192" t="s">
        <v>1238</v>
      </c>
      <c r="B1192" t="s">
        <v>35</v>
      </c>
      <c r="C1192" t="s">
        <v>57</v>
      </c>
      <c r="D1192" t="s">
        <v>32</v>
      </c>
      <c r="E1192" s="1">
        <v>45007</v>
      </c>
      <c r="F1192" s="1">
        <v>45009</v>
      </c>
      <c r="G1192">
        <v>152.69999999999999</v>
      </c>
      <c r="H1192">
        <v>290.77</v>
      </c>
      <c r="I1192" t="s">
        <v>15</v>
      </c>
      <c r="J1192">
        <v>841</v>
      </c>
      <c r="K1192">
        <v>2</v>
      </c>
      <c r="L1192" t="str">
        <f>IF(logistics_data[[#This Row],[Delivery_Date]]="","In Transit",
 IF(logistics_data[[#This Row],[Status]]="Lost","Lost",
 IF(logistics_data[[#This Row],[Status]]="Returned","Returned",
 IF(logistics_data[[#This Row],[Status]]="Delayed","Delayed",
 "Delivered"))))</f>
        <v>Delivered</v>
      </c>
      <c r="M1192" s="2">
        <f>logistics_data[[#This Row],[Cost]]/logistics_data[[#This Row],[Distance_miles]]</f>
        <v>0.34574316290130797</v>
      </c>
      <c r="N1192" t="str">
        <f>IF(logistics_data[[#This Row],[Orginal staus of shipment]]&lt;&gt;"Delivered","not applicabel", IF(logistics_data[[#This Row],[Transit_Days]]&gt;=5,"slow","fast"))</f>
        <v>fast</v>
      </c>
    </row>
    <row r="1193" spans="1:14" x14ac:dyDescent="0.3">
      <c r="A1193" t="s">
        <v>1239</v>
      </c>
      <c r="B1193" t="s">
        <v>27</v>
      </c>
      <c r="C1193" t="s">
        <v>13</v>
      </c>
      <c r="D1193" t="s">
        <v>25</v>
      </c>
      <c r="E1193" s="1">
        <v>45057</v>
      </c>
      <c r="F1193" s="1">
        <v>45062</v>
      </c>
      <c r="G1193">
        <v>39.299999999999997</v>
      </c>
      <c r="H1193">
        <v>186.59</v>
      </c>
      <c r="I1193" t="s">
        <v>15</v>
      </c>
      <c r="J1193">
        <v>1317</v>
      </c>
      <c r="K1193">
        <v>5</v>
      </c>
      <c r="L1193" t="str">
        <f>IF(logistics_data[[#This Row],[Delivery_Date]]="","In Transit",
 IF(logistics_data[[#This Row],[Status]]="Lost","Lost",
 IF(logistics_data[[#This Row],[Status]]="Returned","Returned",
 IF(logistics_data[[#This Row],[Status]]="Delayed","Delayed",
 "Delivered"))))</f>
        <v>Delivered</v>
      </c>
      <c r="M1193" s="2">
        <f>logistics_data[[#This Row],[Cost]]/logistics_data[[#This Row],[Distance_miles]]</f>
        <v>0.14167805618830676</v>
      </c>
      <c r="N1193" t="str">
        <f>IF(logistics_data[[#This Row],[Orginal staus of shipment]]&lt;&gt;"Delivered","not applicabel", IF(logistics_data[[#This Row],[Transit_Days]]&gt;=5,"slow","fast"))</f>
        <v>slow</v>
      </c>
    </row>
    <row r="1194" spans="1:14" x14ac:dyDescent="0.3">
      <c r="A1194" t="s">
        <v>1240</v>
      </c>
      <c r="B1194" t="s">
        <v>20</v>
      </c>
      <c r="C1194" t="s">
        <v>13</v>
      </c>
      <c r="D1194" t="s">
        <v>25</v>
      </c>
      <c r="E1194" s="1">
        <v>45264</v>
      </c>
      <c r="F1194" s="1">
        <v>45269</v>
      </c>
      <c r="G1194">
        <v>19</v>
      </c>
      <c r="H1194">
        <v>416.08</v>
      </c>
      <c r="I1194" t="s">
        <v>15</v>
      </c>
      <c r="J1194">
        <v>2473</v>
      </c>
      <c r="K1194">
        <v>5</v>
      </c>
      <c r="L1194" t="str">
        <f>IF(logistics_data[[#This Row],[Delivery_Date]]="","In Transit",
 IF(logistics_data[[#This Row],[Status]]="Lost","Lost",
 IF(logistics_data[[#This Row],[Status]]="Returned","Returned",
 IF(logistics_data[[#This Row],[Status]]="Delayed","Delayed",
 "Delivered"))))</f>
        <v>Delivered</v>
      </c>
      <c r="M1194" s="2">
        <f>logistics_data[[#This Row],[Cost]]/logistics_data[[#This Row],[Distance_miles]]</f>
        <v>0.16824909017387787</v>
      </c>
      <c r="N1194" t="str">
        <f>IF(logistics_data[[#This Row],[Orginal staus of shipment]]&lt;&gt;"Delivered","not applicabel", IF(logistics_data[[#This Row],[Transit_Days]]&gt;=5,"slow","fast"))</f>
        <v>slow</v>
      </c>
    </row>
    <row r="1195" spans="1:14" x14ac:dyDescent="0.3">
      <c r="A1195" t="s">
        <v>1241</v>
      </c>
      <c r="B1195" t="s">
        <v>51</v>
      </c>
      <c r="C1195" t="s">
        <v>44</v>
      </c>
      <c r="D1195" t="s">
        <v>32</v>
      </c>
      <c r="E1195" s="1">
        <v>45125</v>
      </c>
      <c r="F1195" s="1">
        <v>45128</v>
      </c>
      <c r="G1195">
        <v>9.6999999999999993</v>
      </c>
      <c r="I1195" t="s">
        <v>15</v>
      </c>
      <c r="J1195">
        <v>790</v>
      </c>
      <c r="K1195">
        <v>3</v>
      </c>
      <c r="L1195" t="str">
        <f>IF(logistics_data[[#This Row],[Delivery_Date]]="","In Transit",
 IF(logistics_data[[#This Row],[Status]]="Lost","Lost",
 IF(logistics_data[[#This Row],[Status]]="Returned","Returned",
 IF(logistics_data[[#This Row],[Status]]="Delayed","Delayed",
 "Delivered"))))</f>
        <v>Delivered</v>
      </c>
      <c r="M1195" s="2">
        <f>logistics_data[[#This Row],[Cost]]/logistics_data[[#This Row],[Distance_miles]]</f>
        <v>0</v>
      </c>
      <c r="N1195" t="str">
        <f>IF(logistics_data[[#This Row],[Orginal staus of shipment]]&lt;&gt;"Delivered","not applicabel", IF(logistics_data[[#This Row],[Transit_Days]]&gt;=5,"slow","fast"))</f>
        <v>fast</v>
      </c>
    </row>
    <row r="1196" spans="1:14" x14ac:dyDescent="0.3">
      <c r="A1196" t="s">
        <v>1242</v>
      </c>
      <c r="B1196" t="s">
        <v>56</v>
      </c>
      <c r="C1196" t="s">
        <v>52</v>
      </c>
      <c r="D1196" t="s">
        <v>37</v>
      </c>
      <c r="E1196" s="1">
        <v>44978</v>
      </c>
      <c r="F1196" s="1">
        <v>44983</v>
      </c>
      <c r="G1196">
        <v>8.3000000000000007</v>
      </c>
      <c r="H1196">
        <v>181.52</v>
      </c>
      <c r="I1196" t="s">
        <v>15</v>
      </c>
      <c r="J1196">
        <v>1457</v>
      </c>
      <c r="K1196">
        <v>5</v>
      </c>
      <c r="L1196" t="str">
        <f>IF(logistics_data[[#This Row],[Delivery_Date]]="","In Transit",
 IF(logistics_data[[#This Row],[Status]]="Lost","Lost",
 IF(logistics_data[[#This Row],[Status]]="Returned","Returned",
 IF(logistics_data[[#This Row],[Status]]="Delayed","Delayed",
 "Delivered"))))</f>
        <v>Delivered</v>
      </c>
      <c r="M1196" s="2">
        <f>logistics_data[[#This Row],[Cost]]/logistics_data[[#This Row],[Distance_miles]]</f>
        <v>0.12458476321207962</v>
      </c>
      <c r="N1196" t="str">
        <f>IF(logistics_data[[#This Row],[Orginal staus of shipment]]&lt;&gt;"Delivered","not applicabel", IF(logistics_data[[#This Row],[Transit_Days]]&gt;=5,"slow","fast"))</f>
        <v>slow</v>
      </c>
    </row>
    <row r="1197" spans="1:14" x14ac:dyDescent="0.3">
      <c r="A1197" t="s">
        <v>1243</v>
      </c>
      <c r="B1197" t="s">
        <v>12</v>
      </c>
      <c r="C1197" t="s">
        <v>52</v>
      </c>
      <c r="D1197" t="s">
        <v>42</v>
      </c>
      <c r="E1197" s="1">
        <v>45094</v>
      </c>
      <c r="F1197" s="1">
        <v>45098</v>
      </c>
      <c r="G1197">
        <v>9.9</v>
      </c>
      <c r="H1197">
        <v>202.54</v>
      </c>
      <c r="I1197" t="s">
        <v>15</v>
      </c>
      <c r="J1197">
        <v>1493</v>
      </c>
      <c r="K1197">
        <v>4</v>
      </c>
      <c r="L1197" t="str">
        <f>IF(logistics_data[[#This Row],[Delivery_Date]]="","In Transit",
 IF(logistics_data[[#This Row],[Status]]="Lost","Lost",
 IF(logistics_data[[#This Row],[Status]]="Returned","Returned",
 IF(logistics_data[[#This Row],[Status]]="Delayed","Delayed",
 "Delivered"))))</f>
        <v>Delivered</v>
      </c>
      <c r="M1197" s="2">
        <f>logistics_data[[#This Row],[Cost]]/logistics_data[[#This Row],[Distance_miles]]</f>
        <v>0.13565974547890153</v>
      </c>
      <c r="N1197" t="str">
        <f>IF(logistics_data[[#This Row],[Orginal staus of shipment]]&lt;&gt;"Delivered","not applicabel", IF(logistics_data[[#This Row],[Transit_Days]]&gt;=5,"slow","fast"))</f>
        <v>fast</v>
      </c>
    </row>
    <row r="1198" spans="1:14" x14ac:dyDescent="0.3">
      <c r="A1198" t="s">
        <v>1244</v>
      </c>
      <c r="B1198" t="s">
        <v>49</v>
      </c>
      <c r="C1198" t="s">
        <v>13</v>
      </c>
      <c r="D1198" t="s">
        <v>14</v>
      </c>
      <c r="E1198" s="1">
        <v>45251</v>
      </c>
      <c r="F1198" s="1">
        <v>45257</v>
      </c>
      <c r="G1198">
        <v>27.3</v>
      </c>
      <c r="H1198">
        <v>317.02</v>
      </c>
      <c r="I1198" t="s">
        <v>67</v>
      </c>
      <c r="J1198">
        <v>1876</v>
      </c>
      <c r="K1198">
        <v>6</v>
      </c>
      <c r="L1198" t="str">
        <f>IF(logistics_data[[#This Row],[Delivery_Date]]="","In Transit",
 IF(logistics_data[[#This Row],[Status]]="Lost","Lost",
 IF(logistics_data[[#This Row],[Status]]="Returned","Returned",
 IF(logistics_data[[#This Row],[Status]]="Delayed","Delayed",
 "Delivered"))))</f>
        <v>Returned</v>
      </c>
      <c r="M1198" s="2">
        <f>logistics_data[[#This Row],[Cost]]/logistics_data[[#This Row],[Distance_miles]]</f>
        <v>0.1689872068230277</v>
      </c>
      <c r="N1198" t="str">
        <f>IF(logistics_data[[#This Row],[Orginal staus of shipment]]&lt;&gt;"Delivered","not applicabel", IF(logistics_data[[#This Row],[Transit_Days]]&gt;=5,"slow","fast"))</f>
        <v>not applicabel</v>
      </c>
    </row>
    <row r="1199" spans="1:14" x14ac:dyDescent="0.3">
      <c r="A1199" t="s">
        <v>1245</v>
      </c>
      <c r="B1199" t="s">
        <v>12</v>
      </c>
      <c r="C1199" t="s">
        <v>40</v>
      </c>
      <c r="D1199" t="s">
        <v>59</v>
      </c>
      <c r="E1199" s="1">
        <v>45131</v>
      </c>
      <c r="F1199" s="1">
        <v>45133</v>
      </c>
      <c r="G1199">
        <v>27.9</v>
      </c>
      <c r="H1199">
        <v>146.44</v>
      </c>
      <c r="I1199" t="s">
        <v>15</v>
      </c>
      <c r="J1199">
        <v>1067</v>
      </c>
      <c r="K1199">
        <v>2</v>
      </c>
      <c r="L1199" t="str">
        <f>IF(logistics_data[[#This Row],[Delivery_Date]]="","In Transit",
 IF(logistics_data[[#This Row],[Status]]="Lost","Lost",
 IF(logistics_data[[#This Row],[Status]]="Returned","Returned",
 IF(logistics_data[[#This Row],[Status]]="Delayed","Delayed",
 "Delivered"))))</f>
        <v>Delivered</v>
      </c>
      <c r="M1199" s="2">
        <f>logistics_data[[#This Row],[Cost]]/logistics_data[[#This Row],[Distance_miles]]</f>
        <v>0.13724461105904404</v>
      </c>
      <c r="N1199" t="str">
        <f>IF(logistics_data[[#This Row],[Orginal staus of shipment]]&lt;&gt;"Delivered","not applicabel", IF(logistics_data[[#This Row],[Transit_Days]]&gt;=5,"slow","fast"))</f>
        <v>fast</v>
      </c>
    </row>
    <row r="1200" spans="1:14" x14ac:dyDescent="0.3">
      <c r="A1200" t="s">
        <v>1246</v>
      </c>
      <c r="B1200" t="s">
        <v>56</v>
      </c>
      <c r="C1200" t="s">
        <v>44</v>
      </c>
      <c r="D1200" t="s">
        <v>59</v>
      </c>
      <c r="E1200" s="1">
        <v>44950</v>
      </c>
      <c r="F1200" s="1">
        <v>44958</v>
      </c>
      <c r="G1200">
        <v>58.9</v>
      </c>
      <c r="H1200">
        <v>257.07</v>
      </c>
      <c r="I1200" t="s">
        <v>15</v>
      </c>
      <c r="J1200">
        <v>1762</v>
      </c>
      <c r="K1200">
        <v>8</v>
      </c>
      <c r="L1200" t="str">
        <f>IF(logistics_data[[#This Row],[Delivery_Date]]="","In Transit",
 IF(logistics_data[[#This Row],[Status]]="Lost","Lost",
 IF(logistics_data[[#This Row],[Status]]="Returned","Returned",
 IF(logistics_data[[#This Row],[Status]]="Delayed","Delayed",
 "Delivered"))))</f>
        <v>Delivered</v>
      </c>
      <c r="M1200" s="2">
        <f>logistics_data[[#This Row],[Cost]]/logistics_data[[#This Row],[Distance_miles]]</f>
        <v>0.1458967082860386</v>
      </c>
      <c r="N1200" t="str">
        <f>IF(logistics_data[[#This Row],[Orginal staus of shipment]]&lt;&gt;"Delivered","not applicabel", IF(logistics_data[[#This Row],[Transit_Days]]&gt;=5,"slow","fast"))</f>
        <v>slow</v>
      </c>
    </row>
    <row r="1201" spans="1:14" x14ac:dyDescent="0.3">
      <c r="A1201" t="s">
        <v>1247</v>
      </c>
      <c r="B1201" t="s">
        <v>27</v>
      </c>
      <c r="C1201" t="s">
        <v>44</v>
      </c>
      <c r="D1201" t="s">
        <v>18</v>
      </c>
      <c r="E1201" s="1">
        <v>45096</v>
      </c>
      <c r="F1201" s="1">
        <v>45101</v>
      </c>
      <c r="G1201">
        <v>83.7</v>
      </c>
      <c r="H1201">
        <v>296.97000000000003</v>
      </c>
      <c r="I1201" t="s">
        <v>15</v>
      </c>
      <c r="J1201">
        <v>1417</v>
      </c>
      <c r="K1201">
        <v>5</v>
      </c>
      <c r="L1201" t="str">
        <f>IF(logistics_data[[#This Row],[Delivery_Date]]="","In Transit",
 IF(logistics_data[[#This Row],[Status]]="Lost","Lost",
 IF(logistics_data[[#This Row],[Status]]="Returned","Returned",
 IF(logistics_data[[#This Row],[Status]]="Delayed","Delayed",
 "Delivered"))))</f>
        <v>Delivered</v>
      </c>
      <c r="M1201" s="2">
        <f>logistics_data[[#This Row],[Cost]]/logistics_data[[#This Row],[Distance_miles]]</f>
        <v>0.20957657021877207</v>
      </c>
      <c r="N1201" t="str">
        <f>IF(logistics_data[[#This Row],[Orginal staus of shipment]]&lt;&gt;"Delivered","not applicabel", IF(logistics_data[[#This Row],[Transit_Days]]&gt;=5,"slow","fast"))</f>
        <v>slow</v>
      </c>
    </row>
    <row r="1202" spans="1:14" x14ac:dyDescent="0.3">
      <c r="A1202" t="s">
        <v>1248</v>
      </c>
      <c r="B1202" t="s">
        <v>39</v>
      </c>
      <c r="C1202" t="s">
        <v>70</v>
      </c>
      <c r="D1202" t="s">
        <v>42</v>
      </c>
      <c r="E1202" s="1">
        <v>45059</v>
      </c>
      <c r="F1202" s="1">
        <v>45065</v>
      </c>
      <c r="G1202">
        <v>19.8</v>
      </c>
      <c r="H1202">
        <v>271.24</v>
      </c>
      <c r="I1202" t="s">
        <v>15</v>
      </c>
      <c r="J1202">
        <v>1945</v>
      </c>
      <c r="K1202">
        <v>6</v>
      </c>
      <c r="L1202" t="str">
        <f>IF(logistics_data[[#This Row],[Delivery_Date]]="","In Transit",
 IF(logistics_data[[#This Row],[Status]]="Lost","Lost",
 IF(logistics_data[[#This Row],[Status]]="Returned","Returned",
 IF(logistics_data[[#This Row],[Status]]="Delayed","Delayed",
 "Delivered"))))</f>
        <v>Delivered</v>
      </c>
      <c r="M1202" s="2">
        <f>logistics_data[[#This Row],[Cost]]/logistics_data[[#This Row],[Distance_miles]]</f>
        <v>0.13945501285347045</v>
      </c>
      <c r="N1202" t="str">
        <f>IF(logistics_data[[#This Row],[Orginal staus of shipment]]&lt;&gt;"Delivered","not applicabel", IF(logistics_data[[#This Row],[Transit_Days]]&gt;=5,"slow","fast"))</f>
        <v>slow</v>
      </c>
    </row>
    <row r="1203" spans="1:14" x14ac:dyDescent="0.3">
      <c r="A1203" t="s">
        <v>1249</v>
      </c>
      <c r="B1203" t="s">
        <v>12</v>
      </c>
      <c r="C1203" t="s">
        <v>81</v>
      </c>
      <c r="D1203" t="s">
        <v>14</v>
      </c>
      <c r="E1203" s="1">
        <v>45212</v>
      </c>
      <c r="F1203" s="1">
        <v>45215</v>
      </c>
      <c r="G1203">
        <v>17.5</v>
      </c>
      <c r="H1203">
        <v>90.05</v>
      </c>
      <c r="I1203" t="s">
        <v>15</v>
      </c>
      <c r="J1203">
        <v>591</v>
      </c>
      <c r="K1203">
        <v>3</v>
      </c>
      <c r="L1203" t="str">
        <f>IF(logistics_data[[#This Row],[Delivery_Date]]="","In Transit",
 IF(logistics_data[[#This Row],[Status]]="Lost","Lost",
 IF(logistics_data[[#This Row],[Status]]="Returned","Returned",
 IF(logistics_data[[#This Row],[Status]]="Delayed","Delayed",
 "Delivered"))))</f>
        <v>Delivered</v>
      </c>
      <c r="M1203" s="2">
        <f>logistics_data[[#This Row],[Cost]]/logistics_data[[#This Row],[Distance_miles]]</f>
        <v>0.15236886632825719</v>
      </c>
      <c r="N1203" t="str">
        <f>IF(logistics_data[[#This Row],[Orginal staus of shipment]]&lt;&gt;"Delivered","not applicabel", IF(logistics_data[[#This Row],[Transit_Days]]&gt;=5,"slow","fast"))</f>
        <v>fast</v>
      </c>
    </row>
    <row r="1204" spans="1:14" x14ac:dyDescent="0.3">
      <c r="A1204" t="s">
        <v>1250</v>
      </c>
      <c r="B1204" t="s">
        <v>56</v>
      </c>
      <c r="C1204" t="s">
        <v>17</v>
      </c>
      <c r="D1204" t="s">
        <v>32</v>
      </c>
      <c r="E1204" s="1">
        <v>45290</v>
      </c>
      <c r="F1204" s="1">
        <v>45293</v>
      </c>
      <c r="G1204">
        <v>19</v>
      </c>
      <c r="H1204">
        <v>153.22999999999999</v>
      </c>
      <c r="I1204" t="s">
        <v>15</v>
      </c>
      <c r="J1204">
        <v>850</v>
      </c>
      <c r="K1204">
        <v>3</v>
      </c>
      <c r="L1204" t="str">
        <f>IF(logistics_data[[#This Row],[Delivery_Date]]="","In Transit",
 IF(logistics_data[[#This Row],[Status]]="Lost","Lost",
 IF(logistics_data[[#This Row],[Status]]="Returned","Returned",
 IF(logistics_data[[#This Row],[Status]]="Delayed","Delayed",
 "Delivered"))))</f>
        <v>Delivered</v>
      </c>
      <c r="M1204" s="2">
        <f>logistics_data[[#This Row],[Cost]]/logistics_data[[#This Row],[Distance_miles]]</f>
        <v>0.1802705882352941</v>
      </c>
      <c r="N1204" t="str">
        <f>IF(logistics_data[[#This Row],[Orginal staus of shipment]]&lt;&gt;"Delivered","not applicabel", IF(logistics_data[[#This Row],[Transit_Days]]&gt;=5,"slow","fast"))</f>
        <v>fast</v>
      </c>
    </row>
    <row r="1205" spans="1:14" x14ac:dyDescent="0.3">
      <c r="A1205" t="s">
        <v>1251</v>
      </c>
      <c r="B1205" t="s">
        <v>23</v>
      </c>
      <c r="C1205" t="s">
        <v>70</v>
      </c>
      <c r="D1205" t="s">
        <v>25</v>
      </c>
      <c r="E1205" s="1">
        <v>45269</v>
      </c>
      <c r="F1205" s="1">
        <v>45272</v>
      </c>
      <c r="G1205">
        <v>10.9</v>
      </c>
      <c r="H1205">
        <v>201.11</v>
      </c>
      <c r="I1205" t="s">
        <v>15</v>
      </c>
      <c r="J1205">
        <v>1413</v>
      </c>
      <c r="K1205">
        <v>3</v>
      </c>
      <c r="L1205" t="str">
        <f>IF(logistics_data[[#This Row],[Delivery_Date]]="","In Transit",
 IF(logistics_data[[#This Row],[Status]]="Lost","Lost",
 IF(logistics_data[[#This Row],[Status]]="Returned","Returned",
 IF(logistics_data[[#This Row],[Status]]="Delayed","Delayed",
 "Delivered"))))</f>
        <v>Delivered</v>
      </c>
      <c r="M1205" s="2">
        <f>logistics_data[[#This Row],[Cost]]/logistics_data[[#This Row],[Distance_miles]]</f>
        <v>0.14232837933474876</v>
      </c>
      <c r="N1205" t="str">
        <f>IF(logistics_data[[#This Row],[Orginal staus of shipment]]&lt;&gt;"Delivered","not applicabel", IF(logistics_data[[#This Row],[Transit_Days]]&gt;=5,"slow","fast"))</f>
        <v>fast</v>
      </c>
    </row>
    <row r="1206" spans="1:14" x14ac:dyDescent="0.3">
      <c r="A1206" t="s">
        <v>1252</v>
      </c>
      <c r="B1206" t="s">
        <v>20</v>
      </c>
      <c r="C1206" t="s">
        <v>24</v>
      </c>
      <c r="D1206" t="s">
        <v>25</v>
      </c>
      <c r="E1206" s="1">
        <v>44966</v>
      </c>
      <c r="F1206" s="1">
        <v>44977</v>
      </c>
      <c r="G1206">
        <v>28.6</v>
      </c>
      <c r="H1206">
        <v>180.9</v>
      </c>
      <c r="I1206" t="s">
        <v>47</v>
      </c>
      <c r="J1206">
        <v>1135</v>
      </c>
      <c r="K1206">
        <v>3</v>
      </c>
      <c r="L1206" t="str">
        <f>IF(logistics_data[[#This Row],[Delivery_Date]]="","In Transit",
 IF(logistics_data[[#This Row],[Status]]="Lost","Lost",
 IF(logistics_data[[#This Row],[Status]]="Returned","Returned",
 IF(logistics_data[[#This Row],[Status]]="Delayed","Delayed",
 "Delivered"))))</f>
        <v>Delayed</v>
      </c>
      <c r="M1206" s="2">
        <f>logistics_data[[#This Row],[Cost]]/logistics_data[[#This Row],[Distance_miles]]</f>
        <v>0.15938325991189428</v>
      </c>
      <c r="N1206" t="str">
        <f>IF(logistics_data[[#This Row],[Orginal staus of shipment]]&lt;&gt;"Delivered","not applicabel", IF(logistics_data[[#This Row],[Transit_Days]]&gt;=5,"slow","fast"))</f>
        <v>not applicabel</v>
      </c>
    </row>
    <row r="1207" spans="1:14" x14ac:dyDescent="0.3">
      <c r="A1207" t="s">
        <v>1253</v>
      </c>
      <c r="B1207" t="s">
        <v>49</v>
      </c>
      <c r="C1207" t="s">
        <v>21</v>
      </c>
      <c r="D1207" t="s">
        <v>18</v>
      </c>
      <c r="E1207" s="1">
        <v>45104</v>
      </c>
      <c r="F1207" s="1">
        <v>45119</v>
      </c>
      <c r="G1207">
        <v>17</v>
      </c>
      <c r="H1207">
        <v>217.08</v>
      </c>
      <c r="I1207" t="s">
        <v>47</v>
      </c>
      <c r="J1207">
        <v>1396</v>
      </c>
      <c r="K1207">
        <v>7</v>
      </c>
      <c r="L1207" t="str">
        <f>IF(logistics_data[[#This Row],[Delivery_Date]]="","In Transit",
 IF(logistics_data[[#This Row],[Status]]="Lost","Lost",
 IF(logistics_data[[#This Row],[Status]]="Returned","Returned",
 IF(logistics_data[[#This Row],[Status]]="Delayed","Delayed",
 "Delivered"))))</f>
        <v>Delayed</v>
      </c>
      <c r="M1207" s="2">
        <f>logistics_data[[#This Row],[Cost]]/logistics_data[[#This Row],[Distance_miles]]</f>
        <v>0.15550143266475647</v>
      </c>
      <c r="N1207" t="str">
        <f>IF(logistics_data[[#This Row],[Orginal staus of shipment]]&lt;&gt;"Delivered","not applicabel", IF(logistics_data[[#This Row],[Transit_Days]]&gt;=5,"slow","fast"))</f>
        <v>not applicabel</v>
      </c>
    </row>
    <row r="1208" spans="1:14" x14ac:dyDescent="0.3">
      <c r="A1208" t="s">
        <v>1254</v>
      </c>
      <c r="B1208" t="s">
        <v>49</v>
      </c>
      <c r="C1208" t="s">
        <v>46</v>
      </c>
      <c r="D1208" t="s">
        <v>32</v>
      </c>
      <c r="E1208" s="1">
        <v>45162</v>
      </c>
      <c r="F1208" s="1">
        <v>45167</v>
      </c>
      <c r="G1208">
        <v>34.1</v>
      </c>
      <c r="H1208">
        <v>328.13</v>
      </c>
      <c r="I1208" t="s">
        <v>15</v>
      </c>
      <c r="J1208">
        <v>2324</v>
      </c>
      <c r="K1208">
        <v>5</v>
      </c>
      <c r="L1208" t="str">
        <f>IF(logistics_data[[#This Row],[Delivery_Date]]="","In Transit",
 IF(logistics_data[[#This Row],[Status]]="Lost","Lost",
 IF(logistics_data[[#This Row],[Status]]="Returned","Returned",
 IF(logistics_data[[#This Row],[Status]]="Delayed","Delayed",
 "Delivered"))))</f>
        <v>Delivered</v>
      </c>
      <c r="M1208" s="2">
        <f>logistics_data[[#This Row],[Cost]]/logistics_data[[#This Row],[Distance_miles]]</f>
        <v>0.1411919104991394</v>
      </c>
      <c r="N1208" t="str">
        <f>IF(logistics_data[[#This Row],[Orginal staus of shipment]]&lt;&gt;"Delivered","not applicabel", IF(logistics_data[[#This Row],[Transit_Days]]&gt;=5,"slow","fast"))</f>
        <v>slow</v>
      </c>
    </row>
    <row r="1209" spans="1:14" x14ac:dyDescent="0.3">
      <c r="A1209" t="s">
        <v>1255</v>
      </c>
      <c r="B1209" t="s">
        <v>23</v>
      </c>
      <c r="C1209" t="s">
        <v>36</v>
      </c>
      <c r="D1209" t="s">
        <v>18</v>
      </c>
      <c r="E1209" s="1">
        <v>45011</v>
      </c>
      <c r="F1209" s="1">
        <v>45016</v>
      </c>
      <c r="G1209">
        <v>10.5</v>
      </c>
      <c r="H1209">
        <v>366.13</v>
      </c>
      <c r="I1209" t="s">
        <v>15</v>
      </c>
      <c r="J1209">
        <v>2421</v>
      </c>
      <c r="K1209">
        <v>5</v>
      </c>
      <c r="L1209" t="str">
        <f>IF(logistics_data[[#This Row],[Delivery_Date]]="","In Transit",
 IF(logistics_data[[#This Row],[Status]]="Lost","Lost",
 IF(logistics_data[[#This Row],[Status]]="Returned","Returned",
 IF(logistics_data[[#This Row],[Status]]="Delayed","Delayed",
 "Delivered"))))</f>
        <v>Delivered</v>
      </c>
      <c r="M1209" s="2">
        <f>logistics_data[[#This Row],[Cost]]/logistics_data[[#This Row],[Distance_miles]]</f>
        <v>0.15123089632383313</v>
      </c>
      <c r="N1209" t="str">
        <f>IF(logistics_data[[#This Row],[Orginal staus of shipment]]&lt;&gt;"Delivered","not applicabel", IF(logistics_data[[#This Row],[Transit_Days]]&gt;=5,"slow","fast"))</f>
        <v>slow</v>
      </c>
    </row>
    <row r="1210" spans="1:14" x14ac:dyDescent="0.3">
      <c r="A1210" t="s">
        <v>1256</v>
      </c>
      <c r="B1210" t="s">
        <v>56</v>
      </c>
      <c r="C1210" t="s">
        <v>81</v>
      </c>
      <c r="D1210" t="s">
        <v>14</v>
      </c>
      <c r="E1210" s="1">
        <v>44975</v>
      </c>
      <c r="F1210" s="1">
        <v>44980</v>
      </c>
      <c r="G1210">
        <v>6.5</v>
      </c>
      <c r="H1210">
        <v>158.31</v>
      </c>
      <c r="I1210" t="s">
        <v>15</v>
      </c>
      <c r="J1210">
        <v>1109</v>
      </c>
      <c r="K1210">
        <v>5</v>
      </c>
      <c r="L1210" t="str">
        <f>IF(logistics_data[[#This Row],[Delivery_Date]]="","In Transit",
 IF(logistics_data[[#This Row],[Status]]="Lost","Lost",
 IF(logistics_data[[#This Row],[Status]]="Returned","Returned",
 IF(logistics_data[[#This Row],[Status]]="Delayed","Delayed",
 "Delivered"))))</f>
        <v>Delivered</v>
      </c>
      <c r="M1210" s="2">
        <f>logistics_data[[#This Row],[Cost]]/logistics_data[[#This Row],[Distance_miles]]</f>
        <v>0.14275022542831381</v>
      </c>
      <c r="N1210" t="str">
        <f>IF(logistics_data[[#This Row],[Orginal staus of shipment]]&lt;&gt;"Delivered","not applicabel", IF(logistics_data[[#This Row],[Transit_Days]]&gt;=5,"slow","fast"))</f>
        <v>slow</v>
      </c>
    </row>
    <row r="1211" spans="1:14" x14ac:dyDescent="0.3">
      <c r="A1211" t="s">
        <v>1257</v>
      </c>
      <c r="B1211" t="s">
        <v>49</v>
      </c>
      <c r="C1211" t="s">
        <v>57</v>
      </c>
      <c r="D1211" t="s">
        <v>25</v>
      </c>
      <c r="E1211" s="1">
        <v>45137</v>
      </c>
      <c r="F1211" s="1">
        <v>45143</v>
      </c>
      <c r="G1211">
        <v>27.1</v>
      </c>
      <c r="H1211">
        <v>259.17</v>
      </c>
      <c r="I1211" t="s">
        <v>15</v>
      </c>
      <c r="J1211">
        <v>2087</v>
      </c>
      <c r="K1211">
        <v>6</v>
      </c>
      <c r="L1211" t="str">
        <f>IF(logistics_data[[#This Row],[Delivery_Date]]="","In Transit",
 IF(logistics_data[[#This Row],[Status]]="Lost","Lost",
 IF(logistics_data[[#This Row],[Status]]="Returned","Returned",
 IF(logistics_data[[#This Row],[Status]]="Delayed","Delayed",
 "Delivered"))))</f>
        <v>Delivered</v>
      </c>
      <c r="M1211" s="2">
        <f>logistics_data[[#This Row],[Cost]]/logistics_data[[#This Row],[Distance_miles]]</f>
        <v>0.12418303785337806</v>
      </c>
      <c r="N1211" t="str">
        <f>IF(logistics_data[[#This Row],[Orginal staus of shipment]]&lt;&gt;"Delivered","not applicabel", IF(logistics_data[[#This Row],[Transit_Days]]&gt;=5,"slow","fast"))</f>
        <v>slow</v>
      </c>
    </row>
    <row r="1212" spans="1:14" x14ac:dyDescent="0.3">
      <c r="A1212" t="s">
        <v>1258</v>
      </c>
      <c r="B1212" t="s">
        <v>35</v>
      </c>
      <c r="C1212" t="s">
        <v>28</v>
      </c>
      <c r="D1212" t="s">
        <v>32</v>
      </c>
      <c r="E1212" s="1">
        <v>44944</v>
      </c>
      <c r="F1212" s="1">
        <v>44950</v>
      </c>
      <c r="G1212">
        <v>30</v>
      </c>
      <c r="H1212">
        <v>343.66</v>
      </c>
      <c r="I1212" t="s">
        <v>15</v>
      </c>
      <c r="J1212">
        <v>2379</v>
      </c>
      <c r="K1212">
        <v>6</v>
      </c>
      <c r="L1212" t="str">
        <f>IF(logistics_data[[#This Row],[Delivery_Date]]="","In Transit",
 IF(logistics_data[[#This Row],[Status]]="Lost","Lost",
 IF(logistics_data[[#This Row],[Status]]="Returned","Returned",
 IF(logistics_data[[#This Row],[Status]]="Delayed","Delayed",
 "Delivered"))))</f>
        <v>Delivered</v>
      </c>
      <c r="M1212" s="2">
        <f>logistics_data[[#This Row],[Cost]]/logistics_data[[#This Row],[Distance_miles]]</f>
        <v>0.14445565363598151</v>
      </c>
      <c r="N1212" t="str">
        <f>IF(logistics_data[[#This Row],[Orginal staus of shipment]]&lt;&gt;"Delivered","not applicabel", IF(logistics_data[[#This Row],[Transit_Days]]&gt;=5,"slow","fast"))</f>
        <v>slow</v>
      </c>
    </row>
    <row r="1213" spans="1:14" x14ac:dyDescent="0.3">
      <c r="A1213" t="s">
        <v>1259</v>
      </c>
      <c r="B1213" t="s">
        <v>20</v>
      </c>
      <c r="C1213" t="s">
        <v>13</v>
      </c>
      <c r="D1213" t="s">
        <v>32</v>
      </c>
      <c r="E1213" s="1">
        <v>45093</v>
      </c>
      <c r="F1213" s="1">
        <v>45105</v>
      </c>
      <c r="G1213">
        <v>250.9</v>
      </c>
      <c r="H1213">
        <v>395</v>
      </c>
      <c r="I1213" t="s">
        <v>47</v>
      </c>
      <c r="J1213">
        <v>239</v>
      </c>
      <c r="K1213">
        <v>1</v>
      </c>
      <c r="L1213" t="str">
        <f>IF(logistics_data[[#This Row],[Delivery_Date]]="","In Transit",
 IF(logistics_data[[#This Row],[Status]]="Lost","Lost",
 IF(logistics_data[[#This Row],[Status]]="Returned","Returned",
 IF(logistics_data[[#This Row],[Status]]="Delayed","Delayed",
 "Delivered"))))</f>
        <v>Delayed</v>
      </c>
      <c r="M1213" s="2">
        <f>logistics_data[[#This Row],[Cost]]/logistics_data[[#This Row],[Distance_miles]]</f>
        <v>1.6527196652719665</v>
      </c>
      <c r="N1213" t="str">
        <f>IF(logistics_data[[#This Row],[Orginal staus of shipment]]&lt;&gt;"Delivered","not applicabel", IF(logistics_data[[#This Row],[Transit_Days]]&gt;=5,"slow","fast"))</f>
        <v>not applicabel</v>
      </c>
    </row>
    <row r="1214" spans="1:14" x14ac:dyDescent="0.3">
      <c r="A1214" t="s">
        <v>1260</v>
      </c>
      <c r="B1214" t="s">
        <v>51</v>
      </c>
      <c r="C1214" t="s">
        <v>17</v>
      </c>
      <c r="D1214" t="s">
        <v>25</v>
      </c>
      <c r="E1214" s="1">
        <v>45103</v>
      </c>
      <c r="F1214" s="1">
        <v>45106</v>
      </c>
      <c r="G1214">
        <v>23.5</v>
      </c>
      <c r="H1214">
        <v>119.58</v>
      </c>
      <c r="I1214" t="s">
        <v>15</v>
      </c>
      <c r="J1214">
        <v>870</v>
      </c>
      <c r="K1214">
        <v>3</v>
      </c>
      <c r="L1214" t="str">
        <f>IF(logistics_data[[#This Row],[Delivery_Date]]="","In Transit",
 IF(logistics_data[[#This Row],[Status]]="Lost","Lost",
 IF(logistics_data[[#This Row],[Status]]="Returned","Returned",
 IF(logistics_data[[#This Row],[Status]]="Delayed","Delayed",
 "Delivered"))))</f>
        <v>Delivered</v>
      </c>
      <c r="M1214" s="2">
        <f>logistics_data[[#This Row],[Cost]]/logistics_data[[#This Row],[Distance_miles]]</f>
        <v>0.13744827586206895</v>
      </c>
      <c r="N1214" t="str">
        <f>IF(logistics_data[[#This Row],[Orginal staus of shipment]]&lt;&gt;"Delivered","not applicabel", IF(logistics_data[[#This Row],[Transit_Days]]&gt;=5,"slow","fast"))</f>
        <v>fast</v>
      </c>
    </row>
    <row r="1215" spans="1:14" x14ac:dyDescent="0.3">
      <c r="A1215" t="s">
        <v>1261</v>
      </c>
      <c r="B1215" t="s">
        <v>35</v>
      </c>
      <c r="C1215" t="s">
        <v>57</v>
      </c>
      <c r="D1215" t="s">
        <v>18</v>
      </c>
      <c r="E1215" s="1">
        <v>44975</v>
      </c>
      <c r="G1215">
        <v>18.5</v>
      </c>
      <c r="H1215">
        <v>171.77</v>
      </c>
      <c r="I1215" t="s">
        <v>47</v>
      </c>
      <c r="J1215">
        <v>1073</v>
      </c>
      <c r="K1215">
        <v>3</v>
      </c>
      <c r="L1215" t="str">
        <f>IF(logistics_data[[#This Row],[Delivery_Date]]="","In Transit",
 IF(logistics_data[[#This Row],[Status]]="Lost","Lost",
 IF(logistics_data[[#This Row],[Status]]="Returned","Returned",
 IF(logistics_data[[#This Row],[Status]]="Delayed","Delayed",
 "Delivered"))))</f>
        <v>In Transit</v>
      </c>
      <c r="M1215" s="2">
        <f>logistics_data[[#This Row],[Cost]]/logistics_data[[#This Row],[Distance_miles]]</f>
        <v>0.16008387698042872</v>
      </c>
      <c r="N1215" t="str">
        <f>IF(logistics_data[[#This Row],[Orginal staus of shipment]]&lt;&gt;"Delivered","not applicabel", IF(logistics_data[[#This Row],[Transit_Days]]&gt;=5,"slow","fast"))</f>
        <v>not applicabel</v>
      </c>
    </row>
    <row r="1216" spans="1:14" x14ac:dyDescent="0.3">
      <c r="A1216" t="s">
        <v>1262</v>
      </c>
      <c r="B1216" t="s">
        <v>35</v>
      </c>
      <c r="C1216" t="s">
        <v>54</v>
      </c>
      <c r="D1216" t="s">
        <v>32</v>
      </c>
      <c r="E1216" s="1">
        <v>45011</v>
      </c>
      <c r="F1216" s="1">
        <v>45016</v>
      </c>
      <c r="G1216">
        <v>81.7</v>
      </c>
      <c r="H1216">
        <v>289.48</v>
      </c>
      <c r="I1216" t="s">
        <v>15</v>
      </c>
      <c r="J1216">
        <v>1350</v>
      </c>
      <c r="K1216">
        <v>5</v>
      </c>
      <c r="L1216" t="str">
        <f>IF(logistics_data[[#This Row],[Delivery_Date]]="","In Transit",
 IF(logistics_data[[#This Row],[Status]]="Lost","Lost",
 IF(logistics_data[[#This Row],[Status]]="Returned","Returned",
 IF(logistics_data[[#This Row],[Status]]="Delayed","Delayed",
 "Delivered"))))</f>
        <v>Delivered</v>
      </c>
      <c r="M1216" s="2">
        <f>logistics_data[[#This Row],[Cost]]/logistics_data[[#This Row],[Distance_miles]]</f>
        <v>0.21442962962962964</v>
      </c>
      <c r="N1216" t="str">
        <f>IF(logistics_data[[#This Row],[Orginal staus of shipment]]&lt;&gt;"Delivered","not applicabel", IF(logistics_data[[#This Row],[Transit_Days]]&gt;=5,"slow","fast"))</f>
        <v>slow</v>
      </c>
    </row>
    <row r="1217" spans="1:14" x14ac:dyDescent="0.3">
      <c r="A1217" t="s">
        <v>1263</v>
      </c>
      <c r="B1217" t="s">
        <v>56</v>
      </c>
      <c r="C1217" t="s">
        <v>28</v>
      </c>
      <c r="D1217" t="s">
        <v>42</v>
      </c>
      <c r="E1217" s="1">
        <v>44958</v>
      </c>
      <c r="F1217" s="1">
        <v>44960</v>
      </c>
      <c r="G1217">
        <v>17.5</v>
      </c>
      <c r="H1217">
        <v>66.25</v>
      </c>
      <c r="I1217" t="s">
        <v>15</v>
      </c>
      <c r="J1217">
        <v>438</v>
      </c>
      <c r="K1217">
        <v>2</v>
      </c>
      <c r="L1217" t="str">
        <f>IF(logistics_data[[#This Row],[Delivery_Date]]="","In Transit",
 IF(logistics_data[[#This Row],[Status]]="Lost","Lost",
 IF(logistics_data[[#This Row],[Status]]="Returned","Returned",
 IF(logistics_data[[#This Row],[Status]]="Delayed","Delayed",
 "Delivered"))))</f>
        <v>Delivered</v>
      </c>
      <c r="M1217" s="2">
        <f>logistics_data[[#This Row],[Cost]]/logistics_data[[#This Row],[Distance_miles]]</f>
        <v>0.15125570776255709</v>
      </c>
      <c r="N1217" t="str">
        <f>IF(logistics_data[[#This Row],[Orginal staus of shipment]]&lt;&gt;"Delivered","not applicabel", IF(logistics_data[[#This Row],[Transit_Days]]&gt;=5,"slow","fast"))</f>
        <v>fast</v>
      </c>
    </row>
    <row r="1218" spans="1:14" x14ac:dyDescent="0.3">
      <c r="A1218" t="s">
        <v>1264</v>
      </c>
      <c r="B1218" t="s">
        <v>12</v>
      </c>
      <c r="C1218" t="s">
        <v>28</v>
      </c>
      <c r="D1218" t="s">
        <v>37</v>
      </c>
      <c r="E1218" s="1">
        <v>45232</v>
      </c>
      <c r="F1218" s="1">
        <v>45241</v>
      </c>
      <c r="G1218">
        <v>26.1</v>
      </c>
      <c r="H1218">
        <v>286.32</v>
      </c>
      <c r="I1218" t="s">
        <v>47</v>
      </c>
      <c r="J1218">
        <v>1611</v>
      </c>
      <c r="K1218">
        <v>4</v>
      </c>
      <c r="L1218" t="str">
        <f>IF(logistics_data[[#This Row],[Delivery_Date]]="","In Transit",
 IF(logistics_data[[#This Row],[Status]]="Lost","Lost",
 IF(logistics_data[[#This Row],[Status]]="Returned","Returned",
 IF(logistics_data[[#This Row],[Status]]="Delayed","Delayed",
 "Delivered"))))</f>
        <v>Delayed</v>
      </c>
      <c r="M1218" s="2">
        <f>logistics_data[[#This Row],[Cost]]/logistics_data[[#This Row],[Distance_miles]]</f>
        <v>0.17772811918063314</v>
      </c>
      <c r="N1218" t="str">
        <f>IF(logistics_data[[#This Row],[Orginal staus of shipment]]&lt;&gt;"Delivered","not applicabel", IF(logistics_data[[#This Row],[Transit_Days]]&gt;=5,"slow","fast"))</f>
        <v>not applicabel</v>
      </c>
    </row>
    <row r="1219" spans="1:14" x14ac:dyDescent="0.3">
      <c r="A1219" t="s">
        <v>1265</v>
      </c>
      <c r="B1219" t="s">
        <v>49</v>
      </c>
      <c r="C1219" t="s">
        <v>24</v>
      </c>
      <c r="D1219" t="s">
        <v>42</v>
      </c>
      <c r="E1219" s="1">
        <v>45088</v>
      </c>
      <c r="F1219" s="1">
        <v>45093</v>
      </c>
      <c r="G1219">
        <v>80.8</v>
      </c>
      <c r="H1219">
        <v>209.48</v>
      </c>
      <c r="I1219" t="s">
        <v>15</v>
      </c>
      <c r="J1219">
        <v>805</v>
      </c>
      <c r="K1219">
        <v>5</v>
      </c>
      <c r="L1219" t="str">
        <f>IF(logistics_data[[#This Row],[Delivery_Date]]="","In Transit",
 IF(logistics_data[[#This Row],[Status]]="Lost","Lost",
 IF(logistics_data[[#This Row],[Status]]="Returned","Returned",
 IF(logistics_data[[#This Row],[Status]]="Delayed","Delayed",
 "Delivered"))))</f>
        <v>Delivered</v>
      </c>
      <c r="M1219" s="2">
        <f>logistics_data[[#This Row],[Cost]]/logistics_data[[#This Row],[Distance_miles]]</f>
        <v>0.26022360248447202</v>
      </c>
      <c r="N1219" t="str">
        <f>IF(logistics_data[[#This Row],[Orginal staus of shipment]]&lt;&gt;"Delivered","not applicabel", IF(logistics_data[[#This Row],[Transit_Days]]&gt;=5,"slow","fast"))</f>
        <v>slow</v>
      </c>
    </row>
    <row r="1220" spans="1:14" x14ac:dyDescent="0.3">
      <c r="A1220" t="s">
        <v>1266</v>
      </c>
      <c r="B1220" t="s">
        <v>23</v>
      </c>
      <c r="C1220" t="s">
        <v>52</v>
      </c>
      <c r="D1220" t="s">
        <v>32</v>
      </c>
      <c r="E1220" s="1">
        <v>44982</v>
      </c>
      <c r="F1220" s="1">
        <v>44984</v>
      </c>
      <c r="G1220">
        <v>36.799999999999997</v>
      </c>
      <c r="H1220">
        <v>78.75</v>
      </c>
      <c r="I1220" t="s">
        <v>15</v>
      </c>
      <c r="J1220">
        <v>196</v>
      </c>
      <c r="K1220">
        <v>2</v>
      </c>
      <c r="L1220" t="str">
        <f>IF(logistics_data[[#This Row],[Delivery_Date]]="","In Transit",
 IF(logistics_data[[#This Row],[Status]]="Lost","Lost",
 IF(logistics_data[[#This Row],[Status]]="Returned","Returned",
 IF(logistics_data[[#This Row],[Status]]="Delayed","Delayed",
 "Delivered"))))</f>
        <v>Delivered</v>
      </c>
      <c r="M1220" s="2">
        <f>logistics_data[[#This Row],[Cost]]/logistics_data[[#This Row],[Distance_miles]]</f>
        <v>0.4017857142857143</v>
      </c>
      <c r="N1220" t="str">
        <f>IF(logistics_data[[#This Row],[Orginal staus of shipment]]&lt;&gt;"Delivered","not applicabel", IF(logistics_data[[#This Row],[Transit_Days]]&gt;=5,"slow","fast"))</f>
        <v>fast</v>
      </c>
    </row>
    <row r="1221" spans="1:14" x14ac:dyDescent="0.3">
      <c r="A1221" t="s">
        <v>1267</v>
      </c>
      <c r="B1221" t="s">
        <v>39</v>
      </c>
      <c r="C1221" t="s">
        <v>57</v>
      </c>
      <c r="D1221" t="s">
        <v>18</v>
      </c>
      <c r="E1221" s="1">
        <v>45045</v>
      </c>
      <c r="F1221" s="1">
        <v>45049</v>
      </c>
      <c r="G1221">
        <v>48.2</v>
      </c>
      <c r="H1221">
        <v>262.05</v>
      </c>
      <c r="I1221" t="s">
        <v>15</v>
      </c>
      <c r="J1221">
        <v>1272</v>
      </c>
      <c r="K1221">
        <v>4</v>
      </c>
      <c r="L1221" t="str">
        <f>IF(logistics_data[[#This Row],[Delivery_Date]]="","In Transit",
 IF(logistics_data[[#This Row],[Status]]="Lost","Lost",
 IF(logistics_data[[#This Row],[Status]]="Returned","Returned",
 IF(logistics_data[[#This Row],[Status]]="Delayed","Delayed",
 "Delivered"))))</f>
        <v>Delivered</v>
      </c>
      <c r="M1221" s="2">
        <f>logistics_data[[#This Row],[Cost]]/logistics_data[[#This Row],[Distance_miles]]</f>
        <v>0.20601415094339623</v>
      </c>
      <c r="N1221" t="str">
        <f>IF(logistics_data[[#This Row],[Orginal staus of shipment]]&lt;&gt;"Delivered","not applicabel", IF(logistics_data[[#This Row],[Transit_Days]]&gt;=5,"slow","fast"))</f>
        <v>fast</v>
      </c>
    </row>
    <row r="1222" spans="1:14" x14ac:dyDescent="0.3">
      <c r="A1222" t="s">
        <v>1268</v>
      </c>
      <c r="B1222" t="s">
        <v>30</v>
      </c>
      <c r="C1222" t="s">
        <v>52</v>
      </c>
      <c r="D1222" t="s">
        <v>14</v>
      </c>
      <c r="E1222" s="1">
        <v>45143</v>
      </c>
      <c r="F1222" s="1">
        <v>45150</v>
      </c>
      <c r="G1222">
        <v>42</v>
      </c>
      <c r="H1222">
        <v>359.87</v>
      </c>
      <c r="I1222" t="s">
        <v>15</v>
      </c>
      <c r="J1222">
        <v>2255</v>
      </c>
      <c r="K1222">
        <v>7</v>
      </c>
      <c r="L1222" t="str">
        <f>IF(logistics_data[[#This Row],[Delivery_Date]]="","In Transit",
 IF(logistics_data[[#This Row],[Status]]="Lost","Lost",
 IF(logistics_data[[#This Row],[Status]]="Returned","Returned",
 IF(logistics_data[[#This Row],[Status]]="Delayed","Delayed",
 "Delivered"))))</f>
        <v>Delivered</v>
      </c>
      <c r="M1222" s="2">
        <f>logistics_data[[#This Row],[Cost]]/logistics_data[[#This Row],[Distance_miles]]</f>
        <v>0.15958758314855875</v>
      </c>
      <c r="N1222" t="str">
        <f>IF(logistics_data[[#This Row],[Orginal staus of shipment]]&lt;&gt;"Delivered","not applicabel", IF(logistics_data[[#This Row],[Transit_Days]]&gt;=5,"slow","fast"))</f>
        <v>slow</v>
      </c>
    </row>
    <row r="1223" spans="1:14" x14ac:dyDescent="0.3">
      <c r="A1223" t="s">
        <v>1269</v>
      </c>
      <c r="B1223" t="s">
        <v>12</v>
      </c>
      <c r="C1223" t="s">
        <v>70</v>
      </c>
      <c r="D1223" t="s">
        <v>42</v>
      </c>
      <c r="E1223" s="1">
        <v>45235</v>
      </c>
      <c r="F1223" s="1">
        <v>45237</v>
      </c>
      <c r="G1223">
        <v>29.5</v>
      </c>
      <c r="H1223">
        <v>109.58</v>
      </c>
      <c r="I1223" t="s">
        <v>62</v>
      </c>
      <c r="J1223">
        <v>409</v>
      </c>
      <c r="K1223">
        <v>2</v>
      </c>
      <c r="L1223" t="str">
        <f>IF(logistics_data[[#This Row],[Delivery_Date]]="","In Transit",
 IF(logistics_data[[#This Row],[Status]]="Lost","Lost",
 IF(logistics_data[[#This Row],[Status]]="Returned","Returned",
 IF(logistics_data[[#This Row],[Status]]="Delayed","Delayed",
 "Delivered"))))</f>
        <v>Delivered</v>
      </c>
      <c r="M1223" s="2">
        <f>logistics_data[[#This Row],[Cost]]/logistics_data[[#This Row],[Distance_miles]]</f>
        <v>0.26792176039119803</v>
      </c>
      <c r="N1223" t="str">
        <f>IF(logistics_data[[#This Row],[Orginal staus of shipment]]&lt;&gt;"Delivered","not applicabel", IF(logistics_data[[#This Row],[Transit_Days]]&gt;=5,"slow","fast"))</f>
        <v>fast</v>
      </c>
    </row>
    <row r="1224" spans="1:14" x14ac:dyDescent="0.3">
      <c r="A1224" t="s">
        <v>1270</v>
      </c>
      <c r="B1224" t="s">
        <v>56</v>
      </c>
      <c r="C1224" t="s">
        <v>17</v>
      </c>
      <c r="D1224" t="s">
        <v>14</v>
      </c>
      <c r="E1224" s="1">
        <v>45211</v>
      </c>
      <c r="G1224">
        <v>5.5</v>
      </c>
      <c r="H1224">
        <v>49.39</v>
      </c>
      <c r="I1224" t="s">
        <v>15</v>
      </c>
      <c r="J1224">
        <v>338</v>
      </c>
      <c r="K1224">
        <v>3</v>
      </c>
      <c r="L1224" t="str">
        <f>IF(logistics_data[[#This Row],[Delivery_Date]]="","In Transit",
 IF(logistics_data[[#This Row],[Status]]="Lost","Lost",
 IF(logistics_data[[#This Row],[Status]]="Returned","Returned",
 IF(logistics_data[[#This Row],[Status]]="Delayed","Delayed",
 "Delivered"))))</f>
        <v>In Transit</v>
      </c>
      <c r="M1224" s="2">
        <f>logistics_data[[#This Row],[Cost]]/logistics_data[[#This Row],[Distance_miles]]</f>
        <v>0.14612426035502959</v>
      </c>
      <c r="N1224" t="str">
        <f>IF(logistics_data[[#This Row],[Orginal staus of shipment]]&lt;&gt;"Delivered","not applicabel", IF(logistics_data[[#This Row],[Transit_Days]]&gt;=5,"slow","fast"))</f>
        <v>not applicabel</v>
      </c>
    </row>
    <row r="1225" spans="1:14" x14ac:dyDescent="0.3">
      <c r="A1225" t="s">
        <v>1271</v>
      </c>
      <c r="B1225" t="s">
        <v>49</v>
      </c>
      <c r="C1225" t="s">
        <v>13</v>
      </c>
      <c r="D1225" t="s">
        <v>32</v>
      </c>
      <c r="E1225" s="1">
        <v>45174</v>
      </c>
      <c r="F1225" s="1">
        <v>45180</v>
      </c>
      <c r="G1225">
        <v>24.9</v>
      </c>
      <c r="H1225">
        <v>351.21</v>
      </c>
      <c r="I1225" t="s">
        <v>15</v>
      </c>
      <c r="J1225">
        <v>2438</v>
      </c>
      <c r="K1225">
        <v>6</v>
      </c>
      <c r="L1225" t="str">
        <f>IF(logistics_data[[#This Row],[Delivery_Date]]="","In Transit",
 IF(logistics_data[[#This Row],[Status]]="Lost","Lost",
 IF(logistics_data[[#This Row],[Status]]="Returned","Returned",
 IF(logistics_data[[#This Row],[Status]]="Delayed","Delayed",
 "Delivered"))))</f>
        <v>Delivered</v>
      </c>
      <c r="M1225" s="2">
        <f>logistics_data[[#This Row],[Cost]]/logistics_data[[#This Row],[Distance_miles]]</f>
        <v>0.1440566037735849</v>
      </c>
      <c r="N1225" t="str">
        <f>IF(logistics_data[[#This Row],[Orginal staus of shipment]]&lt;&gt;"Delivered","not applicabel", IF(logistics_data[[#This Row],[Transit_Days]]&gt;=5,"slow","fast"))</f>
        <v>slow</v>
      </c>
    </row>
    <row r="1226" spans="1:14" x14ac:dyDescent="0.3">
      <c r="A1226" t="s">
        <v>1272</v>
      </c>
      <c r="B1226" t="s">
        <v>12</v>
      </c>
      <c r="C1226" t="s">
        <v>28</v>
      </c>
      <c r="D1226" t="s">
        <v>14</v>
      </c>
      <c r="E1226" s="1">
        <v>45255</v>
      </c>
      <c r="F1226" s="1">
        <v>45259</v>
      </c>
      <c r="G1226">
        <v>17.899999999999999</v>
      </c>
      <c r="H1226">
        <v>336.25</v>
      </c>
      <c r="I1226" t="s">
        <v>15</v>
      </c>
      <c r="J1226">
        <v>2051</v>
      </c>
      <c r="K1226">
        <v>4</v>
      </c>
      <c r="L1226" t="str">
        <f>IF(logistics_data[[#This Row],[Delivery_Date]]="","In Transit",
 IF(logistics_data[[#This Row],[Status]]="Lost","Lost",
 IF(logistics_data[[#This Row],[Status]]="Returned","Returned",
 IF(logistics_data[[#This Row],[Status]]="Delayed","Delayed",
 "Delivered"))))</f>
        <v>Delivered</v>
      </c>
      <c r="M1226" s="2">
        <f>logistics_data[[#This Row],[Cost]]/logistics_data[[#This Row],[Distance_miles]]</f>
        <v>0.16394441735738663</v>
      </c>
      <c r="N1226" t="str">
        <f>IF(logistics_data[[#This Row],[Orginal staus of shipment]]&lt;&gt;"Delivered","not applicabel", IF(logistics_data[[#This Row],[Transit_Days]]&gt;=5,"slow","fast"))</f>
        <v>fast</v>
      </c>
    </row>
    <row r="1227" spans="1:14" x14ac:dyDescent="0.3">
      <c r="A1227" t="s">
        <v>1273</v>
      </c>
      <c r="B1227" t="s">
        <v>39</v>
      </c>
      <c r="C1227" t="s">
        <v>44</v>
      </c>
      <c r="D1227" t="s">
        <v>59</v>
      </c>
      <c r="E1227" s="1">
        <v>45171</v>
      </c>
      <c r="F1227" s="1">
        <v>45177</v>
      </c>
      <c r="G1227">
        <v>15.1</v>
      </c>
      <c r="H1227">
        <v>253.23</v>
      </c>
      <c r="I1227" t="s">
        <v>15</v>
      </c>
      <c r="J1227">
        <v>2145</v>
      </c>
      <c r="K1227">
        <v>6</v>
      </c>
      <c r="L1227" t="str">
        <f>IF(logistics_data[[#This Row],[Delivery_Date]]="","In Transit",
 IF(logistics_data[[#This Row],[Status]]="Lost","Lost",
 IF(logistics_data[[#This Row],[Status]]="Returned","Returned",
 IF(logistics_data[[#This Row],[Status]]="Delayed","Delayed",
 "Delivered"))))</f>
        <v>Delivered</v>
      </c>
      <c r="M1227" s="2">
        <f>logistics_data[[#This Row],[Cost]]/logistics_data[[#This Row],[Distance_miles]]</f>
        <v>0.11805594405594405</v>
      </c>
      <c r="N1227" t="str">
        <f>IF(logistics_data[[#This Row],[Orginal staus of shipment]]&lt;&gt;"Delivered","not applicabel", IF(logistics_data[[#This Row],[Transit_Days]]&gt;=5,"slow","fast"))</f>
        <v>slow</v>
      </c>
    </row>
    <row r="1228" spans="1:14" x14ac:dyDescent="0.3">
      <c r="A1228" t="s">
        <v>1274</v>
      </c>
      <c r="B1228" t="s">
        <v>30</v>
      </c>
      <c r="C1228" t="s">
        <v>54</v>
      </c>
      <c r="D1228" t="s">
        <v>18</v>
      </c>
      <c r="E1228" s="1">
        <v>45156</v>
      </c>
      <c r="F1228" s="1">
        <v>45171</v>
      </c>
      <c r="G1228">
        <v>36.299999999999997</v>
      </c>
      <c r="H1228">
        <v>266.23</v>
      </c>
      <c r="I1228" t="s">
        <v>47</v>
      </c>
      <c r="J1228">
        <v>1635</v>
      </c>
      <c r="K1228">
        <v>4</v>
      </c>
      <c r="L1228" t="str">
        <f>IF(logistics_data[[#This Row],[Delivery_Date]]="","In Transit",
 IF(logistics_data[[#This Row],[Status]]="Lost","Lost",
 IF(logistics_data[[#This Row],[Status]]="Returned","Returned",
 IF(logistics_data[[#This Row],[Status]]="Delayed","Delayed",
 "Delivered"))))</f>
        <v>Delayed</v>
      </c>
      <c r="M1228" s="2">
        <f>logistics_data[[#This Row],[Cost]]/logistics_data[[#This Row],[Distance_miles]]</f>
        <v>0.16283180428134558</v>
      </c>
      <c r="N1228" t="str">
        <f>IF(logistics_data[[#This Row],[Orginal staus of shipment]]&lt;&gt;"Delivered","not applicabel", IF(logistics_data[[#This Row],[Transit_Days]]&gt;=5,"slow","fast"))</f>
        <v>not applicabel</v>
      </c>
    </row>
    <row r="1229" spans="1:14" x14ac:dyDescent="0.3">
      <c r="A1229" t="s">
        <v>1275</v>
      </c>
      <c r="B1229" t="s">
        <v>12</v>
      </c>
      <c r="C1229" t="s">
        <v>31</v>
      </c>
      <c r="D1229" t="s">
        <v>14</v>
      </c>
      <c r="E1229" s="1">
        <v>45086</v>
      </c>
      <c r="F1229" s="1">
        <v>45093</v>
      </c>
      <c r="G1229">
        <v>17.399999999999999</v>
      </c>
      <c r="H1229">
        <v>250.19</v>
      </c>
      <c r="I1229" t="s">
        <v>15</v>
      </c>
      <c r="J1229">
        <v>1839</v>
      </c>
      <c r="K1229">
        <v>7</v>
      </c>
      <c r="L1229" t="str">
        <f>IF(logistics_data[[#This Row],[Delivery_Date]]="","In Transit",
 IF(logistics_data[[#This Row],[Status]]="Lost","Lost",
 IF(logistics_data[[#This Row],[Status]]="Returned","Returned",
 IF(logistics_data[[#This Row],[Status]]="Delayed","Delayed",
 "Delivered"))))</f>
        <v>Delivered</v>
      </c>
      <c r="M1229" s="2">
        <f>logistics_data[[#This Row],[Cost]]/logistics_data[[#This Row],[Distance_miles]]</f>
        <v>0.13604676454594888</v>
      </c>
      <c r="N1229" t="str">
        <f>IF(logistics_data[[#This Row],[Orginal staus of shipment]]&lt;&gt;"Delivered","not applicabel", IF(logistics_data[[#This Row],[Transit_Days]]&gt;=5,"slow","fast"))</f>
        <v>slow</v>
      </c>
    </row>
    <row r="1230" spans="1:14" x14ac:dyDescent="0.3">
      <c r="A1230" t="s">
        <v>1276</v>
      </c>
      <c r="B1230" t="s">
        <v>56</v>
      </c>
      <c r="C1230" t="s">
        <v>70</v>
      </c>
      <c r="D1230" t="s">
        <v>37</v>
      </c>
      <c r="E1230" s="1">
        <v>45225</v>
      </c>
      <c r="F1230" s="1">
        <v>45229</v>
      </c>
      <c r="G1230">
        <v>18.399999999999999</v>
      </c>
      <c r="H1230">
        <v>115.48</v>
      </c>
      <c r="I1230" t="s">
        <v>15</v>
      </c>
      <c r="J1230">
        <v>723</v>
      </c>
      <c r="K1230">
        <v>4</v>
      </c>
      <c r="L1230" t="str">
        <f>IF(logistics_data[[#This Row],[Delivery_Date]]="","In Transit",
 IF(logistics_data[[#This Row],[Status]]="Lost","Lost",
 IF(logistics_data[[#This Row],[Status]]="Returned","Returned",
 IF(logistics_data[[#This Row],[Status]]="Delayed","Delayed",
 "Delivered"))))</f>
        <v>Delivered</v>
      </c>
      <c r="M1230" s="2">
        <f>logistics_data[[#This Row],[Cost]]/logistics_data[[#This Row],[Distance_miles]]</f>
        <v>0.15972337482710927</v>
      </c>
      <c r="N1230" t="str">
        <f>IF(logistics_data[[#This Row],[Orginal staus of shipment]]&lt;&gt;"Delivered","not applicabel", IF(logistics_data[[#This Row],[Transit_Days]]&gt;=5,"slow","fast"))</f>
        <v>fast</v>
      </c>
    </row>
    <row r="1231" spans="1:14" x14ac:dyDescent="0.3">
      <c r="A1231" t="s">
        <v>1277</v>
      </c>
      <c r="B1231" t="s">
        <v>30</v>
      </c>
      <c r="C1231" t="s">
        <v>46</v>
      </c>
      <c r="D1231" t="s">
        <v>42</v>
      </c>
      <c r="E1231" s="1">
        <v>45151</v>
      </c>
      <c r="F1231" s="1">
        <v>45153</v>
      </c>
      <c r="G1231">
        <v>10.4</v>
      </c>
      <c r="H1231">
        <v>80.42</v>
      </c>
      <c r="I1231" t="s">
        <v>15</v>
      </c>
      <c r="J1231">
        <v>615</v>
      </c>
      <c r="K1231">
        <v>2</v>
      </c>
      <c r="L1231" t="str">
        <f>IF(logistics_data[[#This Row],[Delivery_Date]]="","In Transit",
 IF(logistics_data[[#This Row],[Status]]="Lost","Lost",
 IF(logistics_data[[#This Row],[Status]]="Returned","Returned",
 IF(logistics_data[[#This Row],[Status]]="Delayed","Delayed",
 "Delivered"))))</f>
        <v>Delivered</v>
      </c>
      <c r="M1231" s="2">
        <f>logistics_data[[#This Row],[Cost]]/logistics_data[[#This Row],[Distance_miles]]</f>
        <v>0.13076422764227644</v>
      </c>
      <c r="N1231" t="str">
        <f>IF(logistics_data[[#This Row],[Orginal staus of shipment]]&lt;&gt;"Delivered","not applicabel", IF(logistics_data[[#This Row],[Transit_Days]]&gt;=5,"slow","fast"))</f>
        <v>fast</v>
      </c>
    </row>
    <row r="1232" spans="1:14" x14ac:dyDescent="0.3">
      <c r="A1232" t="s">
        <v>1278</v>
      </c>
      <c r="B1232" t="s">
        <v>39</v>
      </c>
      <c r="C1232" t="s">
        <v>44</v>
      </c>
      <c r="D1232" t="s">
        <v>37</v>
      </c>
      <c r="E1232" s="1">
        <v>45059</v>
      </c>
      <c r="F1232" s="1">
        <v>45062</v>
      </c>
      <c r="G1232">
        <v>17.8</v>
      </c>
      <c r="H1232">
        <v>122.76</v>
      </c>
      <c r="I1232" t="s">
        <v>15</v>
      </c>
      <c r="J1232">
        <v>809</v>
      </c>
      <c r="K1232">
        <v>3</v>
      </c>
      <c r="L1232" t="str">
        <f>IF(logistics_data[[#This Row],[Delivery_Date]]="","In Transit",
 IF(logistics_data[[#This Row],[Status]]="Lost","Lost",
 IF(logistics_data[[#This Row],[Status]]="Returned","Returned",
 IF(logistics_data[[#This Row],[Status]]="Delayed","Delayed",
 "Delivered"))))</f>
        <v>Delivered</v>
      </c>
      <c r="M1232" s="2">
        <f>logistics_data[[#This Row],[Cost]]/logistics_data[[#This Row],[Distance_miles]]</f>
        <v>0.15174289245982694</v>
      </c>
      <c r="N1232" t="str">
        <f>IF(logistics_data[[#This Row],[Orginal staus of shipment]]&lt;&gt;"Delivered","not applicabel", IF(logistics_data[[#This Row],[Transit_Days]]&gt;=5,"slow","fast"))</f>
        <v>fast</v>
      </c>
    </row>
    <row r="1233" spans="1:14" x14ac:dyDescent="0.3">
      <c r="A1233" t="s">
        <v>1279</v>
      </c>
      <c r="B1233" t="s">
        <v>30</v>
      </c>
      <c r="C1233" t="s">
        <v>52</v>
      </c>
      <c r="D1233" t="s">
        <v>59</v>
      </c>
      <c r="E1233" s="1">
        <v>45265</v>
      </c>
      <c r="F1233" s="1">
        <v>45274</v>
      </c>
      <c r="G1233">
        <v>65.599999999999994</v>
      </c>
      <c r="H1233">
        <v>368.43</v>
      </c>
      <c r="I1233" t="s">
        <v>15</v>
      </c>
      <c r="J1233">
        <v>2255</v>
      </c>
      <c r="K1233">
        <v>9</v>
      </c>
      <c r="L1233" t="str">
        <f>IF(logistics_data[[#This Row],[Delivery_Date]]="","In Transit",
 IF(logistics_data[[#This Row],[Status]]="Lost","Lost",
 IF(logistics_data[[#This Row],[Status]]="Returned","Returned",
 IF(logistics_data[[#This Row],[Status]]="Delayed","Delayed",
 "Delivered"))))</f>
        <v>Delivered</v>
      </c>
      <c r="M1233" s="2">
        <f>logistics_data[[#This Row],[Cost]]/logistics_data[[#This Row],[Distance_miles]]</f>
        <v>0.16338359201773836</v>
      </c>
      <c r="N1233" t="str">
        <f>IF(logistics_data[[#This Row],[Orginal staus of shipment]]&lt;&gt;"Delivered","not applicabel", IF(logistics_data[[#This Row],[Transit_Days]]&gt;=5,"slow","fast"))</f>
        <v>slow</v>
      </c>
    </row>
    <row r="1234" spans="1:14" x14ac:dyDescent="0.3">
      <c r="A1234" t="s">
        <v>1280</v>
      </c>
      <c r="B1234" t="s">
        <v>35</v>
      </c>
      <c r="C1234" t="s">
        <v>28</v>
      </c>
      <c r="D1234" t="s">
        <v>37</v>
      </c>
      <c r="E1234" s="1">
        <v>45047</v>
      </c>
      <c r="F1234" s="1">
        <v>45051</v>
      </c>
      <c r="G1234">
        <v>9.6999999999999993</v>
      </c>
      <c r="H1234">
        <v>120.4</v>
      </c>
      <c r="I1234" t="s">
        <v>15</v>
      </c>
      <c r="J1234">
        <v>997</v>
      </c>
      <c r="K1234">
        <v>4</v>
      </c>
      <c r="L1234" t="str">
        <f>IF(logistics_data[[#This Row],[Delivery_Date]]="","In Transit",
 IF(logistics_data[[#This Row],[Status]]="Lost","Lost",
 IF(logistics_data[[#This Row],[Status]]="Returned","Returned",
 IF(logistics_data[[#This Row],[Status]]="Delayed","Delayed",
 "Delivered"))))</f>
        <v>Delivered</v>
      </c>
      <c r="M1234" s="2">
        <f>logistics_data[[#This Row],[Cost]]/logistics_data[[#This Row],[Distance_miles]]</f>
        <v>0.12076228686058176</v>
      </c>
      <c r="N1234" t="str">
        <f>IF(logistics_data[[#This Row],[Orginal staus of shipment]]&lt;&gt;"Delivered","not applicabel", IF(logistics_data[[#This Row],[Transit_Days]]&gt;=5,"slow","fast"))</f>
        <v>fast</v>
      </c>
    </row>
    <row r="1235" spans="1:14" x14ac:dyDescent="0.3">
      <c r="A1235" t="s">
        <v>1281</v>
      </c>
      <c r="B1235" t="s">
        <v>30</v>
      </c>
      <c r="C1235" t="s">
        <v>24</v>
      </c>
      <c r="D1235" t="s">
        <v>59</v>
      </c>
      <c r="E1235" s="1">
        <v>44937</v>
      </c>
      <c r="F1235" s="1">
        <v>44938</v>
      </c>
      <c r="G1235">
        <v>36.200000000000003</v>
      </c>
      <c r="I1235" t="s">
        <v>15</v>
      </c>
      <c r="J1235">
        <v>101</v>
      </c>
      <c r="K1235">
        <v>1</v>
      </c>
      <c r="L1235" t="str">
        <f>IF(logistics_data[[#This Row],[Delivery_Date]]="","In Transit",
 IF(logistics_data[[#This Row],[Status]]="Lost","Lost",
 IF(logistics_data[[#This Row],[Status]]="Returned","Returned",
 IF(logistics_data[[#This Row],[Status]]="Delayed","Delayed",
 "Delivered"))))</f>
        <v>Delivered</v>
      </c>
      <c r="M1235" s="2">
        <f>logistics_data[[#This Row],[Cost]]/logistics_data[[#This Row],[Distance_miles]]</f>
        <v>0</v>
      </c>
      <c r="N1235" t="str">
        <f>IF(logistics_data[[#This Row],[Orginal staus of shipment]]&lt;&gt;"Delivered","not applicabel", IF(logistics_data[[#This Row],[Transit_Days]]&gt;=5,"slow","fast"))</f>
        <v>fast</v>
      </c>
    </row>
    <row r="1236" spans="1:14" x14ac:dyDescent="0.3">
      <c r="A1236" t="s">
        <v>1282</v>
      </c>
      <c r="B1236" t="s">
        <v>20</v>
      </c>
      <c r="C1236" t="s">
        <v>28</v>
      </c>
      <c r="D1236" t="s">
        <v>18</v>
      </c>
      <c r="E1236" s="1">
        <v>45063</v>
      </c>
      <c r="F1236" s="1">
        <v>45069</v>
      </c>
      <c r="G1236">
        <v>6.2</v>
      </c>
      <c r="H1236">
        <v>210.74</v>
      </c>
      <c r="I1236" t="s">
        <v>47</v>
      </c>
      <c r="J1236">
        <v>1435</v>
      </c>
      <c r="K1236">
        <v>5</v>
      </c>
      <c r="L1236" t="str">
        <f>IF(logistics_data[[#This Row],[Delivery_Date]]="","In Transit",
 IF(logistics_data[[#This Row],[Status]]="Lost","Lost",
 IF(logistics_data[[#This Row],[Status]]="Returned","Returned",
 IF(logistics_data[[#This Row],[Status]]="Delayed","Delayed",
 "Delivered"))))</f>
        <v>Delayed</v>
      </c>
      <c r="M1236" s="2">
        <f>logistics_data[[#This Row],[Cost]]/logistics_data[[#This Row],[Distance_miles]]</f>
        <v>0.14685714285714285</v>
      </c>
      <c r="N1236" t="str">
        <f>IF(logistics_data[[#This Row],[Orginal staus of shipment]]&lt;&gt;"Delivered","not applicabel", IF(logistics_data[[#This Row],[Transit_Days]]&gt;=5,"slow","fast"))</f>
        <v>not applicabel</v>
      </c>
    </row>
    <row r="1237" spans="1:14" x14ac:dyDescent="0.3">
      <c r="A1237" t="s">
        <v>1283</v>
      </c>
      <c r="B1237" t="s">
        <v>27</v>
      </c>
      <c r="C1237" t="s">
        <v>57</v>
      </c>
      <c r="D1237" t="s">
        <v>42</v>
      </c>
      <c r="E1237" s="1">
        <v>45114</v>
      </c>
      <c r="F1237" s="1">
        <v>45121</v>
      </c>
      <c r="G1237">
        <v>42.8</v>
      </c>
      <c r="H1237">
        <v>322.49</v>
      </c>
      <c r="I1237" t="s">
        <v>15</v>
      </c>
      <c r="J1237">
        <v>2389</v>
      </c>
      <c r="K1237">
        <v>7</v>
      </c>
      <c r="L1237" t="str">
        <f>IF(logistics_data[[#This Row],[Delivery_Date]]="","In Transit",
 IF(logistics_data[[#This Row],[Status]]="Lost","Lost",
 IF(logistics_data[[#This Row],[Status]]="Returned","Returned",
 IF(logistics_data[[#This Row],[Status]]="Delayed","Delayed",
 "Delivered"))))</f>
        <v>Delivered</v>
      </c>
      <c r="M1237" s="2">
        <f>logistics_data[[#This Row],[Cost]]/logistics_data[[#This Row],[Distance_miles]]</f>
        <v>0.13498953537044789</v>
      </c>
      <c r="N1237" t="str">
        <f>IF(logistics_data[[#This Row],[Orginal staus of shipment]]&lt;&gt;"Delivered","not applicabel", IF(logistics_data[[#This Row],[Transit_Days]]&gt;=5,"slow","fast"))</f>
        <v>slow</v>
      </c>
    </row>
    <row r="1238" spans="1:14" x14ac:dyDescent="0.3">
      <c r="A1238" t="s">
        <v>1284</v>
      </c>
      <c r="B1238" t="s">
        <v>49</v>
      </c>
      <c r="C1238" t="s">
        <v>28</v>
      </c>
      <c r="D1238" t="s">
        <v>25</v>
      </c>
      <c r="E1238" s="1">
        <v>45007</v>
      </c>
      <c r="F1238" s="1">
        <v>45013</v>
      </c>
      <c r="G1238">
        <v>10.6</v>
      </c>
      <c r="H1238">
        <v>256.26</v>
      </c>
      <c r="I1238" t="s">
        <v>67</v>
      </c>
      <c r="J1238">
        <v>2001</v>
      </c>
      <c r="K1238">
        <v>6</v>
      </c>
      <c r="L1238" t="str">
        <f>IF(logistics_data[[#This Row],[Delivery_Date]]="","In Transit",
 IF(logistics_data[[#This Row],[Status]]="Lost","Lost",
 IF(logistics_data[[#This Row],[Status]]="Returned","Returned",
 IF(logistics_data[[#This Row],[Status]]="Delayed","Delayed",
 "Delivered"))))</f>
        <v>Returned</v>
      </c>
      <c r="M1238" s="2">
        <f>logistics_data[[#This Row],[Cost]]/logistics_data[[#This Row],[Distance_miles]]</f>
        <v>0.12806596701649176</v>
      </c>
      <c r="N1238" t="str">
        <f>IF(logistics_data[[#This Row],[Orginal staus of shipment]]&lt;&gt;"Delivered","not applicabel", IF(logistics_data[[#This Row],[Transit_Days]]&gt;=5,"slow","fast"))</f>
        <v>not applicabel</v>
      </c>
    </row>
    <row r="1239" spans="1:14" x14ac:dyDescent="0.3">
      <c r="A1239" t="s">
        <v>1285</v>
      </c>
      <c r="B1239" t="s">
        <v>12</v>
      </c>
      <c r="C1239" t="s">
        <v>40</v>
      </c>
      <c r="D1239" t="s">
        <v>59</v>
      </c>
      <c r="E1239" s="1">
        <v>44953</v>
      </c>
      <c r="F1239" s="1">
        <v>44957</v>
      </c>
      <c r="G1239">
        <v>10.6</v>
      </c>
      <c r="H1239">
        <v>107.5</v>
      </c>
      <c r="I1239" t="s">
        <v>15</v>
      </c>
      <c r="J1239">
        <v>788</v>
      </c>
      <c r="K1239">
        <v>4</v>
      </c>
      <c r="L1239" t="str">
        <f>IF(logistics_data[[#This Row],[Delivery_Date]]="","In Transit",
 IF(logistics_data[[#This Row],[Status]]="Lost","Lost",
 IF(logistics_data[[#This Row],[Status]]="Returned","Returned",
 IF(logistics_data[[#This Row],[Status]]="Delayed","Delayed",
 "Delivered"))))</f>
        <v>Delivered</v>
      </c>
      <c r="M1239" s="2">
        <f>logistics_data[[#This Row],[Cost]]/logistics_data[[#This Row],[Distance_miles]]</f>
        <v>0.13642131979695432</v>
      </c>
      <c r="N1239" t="str">
        <f>IF(logistics_data[[#This Row],[Orginal staus of shipment]]&lt;&gt;"Delivered","not applicabel", IF(logistics_data[[#This Row],[Transit_Days]]&gt;=5,"slow","fast"))</f>
        <v>fast</v>
      </c>
    </row>
    <row r="1240" spans="1:14" x14ac:dyDescent="0.3">
      <c r="A1240" t="s">
        <v>1286</v>
      </c>
      <c r="B1240" t="s">
        <v>56</v>
      </c>
      <c r="C1240" t="s">
        <v>70</v>
      </c>
      <c r="D1240" t="s">
        <v>59</v>
      </c>
      <c r="E1240" s="1">
        <v>45045</v>
      </c>
      <c r="F1240" s="1">
        <v>45050</v>
      </c>
      <c r="G1240">
        <v>81.2</v>
      </c>
      <c r="H1240">
        <v>243.39</v>
      </c>
      <c r="I1240" t="s">
        <v>15</v>
      </c>
      <c r="J1240">
        <v>1220</v>
      </c>
      <c r="K1240">
        <v>5</v>
      </c>
      <c r="L1240" t="str">
        <f>IF(logistics_data[[#This Row],[Delivery_Date]]="","In Transit",
 IF(logistics_data[[#This Row],[Status]]="Lost","Lost",
 IF(logistics_data[[#This Row],[Status]]="Returned","Returned",
 IF(logistics_data[[#This Row],[Status]]="Delayed","Delayed",
 "Delivered"))))</f>
        <v>Delivered</v>
      </c>
      <c r="M1240" s="2">
        <f>logistics_data[[#This Row],[Cost]]/logistics_data[[#This Row],[Distance_miles]]</f>
        <v>0.19949999999999998</v>
      </c>
      <c r="N1240" t="str">
        <f>IF(logistics_data[[#This Row],[Orginal staus of shipment]]&lt;&gt;"Delivered","not applicabel", IF(logistics_data[[#This Row],[Transit_Days]]&gt;=5,"slow","fast"))</f>
        <v>slow</v>
      </c>
    </row>
    <row r="1241" spans="1:14" x14ac:dyDescent="0.3">
      <c r="A1241" t="s">
        <v>1287</v>
      </c>
      <c r="B1241" t="s">
        <v>56</v>
      </c>
      <c r="C1241" t="s">
        <v>28</v>
      </c>
      <c r="D1241" t="s">
        <v>42</v>
      </c>
      <c r="E1241" s="1">
        <v>44950</v>
      </c>
      <c r="F1241" s="1">
        <v>44952</v>
      </c>
      <c r="G1241">
        <v>25.9</v>
      </c>
      <c r="H1241">
        <v>66.72</v>
      </c>
      <c r="I1241" t="s">
        <v>15</v>
      </c>
      <c r="J1241">
        <v>300</v>
      </c>
      <c r="K1241">
        <v>2</v>
      </c>
      <c r="L1241" t="str">
        <f>IF(logistics_data[[#This Row],[Delivery_Date]]="","In Transit",
 IF(logistics_data[[#This Row],[Status]]="Lost","Lost",
 IF(logistics_data[[#This Row],[Status]]="Returned","Returned",
 IF(logistics_data[[#This Row],[Status]]="Delayed","Delayed",
 "Delivered"))))</f>
        <v>Delivered</v>
      </c>
      <c r="M1241" s="2">
        <f>logistics_data[[#This Row],[Cost]]/logistics_data[[#This Row],[Distance_miles]]</f>
        <v>0.22239999999999999</v>
      </c>
      <c r="N1241" t="str">
        <f>IF(logistics_data[[#This Row],[Orginal staus of shipment]]&lt;&gt;"Delivered","not applicabel", IF(logistics_data[[#This Row],[Transit_Days]]&gt;=5,"slow","fast"))</f>
        <v>fast</v>
      </c>
    </row>
    <row r="1242" spans="1:14" x14ac:dyDescent="0.3">
      <c r="A1242" t="s">
        <v>1288</v>
      </c>
      <c r="B1242" t="s">
        <v>30</v>
      </c>
      <c r="C1242" t="s">
        <v>81</v>
      </c>
      <c r="D1242" t="s">
        <v>18</v>
      </c>
      <c r="E1242" s="1">
        <v>44941</v>
      </c>
      <c r="F1242" s="1">
        <v>44947</v>
      </c>
      <c r="G1242">
        <v>10.3</v>
      </c>
      <c r="H1242">
        <v>310.05</v>
      </c>
      <c r="I1242" t="s">
        <v>15</v>
      </c>
      <c r="J1242">
        <v>2006</v>
      </c>
      <c r="K1242">
        <v>6</v>
      </c>
      <c r="L1242" t="str">
        <f>IF(logistics_data[[#This Row],[Delivery_Date]]="","In Transit",
 IF(logistics_data[[#This Row],[Status]]="Lost","Lost",
 IF(logistics_data[[#This Row],[Status]]="Returned","Returned",
 IF(logistics_data[[#This Row],[Status]]="Delayed","Delayed",
 "Delivered"))))</f>
        <v>Delivered</v>
      </c>
      <c r="M1242" s="2">
        <f>logistics_data[[#This Row],[Cost]]/logistics_data[[#This Row],[Distance_miles]]</f>
        <v>0.15456131605184448</v>
      </c>
      <c r="N1242" t="str">
        <f>IF(logistics_data[[#This Row],[Orginal staus of shipment]]&lt;&gt;"Delivered","not applicabel", IF(logistics_data[[#This Row],[Transit_Days]]&gt;=5,"slow","fast"))</f>
        <v>slow</v>
      </c>
    </row>
    <row r="1243" spans="1:14" x14ac:dyDescent="0.3">
      <c r="A1243" t="s">
        <v>1289</v>
      </c>
      <c r="B1243" t="s">
        <v>30</v>
      </c>
      <c r="C1243" t="s">
        <v>81</v>
      </c>
      <c r="D1243" t="s">
        <v>42</v>
      </c>
      <c r="E1243" s="1">
        <v>45146</v>
      </c>
      <c r="F1243" s="1">
        <v>45148</v>
      </c>
      <c r="G1243">
        <v>22.8</v>
      </c>
      <c r="H1243">
        <v>46.91</v>
      </c>
      <c r="I1243" t="s">
        <v>15</v>
      </c>
      <c r="J1243">
        <v>203</v>
      </c>
      <c r="K1243">
        <v>2</v>
      </c>
      <c r="L1243" t="str">
        <f>IF(logistics_data[[#This Row],[Delivery_Date]]="","In Transit",
 IF(logistics_data[[#This Row],[Status]]="Lost","Lost",
 IF(logistics_data[[#This Row],[Status]]="Returned","Returned",
 IF(logistics_data[[#This Row],[Status]]="Delayed","Delayed",
 "Delivered"))))</f>
        <v>Delivered</v>
      </c>
      <c r="M1243" s="2">
        <f>logistics_data[[#This Row],[Cost]]/logistics_data[[#This Row],[Distance_miles]]</f>
        <v>0.23108374384236452</v>
      </c>
      <c r="N1243" t="str">
        <f>IF(logistics_data[[#This Row],[Orginal staus of shipment]]&lt;&gt;"Delivered","not applicabel", IF(logistics_data[[#This Row],[Transit_Days]]&gt;=5,"slow","fast"))</f>
        <v>fast</v>
      </c>
    </row>
    <row r="1244" spans="1:14" x14ac:dyDescent="0.3">
      <c r="A1244" t="s">
        <v>1290</v>
      </c>
      <c r="B1244" t="s">
        <v>56</v>
      </c>
      <c r="C1244" t="s">
        <v>21</v>
      </c>
      <c r="D1244" t="s">
        <v>18</v>
      </c>
      <c r="E1244" s="1">
        <v>44946</v>
      </c>
      <c r="F1244" s="1">
        <v>44948</v>
      </c>
      <c r="G1244">
        <v>10.199999999999999</v>
      </c>
      <c r="H1244">
        <v>112.82</v>
      </c>
      <c r="I1244" t="s">
        <v>15</v>
      </c>
      <c r="J1244">
        <v>751</v>
      </c>
      <c r="K1244">
        <v>2</v>
      </c>
      <c r="L1244" t="str">
        <f>IF(logistics_data[[#This Row],[Delivery_Date]]="","In Transit",
 IF(logistics_data[[#This Row],[Status]]="Lost","Lost",
 IF(logistics_data[[#This Row],[Status]]="Returned","Returned",
 IF(logistics_data[[#This Row],[Status]]="Delayed","Delayed",
 "Delivered"))))</f>
        <v>Delivered</v>
      </c>
      <c r="M1244" s="2">
        <f>logistics_data[[#This Row],[Cost]]/logistics_data[[#This Row],[Distance_miles]]</f>
        <v>0.15022636484687082</v>
      </c>
      <c r="N1244" t="str">
        <f>IF(logistics_data[[#This Row],[Orginal staus of shipment]]&lt;&gt;"Delivered","not applicabel", IF(logistics_data[[#This Row],[Transit_Days]]&gt;=5,"slow","fast"))</f>
        <v>fast</v>
      </c>
    </row>
    <row r="1245" spans="1:14" x14ac:dyDescent="0.3">
      <c r="A1245" t="s">
        <v>1291</v>
      </c>
      <c r="B1245" t="s">
        <v>39</v>
      </c>
      <c r="C1245" t="s">
        <v>24</v>
      </c>
      <c r="D1245" t="s">
        <v>18</v>
      </c>
      <c r="E1245" s="1">
        <v>45068</v>
      </c>
      <c r="F1245" s="1">
        <v>45073</v>
      </c>
      <c r="G1245">
        <v>37.4</v>
      </c>
      <c r="H1245">
        <v>350.17</v>
      </c>
      <c r="I1245" t="s">
        <v>62</v>
      </c>
      <c r="J1245">
        <v>2290</v>
      </c>
      <c r="K1245">
        <v>5</v>
      </c>
      <c r="L1245" t="str">
        <f>IF(logistics_data[[#This Row],[Delivery_Date]]="","In Transit",
 IF(logistics_data[[#This Row],[Status]]="Lost","Lost",
 IF(logistics_data[[#This Row],[Status]]="Returned","Returned",
 IF(logistics_data[[#This Row],[Status]]="Delayed","Delayed",
 "Delivered"))))</f>
        <v>Delivered</v>
      </c>
      <c r="M1245" s="2">
        <f>logistics_data[[#This Row],[Cost]]/logistics_data[[#This Row],[Distance_miles]]</f>
        <v>0.15291266375545853</v>
      </c>
      <c r="N1245" t="str">
        <f>IF(logistics_data[[#This Row],[Orginal staus of shipment]]&lt;&gt;"Delivered","not applicabel", IF(logistics_data[[#This Row],[Transit_Days]]&gt;=5,"slow","fast"))</f>
        <v>slow</v>
      </c>
    </row>
    <row r="1246" spans="1:14" x14ac:dyDescent="0.3">
      <c r="A1246" t="s">
        <v>1292</v>
      </c>
      <c r="B1246" t="s">
        <v>27</v>
      </c>
      <c r="C1246" t="s">
        <v>57</v>
      </c>
      <c r="D1246" t="s">
        <v>18</v>
      </c>
      <c r="E1246" s="1">
        <v>45200</v>
      </c>
      <c r="F1246" s="1">
        <v>45202</v>
      </c>
      <c r="G1246">
        <v>13.8</v>
      </c>
      <c r="H1246">
        <v>60.56</v>
      </c>
      <c r="I1246" t="s">
        <v>15</v>
      </c>
      <c r="J1246">
        <v>261</v>
      </c>
      <c r="K1246">
        <v>2</v>
      </c>
      <c r="L1246" t="str">
        <f>IF(logistics_data[[#This Row],[Delivery_Date]]="","In Transit",
 IF(logistics_data[[#This Row],[Status]]="Lost","Lost",
 IF(logistics_data[[#This Row],[Status]]="Returned","Returned",
 IF(logistics_data[[#This Row],[Status]]="Delayed","Delayed",
 "Delivered"))))</f>
        <v>Delivered</v>
      </c>
      <c r="M1246" s="2">
        <f>logistics_data[[#This Row],[Cost]]/logistics_data[[#This Row],[Distance_miles]]</f>
        <v>0.23203065134099618</v>
      </c>
      <c r="N1246" t="str">
        <f>IF(logistics_data[[#This Row],[Orginal staus of shipment]]&lt;&gt;"Delivered","not applicabel", IF(logistics_data[[#This Row],[Transit_Days]]&gt;=5,"slow","fast"))</f>
        <v>fast</v>
      </c>
    </row>
    <row r="1247" spans="1:14" x14ac:dyDescent="0.3">
      <c r="A1247" t="s">
        <v>1293</v>
      </c>
      <c r="B1247" t="s">
        <v>12</v>
      </c>
      <c r="C1247" t="s">
        <v>24</v>
      </c>
      <c r="D1247" t="s">
        <v>14</v>
      </c>
      <c r="E1247" s="1">
        <v>45180</v>
      </c>
      <c r="F1247" s="1">
        <v>45185</v>
      </c>
      <c r="G1247">
        <v>45.4</v>
      </c>
      <c r="H1247">
        <v>270.54000000000002</v>
      </c>
      <c r="I1247" t="s">
        <v>15</v>
      </c>
      <c r="J1247">
        <v>1794</v>
      </c>
      <c r="K1247">
        <v>5</v>
      </c>
      <c r="L1247" t="str">
        <f>IF(logistics_data[[#This Row],[Delivery_Date]]="","In Transit",
 IF(logistics_data[[#This Row],[Status]]="Lost","Lost",
 IF(logistics_data[[#This Row],[Status]]="Returned","Returned",
 IF(logistics_data[[#This Row],[Status]]="Delayed","Delayed",
 "Delivered"))))</f>
        <v>Delivered</v>
      </c>
      <c r="M1247" s="2">
        <f>logistics_data[[#This Row],[Cost]]/logistics_data[[#This Row],[Distance_miles]]</f>
        <v>0.15080267558528429</v>
      </c>
      <c r="N1247" t="str">
        <f>IF(logistics_data[[#This Row],[Orginal staus of shipment]]&lt;&gt;"Delivered","not applicabel", IF(logistics_data[[#This Row],[Transit_Days]]&gt;=5,"slow","fast"))</f>
        <v>slow</v>
      </c>
    </row>
    <row r="1248" spans="1:14" x14ac:dyDescent="0.3">
      <c r="A1248" t="s">
        <v>1294</v>
      </c>
      <c r="B1248" t="s">
        <v>51</v>
      </c>
      <c r="C1248" t="s">
        <v>44</v>
      </c>
      <c r="D1248" t="s">
        <v>25</v>
      </c>
      <c r="E1248" s="1">
        <v>44973</v>
      </c>
      <c r="F1248" s="1">
        <v>44975</v>
      </c>
      <c r="G1248">
        <v>10.8</v>
      </c>
      <c r="H1248">
        <v>105.44</v>
      </c>
      <c r="I1248" t="s">
        <v>15</v>
      </c>
      <c r="J1248">
        <v>790</v>
      </c>
      <c r="K1248">
        <v>2</v>
      </c>
      <c r="L1248" t="str">
        <f>IF(logistics_data[[#This Row],[Delivery_Date]]="","In Transit",
 IF(logistics_data[[#This Row],[Status]]="Lost","Lost",
 IF(logistics_data[[#This Row],[Status]]="Returned","Returned",
 IF(logistics_data[[#This Row],[Status]]="Delayed","Delayed",
 "Delivered"))))</f>
        <v>Delivered</v>
      </c>
      <c r="M1248" s="2">
        <f>logistics_data[[#This Row],[Cost]]/logistics_data[[#This Row],[Distance_miles]]</f>
        <v>0.13346835443037974</v>
      </c>
      <c r="N1248" t="str">
        <f>IF(logistics_data[[#This Row],[Orginal staus of shipment]]&lt;&gt;"Delivered","not applicabel", IF(logistics_data[[#This Row],[Transit_Days]]&gt;=5,"slow","fast"))</f>
        <v>fast</v>
      </c>
    </row>
    <row r="1249" spans="1:14" x14ac:dyDescent="0.3">
      <c r="A1249" t="s">
        <v>1295</v>
      </c>
      <c r="B1249" t="s">
        <v>35</v>
      </c>
      <c r="C1249" t="s">
        <v>21</v>
      </c>
      <c r="D1249" t="s">
        <v>18</v>
      </c>
      <c r="E1249" s="1">
        <v>45106</v>
      </c>
      <c r="F1249" s="1">
        <v>45111</v>
      </c>
      <c r="G1249">
        <v>47.3</v>
      </c>
      <c r="H1249">
        <v>347.27</v>
      </c>
      <c r="I1249" t="s">
        <v>15</v>
      </c>
      <c r="J1249">
        <v>2055</v>
      </c>
      <c r="K1249">
        <v>5</v>
      </c>
      <c r="L1249" t="str">
        <f>IF(logistics_data[[#This Row],[Delivery_Date]]="","In Transit",
 IF(logistics_data[[#This Row],[Status]]="Lost","Lost",
 IF(logistics_data[[#This Row],[Status]]="Returned","Returned",
 IF(logistics_data[[#This Row],[Status]]="Delayed","Delayed",
 "Delivered"))))</f>
        <v>Delivered</v>
      </c>
      <c r="M1249" s="2">
        <f>logistics_data[[#This Row],[Cost]]/logistics_data[[#This Row],[Distance_miles]]</f>
        <v>0.16898783454987834</v>
      </c>
      <c r="N1249" t="str">
        <f>IF(logistics_data[[#This Row],[Orginal staus of shipment]]&lt;&gt;"Delivered","not applicabel", IF(logistics_data[[#This Row],[Transit_Days]]&gt;=5,"slow","fast"))</f>
        <v>slow</v>
      </c>
    </row>
    <row r="1250" spans="1:14" x14ac:dyDescent="0.3">
      <c r="A1250" t="s">
        <v>1296</v>
      </c>
      <c r="B1250" t="s">
        <v>49</v>
      </c>
      <c r="C1250" t="s">
        <v>81</v>
      </c>
      <c r="D1250" t="s">
        <v>18</v>
      </c>
      <c r="E1250" s="1">
        <v>45179</v>
      </c>
      <c r="F1250" s="1">
        <v>45186</v>
      </c>
      <c r="G1250">
        <v>58</v>
      </c>
      <c r="H1250">
        <v>389.41</v>
      </c>
      <c r="I1250" t="s">
        <v>47</v>
      </c>
      <c r="J1250">
        <v>2199</v>
      </c>
      <c r="K1250">
        <v>6</v>
      </c>
      <c r="L1250" t="str">
        <f>IF(logistics_data[[#This Row],[Delivery_Date]]="","In Transit",
 IF(logistics_data[[#This Row],[Status]]="Lost","Lost",
 IF(logistics_data[[#This Row],[Status]]="Returned","Returned",
 IF(logistics_data[[#This Row],[Status]]="Delayed","Delayed",
 "Delivered"))))</f>
        <v>Delayed</v>
      </c>
      <c r="M1250" s="2">
        <f>logistics_data[[#This Row],[Cost]]/logistics_data[[#This Row],[Distance_miles]]</f>
        <v>0.17708503865393363</v>
      </c>
      <c r="N1250" t="str">
        <f>IF(logistics_data[[#This Row],[Orginal staus of shipment]]&lt;&gt;"Delivered","not applicabel", IF(logistics_data[[#This Row],[Transit_Days]]&gt;=5,"slow","fast"))</f>
        <v>not applicabel</v>
      </c>
    </row>
    <row r="1251" spans="1:14" x14ac:dyDescent="0.3">
      <c r="A1251" t="s">
        <v>1297</v>
      </c>
      <c r="B1251" t="s">
        <v>27</v>
      </c>
      <c r="C1251" t="s">
        <v>57</v>
      </c>
      <c r="D1251" t="s">
        <v>32</v>
      </c>
      <c r="E1251" s="1">
        <v>44983</v>
      </c>
      <c r="F1251" s="1">
        <v>44986</v>
      </c>
      <c r="G1251">
        <v>21.4</v>
      </c>
      <c r="H1251">
        <v>136.38999999999999</v>
      </c>
      <c r="I1251" t="s">
        <v>62</v>
      </c>
      <c r="J1251">
        <v>799</v>
      </c>
      <c r="K1251">
        <v>3</v>
      </c>
      <c r="L1251" t="str">
        <f>IF(logistics_data[[#This Row],[Delivery_Date]]="","In Transit",
 IF(logistics_data[[#This Row],[Status]]="Lost","Lost",
 IF(logistics_data[[#This Row],[Status]]="Returned","Returned",
 IF(logistics_data[[#This Row],[Status]]="Delayed","Delayed",
 "Delivered"))))</f>
        <v>Delivered</v>
      </c>
      <c r="M1251" s="2">
        <f>logistics_data[[#This Row],[Cost]]/logistics_data[[#This Row],[Distance_miles]]</f>
        <v>0.17070087609511889</v>
      </c>
      <c r="N1251" t="str">
        <f>IF(logistics_data[[#This Row],[Orginal staus of shipment]]&lt;&gt;"Delivered","not applicabel", IF(logistics_data[[#This Row],[Transit_Days]]&gt;=5,"slow","fast"))</f>
        <v>fast</v>
      </c>
    </row>
    <row r="1252" spans="1:14" x14ac:dyDescent="0.3">
      <c r="A1252" t="s">
        <v>1298</v>
      </c>
      <c r="B1252" t="s">
        <v>20</v>
      </c>
      <c r="C1252" t="s">
        <v>36</v>
      </c>
      <c r="D1252" t="s">
        <v>42</v>
      </c>
      <c r="E1252" s="1">
        <v>44953</v>
      </c>
      <c r="F1252" s="1">
        <v>44954</v>
      </c>
      <c r="G1252">
        <v>15.8</v>
      </c>
      <c r="H1252">
        <v>48.13</v>
      </c>
      <c r="I1252" t="s">
        <v>15</v>
      </c>
      <c r="J1252">
        <v>250</v>
      </c>
      <c r="K1252">
        <v>1</v>
      </c>
      <c r="L1252" t="str">
        <f>IF(logistics_data[[#This Row],[Delivery_Date]]="","In Transit",
 IF(logistics_data[[#This Row],[Status]]="Lost","Lost",
 IF(logistics_data[[#This Row],[Status]]="Returned","Returned",
 IF(logistics_data[[#This Row],[Status]]="Delayed","Delayed",
 "Delivered"))))</f>
        <v>Delivered</v>
      </c>
      <c r="M1252" s="2">
        <f>logistics_data[[#This Row],[Cost]]/logistics_data[[#This Row],[Distance_miles]]</f>
        <v>0.19252</v>
      </c>
      <c r="N1252" t="str">
        <f>IF(logistics_data[[#This Row],[Orginal staus of shipment]]&lt;&gt;"Delivered","not applicabel", IF(logistics_data[[#This Row],[Transit_Days]]&gt;=5,"slow","fast"))</f>
        <v>fast</v>
      </c>
    </row>
    <row r="1253" spans="1:14" x14ac:dyDescent="0.3">
      <c r="A1253" t="s">
        <v>1299</v>
      </c>
      <c r="B1253" t="s">
        <v>23</v>
      </c>
      <c r="C1253" t="s">
        <v>21</v>
      </c>
      <c r="D1253" t="s">
        <v>18</v>
      </c>
      <c r="E1253" s="1">
        <v>45118</v>
      </c>
      <c r="F1253" s="1">
        <v>45123</v>
      </c>
      <c r="G1253">
        <v>10.8</v>
      </c>
      <c r="H1253">
        <v>224.13</v>
      </c>
      <c r="I1253" t="s">
        <v>15</v>
      </c>
      <c r="J1253">
        <v>1409</v>
      </c>
      <c r="K1253">
        <v>5</v>
      </c>
      <c r="L1253" t="str">
        <f>IF(logistics_data[[#This Row],[Delivery_Date]]="","In Transit",
 IF(logistics_data[[#This Row],[Status]]="Lost","Lost",
 IF(logistics_data[[#This Row],[Status]]="Returned","Returned",
 IF(logistics_data[[#This Row],[Status]]="Delayed","Delayed",
 "Delivered"))))</f>
        <v>Delivered</v>
      </c>
      <c r="M1253" s="2">
        <f>logistics_data[[#This Row],[Cost]]/logistics_data[[#This Row],[Distance_miles]]</f>
        <v>0.15907026259758694</v>
      </c>
      <c r="N1253" t="str">
        <f>IF(logistics_data[[#This Row],[Orginal staus of shipment]]&lt;&gt;"Delivered","not applicabel", IF(logistics_data[[#This Row],[Transit_Days]]&gt;=5,"slow","fast"))</f>
        <v>slow</v>
      </c>
    </row>
    <row r="1254" spans="1:14" x14ac:dyDescent="0.3">
      <c r="A1254" t="s">
        <v>1300</v>
      </c>
      <c r="B1254" t="s">
        <v>27</v>
      </c>
      <c r="C1254" t="s">
        <v>17</v>
      </c>
      <c r="D1254" t="s">
        <v>37</v>
      </c>
      <c r="E1254" s="1">
        <v>45050</v>
      </c>
      <c r="F1254" s="1">
        <v>45058</v>
      </c>
      <c r="G1254">
        <v>40.5</v>
      </c>
      <c r="H1254">
        <v>236.11</v>
      </c>
      <c r="I1254" t="s">
        <v>47</v>
      </c>
      <c r="J1254">
        <v>1756</v>
      </c>
      <c r="K1254">
        <v>4</v>
      </c>
      <c r="L1254" t="str">
        <f>IF(logistics_data[[#This Row],[Delivery_Date]]="","In Transit",
 IF(logistics_data[[#This Row],[Status]]="Lost","Lost",
 IF(logistics_data[[#This Row],[Status]]="Returned","Returned",
 IF(logistics_data[[#This Row],[Status]]="Delayed","Delayed",
 "Delivered"))))</f>
        <v>Delayed</v>
      </c>
      <c r="M1254" s="2">
        <f>logistics_data[[#This Row],[Cost]]/logistics_data[[#This Row],[Distance_miles]]</f>
        <v>0.13445899772209569</v>
      </c>
      <c r="N1254" t="str">
        <f>IF(logistics_data[[#This Row],[Orginal staus of shipment]]&lt;&gt;"Delivered","not applicabel", IF(logistics_data[[#This Row],[Transit_Days]]&gt;=5,"slow","fast"))</f>
        <v>not applicabel</v>
      </c>
    </row>
    <row r="1255" spans="1:14" x14ac:dyDescent="0.3">
      <c r="A1255" t="s">
        <v>1301</v>
      </c>
      <c r="B1255" t="s">
        <v>35</v>
      </c>
      <c r="C1255" t="s">
        <v>36</v>
      </c>
      <c r="D1255" t="s">
        <v>59</v>
      </c>
      <c r="E1255" s="1">
        <v>45074</v>
      </c>
      <c r="F1255" s="1">
        <v>45078</v>
      </c>
      <c r="G1255">
        <v>9.9</v>
      </c>
      <c r="H1255">
        <v>150.46</v>
      </c>
      <c r="I1255" t="s">
        <v>15</v>
      </c>
      <c r="J1255">
        <v>1129</v>
      </c>
      <c r="K1255">
        <v>4</v>
      </c>
      <c r="L1255" t="str">
        <f>IF(logistics_data[[#This Row],[Delivery_Date]]="","In Transit",
 IF(logistics_data[[#This Row],[Status]]="Lost","Lost",
 IF(logistics_data[[#This Row],[Status]]="Returned","Returned",
 IF(logistics_data[[#This Row],[Status]]="Delayed","Delayed",
 "Delivered"))))</f>
        <v>Delivered</v>
      </c>
      <c r="M1255" s="2">
        <f>logistics_data[[#This Row],[Cost]]/logistics_data[[#This Row],[Distance_miles]]</f>
        <v>0.13326837909654562</v>
      </c>
      <c r="N1255" t="str">
        <f>IF(logistics_data[[#This Row],[Orginal staus of shipment]]&lt;&gt;"Delivered","not applicabel", IF(logistics_data[[#This Row],[Transit_Days]]&gt;=5,"slow","fast"))</f>
        <v>fast</v>
      </c>
    </row>
    <row r="1256" spans="1:14" x14ac:dyDescent="0.3">
      <c r="A1256" t="s">
        <v>1302</v>
      </c>
      <c r="B1256" t="s">
        <v>39</v>
      </c>
      <c r="C1256" t="s">
        <v>17</v>
      </c>
      <c r="D1256" t="s">
        <v>42</v>
      </c>
      <c r="E1256" s="1">
        <v>45198</v>
      </c>
      <c r="F1256" s="1">
        <v>45203</v>
      </c>
      <c r="G1256">
        <v>44.4</v>
      </c>
      <c r="H1256">
        <v>152.04</v>
      </c>
      <c r="I1256" t="s">
        <v>15</v>
      </c>
      <c r="J1256">
        <v>800</v>
      </c>
      <c r="K1256">
        <v>5</v>
      </c>
      <c r="L1256" t="str">
        <f>IF(logistics_data[[#This Row],[Delivery_Date]]="","In Transit",
 IF(logistics_data[[#This Row],[Status]]="Lost","Lost",
 IF(logistics_data[[#This Row],[Status]]="Returned","Returned",
 IF(logistics_data[[#This Row],[Status]]="Delayed","Delayed",
 "Delivered"))))</f>
        <v>Delivered</v>
      </c>
      <c r="M1256" s="2">
        <f>logistics_data[[#This Row],[Cost]]/logistics_data[[#This Row],[Distance_miles]]</f>
        <v>0.19005</v>
      </c>
      <c r="N1256" t="str">
        <f>IF(logistics_data[[#This Row],[Orginal staus of shipment]]&lt;&gt;"Delivered","not applicabel", IF(logistics_data[[#This Row],[Transit_Days]]&gt;=5,"slow","fast"))</f>
        <v>slow</v>
      </c>
    </row>
    <row r="1257" spans="1:14" x14ac:dyDescent="0.3">
      <c r="A1257" t="s">
        <v>1303</v>
      </c>
      <c r="B1257" t="s">
        <v>51</v>
      </c>
      <c r="C1257" t="s">
        <v>31</v>
      </c>
      <c r="D1257" t="s">
        <v>14</v>
      </c>
      <c r="E1257" s="1">
        <v>45228</v>
      </c>
      <c r="F1257" s="1">
        <v>45231</v>
      </c>
      <c r="G1257">
        <v>15.5</v>
      </c>
      <c r="H1257">
        <v>159.84</v>
      </c>
      <c r="I1257" t="s">
        <v>15</v>
      </c>
      <c r="J1257">
        <v>1090</v>
      </c>
      <c r="K1257">
        <v>3</v>
      </c>
      <c r="L1257" t="str">
        <f>IF(logistics_data[[#This Row],[Delivery_Date]]="","In Transit",
 IF(logistics_data[[#This Row],[Status]]="Lost","Lost",
 IF(logistics_data[[#This Row],[Status]]="Returned","Returned",
 IF(logistics_data[[#This Row],[Status]]="Delayed","Delayed",
 "Delivered"))))</f>
        <v>Delivered</v>
      </c>
      <c r="M1257" s="2">
        <f>logistics_data[[#This Row],[Cost]]/logistics_data[[#This Row],[Distance_miles]]</f>
        <v>0.1466422018348624</v>
      </c>
      <c r="N1257" t="str">
        <f>IF(logistics_data[[#This Row],[Orginal staus of shipment]]&lt;&gt;"Delivered","not applicabel", IF(logistics_data[[#This Row],[Transit_Days]]&gt;=5,"slow","fast"))</f>
        <v>fast</v>
      </c>
    </row>
    <row r="1258" spans="1:14" x14ac:dyDescent="0.3">
      <c r="A1258" t="s">
        <v>1304</v>
      </c>
      <c r="B1258" t="s">
        <v>51</v>
      </c>
      <c r="C1258" t="s">
        <v>44</v>
      </c>
      <c r="D1258" t="s">
        <v>25</v>
      </c>
      <c r="E1258" s="1">
        <v>45279</v>
      </c>
      <c r="F1258" s="1">
        <v>45283</v>
      </c>
      <c r="G1258">
        <v>13.5</v>
      </c>
      <c r="H1258">
        <v>123.13</v>
      </c>
      <c r="I1258" t="s">
        <v>15</v>
      </c>
      <c r="J1258">
        <v>790</v>
      </c>
      <c r="K1258">
        <v>4</v>
      </c>
      <c r="L1258" t="str">
        <f>IF(logistics_data[[#This Row],[Delivery_Date]]="","In Transit",
 IF(logistics_data[[#This Row],[Status]]="Lost","Lost",
 IF(logistics_data[[#This Row],[Status]]="Returned","Returned",
 IF(logistics_data[[#This Row],[Status]]="Delayed","Delayed",
 "Delivered"))))</f>
        <v>Delivered</v>
      </c>
      <c r="M1258" s="2">
        <f>logistics_data[[#This Row],[Cost]]/logistics_data[[#This Row],[Distance_miles]]</f>
        <v>0.15586075949367087</v>
      </c>
      <c r="N1258" t="str">
        <f>IF(logistics_data[[#This Row],[Orginal staus of shipment]]&lt;&gt;"Delivered","not applicabel", IF(logistics_data[[#This Row],[Transit_Days]]&gt;=5,"slow","fast"))</f>
        <v>fast</v>
      </c>
    </row>
    <row r="1259" spans="1:14" x14ac:dyDescent="0.3">
      <c r="A1259" t="s">
        <v>1305</v>
      </c>
      <c r="B1259" t="s">
        <v>39</v>
      </c>
      <c r="C1259" t="s">
        <v>57</v>
      </c>
      <c r="D1259" t="s">
        <v>59</v>
      </c>
      <c r="E1259" s="1">
        <v>45212</v>
      </c>
      <c r="G1259">
        <v>6.4</v>
      </c>
      <c r="H1259">
        <v>191.61</v>
      </c>
      <c r="I1259" t="s">
        <v>15</v>
      </c>
      <c r="J1259">
        <v>1770</v>
      </c>
      <c r="K1259">
        <v>6</v>
      </c>
      <c r="L1259" t="str">
        <f>IF(logistics_data[[#This Row],[Delivery_Date]]="","In Transit",
 IF(logistics_data[[#This Row],[Status]]="Lost","Lost",
 IF(logistics_data[[#This Row],[Status]]="Returned","Returned",
 IF(logistics_data[[#This Row],[Status]]="Delayed","Delayed",
 "Delivered"))))</f>
        <v>In Transit</v>
      </c>
      <c r="M1259" s="2">
        <f>logistics_data[[#This Row],[Cost]]/logistics_data[[#This Row],[Distance_miles]]</f>
        <v>0.1082542372881356</v>
      </c>
      <c r="N1259" t="str">
        <f>IF(logistics_data[[#This Row],[Orginal staus of shipment]]&lt;&gt;"Delivered","not applicabel", IF(logistics_data[[#This Row],[Transit_Days]]&gt;=5,"slow","fast"))</f>
        <v>not applicabel</v>
      </c>
    </row>
    <row r="1260" spans="1:14" x14ac:dyDescent="0.3">
      <c r="A1260" t="s">
        <v>1306</v>
      </c>
      <c r="B1260" t="s">
        <v>35</v>
      </c>
      <c r="C1260" t="s">
        <v>28</v>
      </c>
      <c r="D1260" t="s">
        <v>37</v>
      </c>
      <c r="E1260" s="1">
        <v>45220</v>
      </c>
      <c r="F1260" s="1">
        <v>45225</v>
      </c>
      <c r="G1260">
        <v>14.5</v>
      </c>
      <c r="H1260">
        <v>202.38</v>
      </c>
      <c r="I1260" t="s">
        <v>15</v>
      </c>
      <c r="J1260">
        <v>1704</v>
      </c>
      <c r="K1260">
        <v>5</v>
      </c>
      <c r="L1260" t="str">
        <f>IF(logistics_data[[#This Row],[Delivery_Date]]="","In Transit",
 IF(logistics_data[[#This Row],[Status]]="Lost","Lost",
 IF(logistics_data[[#This Row],[Status]]="Returned","Returned",
 IF(logistics_data[[#This Row],[Status]]="Delayed","Delayed",
 "Delivered"))))</f>
        <v>Delivered</v>
      </c>
      <c r="M1260" s="2">
        <f>logistics_data[[#This Row],[Cost]]/logistics_data[[#This Row],[Distance_miles]]</f>
        <v>0.11876760563380281</v>
      </c>
      <c r="N1260" t="str">
        <f>IF(logistics_data[[#This Row],[Orginal staus of shipment]]&lt;&gt;"Delivered","not applicabel", IF(logistics_data[[#This Row],[Transit_Days]]&gt;=5,"slow","fast"))</f>
        <v>slow</v>
      </c>
    </row>
    <row r="1261" spans="1:14" x14ac:dyDescent="0.3">
      <c r="A1261" t="s">
        <v>1307</v>
      </c>
      <c r="B1261" t="s">
        <v>23</v>
      </c>
      <c r="C1261" t="s">
        <v>70</v>
      </c>
      <c r="D1261" t="s">
        <v>42</v>
      </c>
      <c r="E1261" s="1">
        <v>45037</v>
      </c>
      <c r="F1261" s="1">
        <v>45043</v>
      </c>
      <c r="G1261">
        <v>45.4</v>
      </c>
      <c r="H1261">
        <v>102.09</v>
      </c>
      <c r="I1261" t="s">
        <v>47</v>
      </c>
      <c r="J1261">
        <v>473</v>
      </c>
      <c r="K1261">
        <v>2</v>
      </c>
      <c r="L1261" t="str">
        <f>IF(logistics_data[[#This Row],[Delivery_Date]]="","In Transit",
 IF(logistics_data[[#This Row],[Status]]="Lost","Lost",
 IF(logistics_data[[#This Row],[Status]]="Returned","Returned",
 IF(logistics_data[[#This Row],[Status]]="Delayed","Delayed",
 "Delivered"))))</f>
        <v>Delayed</v>
      </c>
      <c r="M1261" s="2">
        <f>logistics_data[[#This Row],[Cost]]/logistics_data[[#This Row],[Distance_miles]]</f>
        <v>0.21583509513742072</v>
      </c>
      <c r="N1261" t="str">
        <f>IF(logistics_data[[#This Row],[Orginal staus of shipment]]&lt;&gt;"Delivered","not applicabel", IF(logistics_data[[#This Row],[Transit_Days]]&gt;=5,"slow","fast"))</f>
        <v>not applicabel</v>
      </c>
    </row>
    <row r="1262" spans="1:14" x14ac:dyDescent="0.3">
      <c r="A1262" t="s">
        <v>1308</v>
      </c>
      <c r="B1262" t="s">
        <v>12</v>
      </c>
      <c r="C1262" t="s">
        <v>44</v>
      </c>
      <c r="D1262" t="s">
        <v>14</v>
      </c>
      <c r="E1262" s="1">
        <v>44961</v>
      </c>
      <c r="F1262" s="1">
        <v>44964</v>
      </c>
      <c r="G1262">
        <v>13.1</v>
      </c>
      <c r="H1262">
        <v>195.45</v>
      </c>
      <c r="I1262" t="s">
        <v>15</v>
      </c>
      <c r="J1262">
        <v>1331</v>
      </c>
      <c r="K1262">
        <v>3</v>
      </c>
      <c r="L1262" t="str">
        <f>IF(logistics_data[[#This Row],[Delivery_Date]]="","In Transit",
 IF(logistics_data[[#This Row],[Status]]="Lost","Lost",
 IF(logistics_data[[#This Row],[Status]]="Returned","Returned",
 IF(logistics_data[[#This Row],[Status]]="Delayed","Delayed",
 "Delivered"))))</f>
        <v>Delivered</v>
      </c>
      <c r="M1262" s="2">
        <f>logistics_data[[#This Row],[Cost]]/logistics_data[[#This Row],[Distance_miles]]</f>
        <v>0.14684447783621338</v>
      </c>
      <c r="N1262" t="str">
        <f>IF(logistics_data[[#This Row],[Orginal staus of shipment]]&lt;&gt;"Delivered","not applicabel", IF(logistics_data[[#This Row],[Transit_Days]]&gt;=5,"slow","fast"))</f>
        <v>fast</v>
      </c>
    </row>
    <row r="1263" spans="1:14" x14ac:dyDescent="0.3">
      <c r="A1263" t="s">
        <v>1309</v>
      </c>
      <c r="B1263" t="s">
        <v>51</v>
      </c>
      <c r="C1263" t="s">
        <v>24</v>
      </c>
      <c r="D1263" t="s">
        <v>42</v>
      </c>
      <c r="E1263" s="1">
        <v>44979</v>
      </c>
      <c r="F1263" s="1">
        <v>44982</v>
      </c>
      <c r="G1263">
        <v>25.7</v>
      </c>
      <c r="H1263">
        <v>159.21</v>
      </c>
      <c r="I1263" t="s">
        <v>15</v>
      </c>
      <c r="J1263">
        <v>1023</v>
      </c>
      <c r="K1263">
        <v>3</v>
      </c>
      <c r="L1263" t="str">
        <f>IF(logistics_data[[#This Row],[Delivery_Date]]="","In Transit",
 IF(logistics_data[[#This Row],[Status]]="Lost","Lost",
 IF(logistics_data[[#This Row],[Status]]="Returned","Returned",
 IF(logistics_data[[#This Row],[Status]]="Delayed","Delayed",
 "Delivered"))))</f>
        <v>Delivered</v>
      </c>
      <c r="M1263" s="2">
        <f>logistics_data[[#This Row],[Cost]]/logistics_data[[#This Row],[Distance_miles]]</f>
        <v>0.15563049853372435</v>
      </c>
      <c r="N1263" t="str">
        <f>IF(logistics_data[[#This Row],[Orginal staus of shipment]]&lt;&gt;"Delivered","not applicabel", IF(logistics_data[[#This Row],[Transit_Days]]&gt;=5,"slow","fast"))</f>
        <v>fast</v>
      </c>
    </row>
    <row r="1264" spans="1:14" x14ac:dyDescent="0.3">
      <c r="A1264" t="s">
        <v>1310</v>
      </c>
      <c r="B1264" t="s">
        <v>20</v>
      </c>
      <c r="C1264" t="s">
        <v>36</v>
      </c>
      <c r="D1264" t="s">
        <v>59</v>
      </c>
      <c r="E1264" s="1">
        <v>45077</v>
      </c>
      <c r="F1264" s="1">
        <v>45080</v>
      </c>
      <c r="G1264">
        <v>70.5</v>
      </c>
      <c r="H1264">
        <v>159.12</v>
      </c>
      <c r="I1264" t="s">
        <v>15</v>
      </c>
      <c r="J1264">
        <v>800</v>
      </c>
      <c r="K1264">
        <v>3</v>
      </c>
      <c r="L1264" t="str">
        <f>IF(logistics_data[[#This Row],[Delivery_Date]]="","In Transit",
 IF(logistics_data[[#This Row],[Status]]="Lost","Lost",
 IF(logistics_data[[#This Row],[Status]]="Returned","Returned",
 IF(logistics_data[[#This Row],[Status]]="Delayed","Delayed",
 "Delivered"))))</f>
        <v>Delivered</v>
      </c>
      <c r="M1264" s="2">
        <f>logistics_data[[#This Row],[Cost]]/logistics_data[[#This Row],[Distance_miles]]</f>
        <v>0.19889999999999999</v>
      </c>
      <c r="N1264" t="str">
        <f>IF(logistics_data[[#This Row],[Orginal staus of shipment]]&lt;&gt;"Delivered","not applicabel", IF(logistics_data[[#This Row],[Transit_Days]]&gt;=5,"slow","fast"))</f>
        <v>fast</v>
      </c>
    </row>
    <row r="1265" spans="1:14" x14ac:dyDescent="0.3">
      <c r="A1265" t="s">
        <v>1311</v>
      </c>
      <c r="B1265" t="s">
        <v>39</v>
      </c>
      <c r="C1265" t="s">
        <v>40</v>
      </c>
      <c r="D1265" t="s">
        <v>42</v>
      </c>
      <c r="E1265" s="1">
        <v>45172</v>
      </c>
      <c r="F1265" s="1">
        <v>45176</v>
      </c>
      <c r="G1265">
        <v>17</v>
      </c>
      <c r="H1265">
        <v>257.86</v>
      </c>
      <c r="I1265" t="s">
        <v>15</v>
      </c>
      <c r="J1265">
        <v>1985</v>
      </c>
      <c r="K1265">
        <v>4</v>
      </c>
      <c r="L1265" t="str">
        <f>IF(logistics_data[[#This Row],[Delivery_Date]]="","In Transit",
 IF(logistics_data[[#This Row],[Status]]="Lost","Lost",
 IF(logistics_data[[#This Row],[Status]]="Returned","Returned",
 IF(logistics_data[[#This Row],[Status]]="Delayed","Delayed",
 "Delivered"))))</f>
        <v>Delivered</v>
      </c>
      <c r="M1265" s="2">
        <f>logistics_data[[#This Row],[Cost]]/logistics_data[[#This Row],[Distance_miles]]</f>
        <v>0.12990428211586902</v>
      </c>
      <c r="N1265" t="str">
        <f>IF(logistics_data[[#This Row],[Orginal staus of shipment]]&lt;&gt;"Delivered","not applicabel", IF(logistics_data[[#This Row],[Transit_Days]]&gt;=5,"slow","fast"))</f>
        <v>fast</v>
      </c>
    </row>
    <row r="1266" spans="1:14" x14ac:dyDescent="0.3">
      <c r="A1266" t="s">
        <v>1312</v>
      </c>
      <c r="B1266" t="s">
        <v>49</v>
      </c>
      <c r="C1266" t="s">
        <v>36</v>
      </c>
      <c r="D1266" t="s">
        <v>42</v>
      </c>
      <c r="E1266" s="1">
        <v>45147</v>
      </c>
      <c r="F1266" s="1">
        <v>45150</v>
      </c>
      <c r="G1266">
        <v>36.4</v>
      </c>
      <c r="H1266">
        <v>77.58</v>
      </c>
      <c r="I1266" t="s">
        <v>15</v>
      </c>
      <c r="J1266">
        <v>243</v>
      </c>
      <c r="K1266">
        <v>3</v>
      </c>
      <c r="L1266" t="str">
        <f>IF(logistics_data[[#This Row],[Delivery_Date]]="","In Transit",
 IF(logistics_data[[#This Row],[Status]]="Lost","Lost",
 IF(logistics_data[[#This Row],[Status]]="Returned","Returned",
 IF(logistics_data[[#This Row],[Status]]="Delayed","Delayed",
 "Delivered"))))</f>
        <v>Delivered</v>
      </c>
      <c r="M1266" s="2">
        <f>logistics_data[[#This Row],[Cost]]/logistics_data[[#This Row],[Distance_miles]]</f>
        <v>0.31925925925925924</v>
      </c>
      <c r="N1266" t="str">
        <f>IF(logistics_data[[#This Row],[Orginal staus of shipment]]&lt;&gt;"Delivered","not applicabel", IF(logistics_data[[#This Row],[Transit_Days]]&gt;=5,"slow","fast"))</f>
        <v>fast</v>
      </c>
    </row>
    <row r="1267" spans="1:14" x14ac:dyDescent="0.3">
      <c r="A1267" t="s">
        <v>1313</v>
      </c>
      <c r="B1267" t="s">
        <v>23</v>
      </c>
      <c r="C1267" t="s">
        <v>36</v>
      </c>
      <c r="D1267" t="s">
        <v>14</v>
      </c>
      <c r="E1267" s="1">
        <v>45117</v>
      </c>
      <c r="F1267" s="1">
        <v>45124</v>
      </c>
      <c r="G1267">
        <v>16.399999999999999</v>
      </c>
      <c r="H1267">
        <v>265.38</v>
      </c>
      <c r="I1267" t="s">
        <v>15</v>
      </c>
      <c r="J1267">
        <v>1834</v>
      </c>
      <c r="K1267">
        <v>7</v>
      </c>
      <c r="L1267" t="str">
        <f>IF(logistics_data[[#This Row],[Delivery_Date]]="","In Transit",
 IF(logistics_data[[#This Row],[Status]]="Lost","Lost",
 IF(logistics_data[[#This Row],[Status]]="Returned","Returned",
 IF(logistics_data[[#This Row],[Status]]="Delayed","Delayed",
 "Delivered"))))</f>
        <v>Delivered</v>
      </c>
      <c r="M1267" s="2">
        <f>logistics_data[[#This Row],[Cost]]/logistics_data[[#This Row],[Distance_miles]]</f>
        <v>0.14470010905125408</v>
      </c>
      <c r="N1267" t="str">
        <f>IF(logistics_data[[#This Row],[Orginal staus of shipment]]&lt;&gt;"Delivered","not applicabel", IF(logistics_data[[#This Row],[Transit_Days]]&gt;=5,"slow","fast"))</f>
        <v>slow</v>
      </c>
    </row>
    <row r="1268" spans="1:14" x14ac:dyDescent="0.3">
      <c r="A1268" t="s">
        <v>1314</v>
      </c>
      <c r="B1268" t="s">
        <v>49</v>
      </c>
      <c r="C1268" t="s">
        <v>36</v>
      </c>
      <c r="D1268" t="s">
        <v>32</v>
      </c>
      <c r="E1268" s="1">
        <v>45164</v>
      </c>
      <c r="F1268" s="1">
        <v>45168</v>
      </c>
      <c r="G1268">
        <v>16.399999999999999</v>
      </c>
      <c r="H1268">
        <v>240.73</v>
      </c>
      <c r="I1268" t="s">
        <v>15</v>
      </c>
      <c r="J1268">
        <v>1726</v>
      </c>
      <c r="K1268">
        <v>4</v>
      </c>
      <c r="L1268" t="str">
        <f>IF(logistics_data[[#This Row],[Delivery_Date]]="","In Transit",
 IF(logistics_data[[#This Row],[Status]]="Lost","Lost",
 IF(logistics_data[[#This Row],[Status]]="Returned","Returned",
 IF(logistics_data[[#This Row],[Status]]="Delayed","Delayed",
 "Delivered"))))</f>
        <v>Delivered</v>
      </c>
      <c r="M1268" s="2">
        <f>logistics_data[[#This Row],[Cost]]/logistics_data[[#This Row],[Distance_miles]]</f>
        <v>0.13947276940903824</v>
      </c>
      <c r="N1268" t="str">
        <f>IF(logistics_data[[#This Row],[Orginal staus of shipment]]&lt;&gt;"Delivered","not applicabel", IF(logistics_data[[#This Row],[Transit_Days]]&gt;=5,"slow","fast"))</f>
        <v>fast</v>
      </c>
    </row>
    <row r="1269" spans="1:14" x14ac:dyDescent="0.3">
      <c r="A1269" t="s">
        <v>1315</v>
      </c>
      <c r="B1269" t="s">
        <v>20</v>
      </c>
      <c r="C1269" t="s">
        <v>36</v>
      </c>
      <c r="D1269" t="s">
        <v>37</v>
      </c>
      <c r="E1269" s="1">
        <v>44957</v>
      </c>
      <c r="F1269" s="1">
        <v>44960</v>
      </c>
      <c r="G1269">
        <v>9.6</v>
      </c>
      <c r="H1269">
        <v>153.94999999999999</v>
      </c>
      <c r="I1269" t="s">
        <v>15</v>
      </c>
      <c r="J1269">
        <v>1168</v>
      </c>
      <c r="K1269">
        <v>3</v>
      </c>
      <c r="L1269" t="str">
        <f>IF(logistics_data[[#This Row],[Delivery_Date]]="","In Transit",
 IF(logistics_data[[#This Row],[Status]]="Lost","Lost",
 IF(logistics_data[[#This Row],[Status]]="Returned","Returned",
 IF(logistics_data[[#This Row],[Status]]="Delayed","Delayed",
 "Delivered"))))</f>
        <v>Delivered</v>
      </c>
      <c r="M1269" s="2">
        <f>logistics_data[[#This Row],[Cost]]/logistics_data[[#This Row],[Distance_miles]]</f>
        <v>0.13180650684931505</v>
      </c>
      <c r="N1269" t="str">
        <f>IF(logistics_data[[#This Row],[Orginal staus of shipment]]&lt;&gt;"Delivered","not applicabel", IF(logistics_data[[#This Row],[Transit_Days]]&gt;=5,"slow","fast"))</f>
        <v>fast</v>
      </c>
    </row>
    <row r="1270" spans="1:14" x14ac:dyDescent="0.3">
      <c r="A1270" t="s">
        <v>1316</v>
      </c>
      <c r="B1270" t="s">
        <v>39</v>
      </c>
      <c r="C1270" t="s">
        <v>21</v>
      </c>
      <c r="D1270" t="s">
        <v>37</v>
      </c>
      <c r="E1270" s="1">
        <v>45102</v>
      </c>
      <c r="F1270" s="1">
        <v>45104</v>
      </c>
      <c r="G1270">
        <v>26.1</v>
      </c>
      <c r="H1270">
        <v>142.55000000000001</v>
      </c>
      <c r="I1270" t="s">
        <v>15</v>
      </c>
      <c r="J1270">
        <v>880</v>
      </c>
      <c r="K1270">
        <v>2</v>
      </c>
      <c r="L1270" t="str">
        <f>IF(logistics_data[[#This Row],[Delivery_Date]]="","In Transit",
 IF(logistics_data[[#This Row],[Status]]="Lost","Lost",
 IF(logistics_data[[#This Row],[Status]]="Returned","Returned",
 IF(logistics_data[[#This Row],[Status]]="Delayed","Delayed",
 "Delivered"))))</f>
        <v>Delivered</v>
      </c>
      <c r="M1270" s="2">
        <f>logistics_data[[#This Row],[Cost]]/logistics_data[[#This Row],[Distance_miles]]</f>
        <v>0.16198863636363639</v>
      </c>
      <c r="N1270" t="str">
        <f>IF(logistics_data[[#This Row],[Orginal staus of shipment]]&lt;&gt;"Delivered","not applicabel", IF(logistics_data[[#This Row],[Transit_Days]]&gt;=5,"slow","fast"))</f>
        <v>fast</v>
      </c>
    </row>
    <row r="1271" spans="1:14" x14ac:dyDescent="0.3">
      <c r="A1271" t="s">
        <v>1317</v>
      </c>
      <c r="B1271" t="s">
        <v>35</v>
      </c>
      <c r="C1271" t="s">
        <v>57</v>
      </c>
      <c r="D1271" t="s">
        <v>25</v>
      </c>
      <c r="E1271" s="1">
        <v>44967</v>
      </c>
      <c r="F1271" s="1">
        <v>44969</v>
      </c>
      <c r="G1271">
        <v>21.6</v>
      </c>
      <c r="H1271">
        <v>60.18</v>
      </c>
      <c r="I1271" t="s">
        <v>15</v>
      </c>
      <c r="J1271">
        <v>267</v>
      </c>
      <c r="K1271">
        <v>2</v>
      </c>
      <c r="L1271" t="str">
        <f>IF(logistics_data[[#This Row],[Delivery_Date]]="","In Transit",
 IF(logistics_data[[#This Row],[Status]]="Lost","Lost",
 IF(logistics_data[[#This Row],[Status]]="Returned","Returned",
 IF(logistics_data[[#This Row],[Status]]="Delayed","Delayed",
 "Delivered"))))</f>
        <v>Delivered</v>
      </c>
      <c r="M1271" s="2">
        <f>logistics_data[[#This Row],[Cost]]/logistics_data[[#This Row],[Distance_miles]]</f>
        <v>0.22539325842696628</v>
      </c>
      <c r="N1271" t="str">
        <f>IF(logistics_data[[#This Row],[Orginal staus of shipment]]&lt;&gt;"Delivered","not applicabel", IF(logistics_data[[#This Row],[Transit_Days]]&gt;=5,"slow","fast"))</f>
        <v>fast</v>
      </c>
    </row>
    <row r="1272" spans="1:14" x14ac:dyDescent="0.3">
      <c r="A1272" t="s">
        <v>1318</v>
      </c>
      <c r="B1272" t="s">
        <v>35</v>
      </c>
      <c r="C1272" t="s">
        <v>46</v>
      </c>
      <c r="D1272" t="s">
        <v>42</v>
      </c>
      <c r="E1272" s="1">
        <v>45111</v>
      </c>
      <c r="F1272" s="1">
        <v>45114</v>
      </c>
      <c r="G1272">
        <v>19.3</v>
      </c>
      <c r="H1272">
        <v>163.72999999999999</v>
      </c>
      <c r="I1272" t="s">
        <v>15</v>
      </c>
      <c r="J1272">
        <v>1097</v>
      </c>
      <c r="K1272">
        <v>3</v>
      </c>
      <c r="L1272" t="str">
        <f>IF(logistics_data[[#This Row],[Delivery_Date]]="","In Transit",
 IF(logistics_data[[#This Row],[Status]]="Lost","Lost",
 IF(logistics_data[[#This Row],[Status]]="Returned","Returned",
 IF(logistics_data[[#This Row],[Status]]="Delayed","Delayed",
 "Delivered"))))</f>
        <v>Delivered</v>
      </c>
      <c r="M1272" s="2">
        <f>logistics_data[[#This Row],[Cost]]/logistics_data[[#This Row],[Distance_miles]]</f>
        <v>0.1492525068368277</v>
      </c>
      <c r="N1272" t="str">
        <f>IF(logistics_data[[#This Row],[Orginal staus of shipment]]&lt;&gt;"Delivered","not applicabel", IF(logistics_data[[#This Row],[Transit_Days]]&gt;=5,"slow","fast"))</f>
        <v>fast</v>
      </c>
    </row>
    <row r="1273" spans="1:14" x14ac:dyDescent="0.3">
      <c r="A1273" t="s">
        <v>1319</v>
      </c>
      <c r="B1273" t="s">
        <v>23</v>
      </c>
      <c r="C1273" t="s">
        <v>40</v>
      </c>
      <c r="D1273" t="s">
        <v>14</v>
      </c>
      <c r="E1273" s="1">
        <v>45085</v>
      </c>
      <c r="F1273" s="1">
        <v>45087</v>
      </c>
      <c r="G1273">
        <v>10.5</v>
      </c>
      <c r="H1273">
        <v>56.72</v>
      </c>
      <c r="I1273" t="s">
        <v>15</v>
      </c>
      <c r="J1273">
        <v>329</v>
      </c>
      <c r="K1273">
        <v>2</v>
      </c>
      <c r="L1273" t="str">
        <f>IF(logistics_data[[#This Row],[Delivery_Date]]="","In Transit",
 IF(logistics_data[[#This Row],[Status]]="Lost","Lost",
 IF(logistics_data[[#This Row],[Status]]="Returned","Returned",
 IF(logistics_data[[#This Row],[Status]]="Delayed","Delayed",
 "Delivered"))))</f>
        <v>Delivered</v>
      </c>
      <c r="M1273" s="2">
        <f>logistics_data[[#This Row],[Cost]]/logistics_data[[#This Row],[Distance_miles]]</f>
        <v>0.17240121580547113</v>
      </c>
      <c r="N1273" t="str">
        <f>IF(logistics_data[[#This Row],[Orginal staus of shipment]]&lt;&gt;"Delivered","not applicabel", IF(logistics_data[[#This Row],[Transit_Days]]&gt;=5,"slow","fast"))</f>
        <v>fast</v>
      </c>
    </row>
    <row r="1274" spans="1:14" x14ac:dyDescent="0.3">
      <c r="A1274" t="s">
        <v>1320</v>
      </c>
      <c r="B1274" t="s">
        <v>30</v>
      </c>
      <c r="C1274" t="s">
        <v>24</v>
      </c>
      <c r="D1274" t="s">
        <v>32</v>
      </c>
      <c r="E1274" s="1">
        <v>45262</v>
      </c>
      <c r="F1274" s="1">
        <v>45266</v>
      </c>
      <c r="G1274">
        <v>30.9</v>
      </c>
      <c r="H1274">
        <v>196.94</v>
      </c>
      <c r="I1274" t="s">
        <v>15</v>
      </c>
      <c r="J1274">
        <v>880</v>
      </c>
      <c r="K1274">
        <v>4</v>
      </c>
      <c r="L1274" t="str">
        <f>IF(logistics_data[[#This Row],[Delivery_Date]]="","In Transit",
 IF(logistics_data[[#This Row],[Status]]="Lost","Lost",
 IF(logistics_data[[#This Row],[Status]]="Returned","Returned",
 IF(logistics_data[[#This Row],[Status]]="Delayed","Delayed",
 "Delivered"))))</f>
        <v>Delivered</v>
      </c>
      <c r="M1274" s="2">
        <f>logistics_data[[#This Row],[Cost]]/logistics_data[[#This Row],[Distance_miles]]</f>
        <v>0.22379545454545455</v>
      </c>
      <c r="N1274" t="str">
        <f>IF(logistics_data[[#This Row],[Orginal staus of shipment]]&lt;&gt;"Delivered","not applicabel", IF(logistics_data[[#This Row],[Transit_Days]]&gt;=5,"slow","fast"))</f>
        <v>fast</v>
      </c>
    </row>
    <row r="1275" spans="1:14" x14ac:dyDescent="0.3">
      <c r="A1275" t="s">
        <v>1321</v>
      </c>
      <c r="B1275" t="s">
        <v>39</v>
      </c>
      <c r="C1275" t="s">
        <v>70</v>
      </c>
      <c r="D1275" t="s">
        <v>42</v>
      </c>
      <c r="E1275" s="1">
        <v>44943</v>
      </c>
      <c r="F1275" s="1">
        <v>44946</v>
      </c>
      <c r="G1275">
        <v>12</v>
      </c>
      <c r="H1275">
        <v>59.08</v>
      </c>
      <c r="I1275" t="s">
        <v>62</v>
      </c>
      <c r="J1275">
        <v>376</v>
      </c>
      <c r="K1275">
        <v>3</v>
      </c>
      <c r="L1275" t="str">
        <f>IF(logistics_data[[#This Row],[Delivery_Date]]="","In Transit",
 IF(logistics_data[[#This Row],[Status]]="Lost","Lost",
 IF(logistics_data[[#This Row],[Status]]="Returned","Returned",
 IF(logistics_data[[#This Row],[Status]]="Delayed","Delayed",
 "Delivered"))))</f>
        <v>Delivered</v>
      </c>
      <c r="M1275" s="2">
        <f>logistics_data[[#This Row],[Cost]]/logistics_data[[#This Row],[Distance_miles]]</f>
        <v>0.15712765957446809</v>
      </c>
      <c r="N1275" t="str">
        <f>IF(logistics_data[[#This Row],[Orginal staus of shipment]]&lt;&gt;"Delivered","not applicabel", IF(logistics_data[[#This Row],[Transit_Days]]&gt;=5,"slow","fast"))</f>
        <v>fast</v>
      </c>
    </row>
    <row r="1276" spans="1:14" x14ac:dyDescent="0.3">
      <c r="A1276" t="s">
        <v>1322</v>
      </c>
      <c r="B1276" t="s">
        <v>39</v>
      </c>
      <c r="C1276" t="s">
        <v>40</v>
      </c>
      <c r="D1276" t="s">
        <v>32</v>
      </c>
      <c r="E1276" s="1">
        <v>45271</v>
      </c>
      <c r="F1276" s="1">
        <v>45279</v>
      </c>
      <c r="G1276">
        <v>13.7</v>
      </c>
      <c r="H1276">
        <v>383.07</v>
      </c>
      <c r="I1276" t="s">
        <v>15</v>
      </c>
      <c r="J1276">
        <v>2205</v>
      </c>
      <c r="K1276">
        <v>8</v>
      </c>
      <c r="L1276" t="str">
        <f>IF(logistics_data[[#This Row],[Delivery_Date]]="","In Transit",
 IF(logistics_data[[#This Row],[Status]]="Lost","Lost",
 IF(logistics_data[[#This Row],[Status]]="Returned","Returned",
 IF(logistics_data[[#This Row],[Status]]="Delayed","Delayed",
 "Delivered"))))</f>
        <v>Delivered</v>
      </c>
      <c r="M1276" s="2">
        <f>logistics_data[[#This Row],[Cost]]/logistics_data[[#This Row],[Distance_miles]]</f>
        <v>0.17372789115646259</v>
      </c>
      <c r="N1276" t="str">
        <f>IF(logistics_data[[#This Row],[Orginal staus of shipment]]&lt;&gt;"Delivered","not applicabel", IF(logistics_data[[#This Row],[Transit_Days]]&gt;=5,"slow","fast"))</f>
        <v>slow</v>
      </c>
    </row>
    <row r="1277" spans="1:14" x14ac:dyDescent="0.3">
      <c r="A1277" t="s">
        <v>1323</v>
      </c>
      <c r="B1277" t="s">
        <v>20</v>
      </c>
      <c r="C1277" t="s">
        <v>44</v>
      </c>
      <c r="D1277" t="s">
        <v>32</v>
      </c>
      <c r="E1277" s="1">
        <v>44934</v>
      </c>
      <c r="F1277" s="1">
        <v>44936</v>
      </c>
      <c r="G1277">
        <v>48.3</v>
      </c>
      <c r="H1277">
        <v>146.26</v>
      </c>
      <c r="I1277" t="s">
        <v>62</v>
      </c>
      <c r="J1277">
        <v>545</v>
      </c>
      <c r="K1277">
        <v>2</v>
      </c>
      <c r="L1277" t="str">
        <f>IF(logistics_data[[#This Row],[Delivery_Date]]="","In Transit",
 IF(logistics_data[[#This Row],[Status]]="Lost","Lost",
 IF(logistics_data[[#This Row],[Status]]="Returned","Returned",
 IF(logistics_data[[#This Row],[Status]]="Delayed","Delayed",
 "Delivered"))))</f>
        <v>Delivered</v>
      </c>
      <c r="M1277" s="2">
        <f>logistics_data[[#This Row],[Cost]]/logistics_data[[#This Row],[Distance_miles]]</f>
        <v>0.2683669724770642</v>
      </c>
      <c r="N1277" t="str">
        <f>IF(logistics_data[[#This Row],[Orginal staus of shipment]]&lt;&gt;"Delivered","not applicabel", IF(logistics_data[[#This Row],[Transit_Days]]&gt;=5,"slow","fast"))</f>
        <v>fast</v>
      </c>
    </row>
    <row r="1278" spans="1:14" x14ac:dyDescent="0.3">
      <c r="A1278" t="s">
        <v>1324</v>
      </c>
      <c r="B1278" t="s">
        <v>35</v>
      </c>
      <c r="C1278" t="s">
        <v>46</v>
      </c>
      <c r="D1278" t="s">
        <v>37</v>
      </c>
      <c r="E1278" s="1">
        <v>45180</v>
      </c>
      <c r="F1278" s="1">
        <v>45191</v>
      </c>
      <c r="G1278">
        <v>63.6</v>
      </c>
      <c r="H1278">
        <v>171.47</v>
      </c>
      <c r="I1278" t="s">
        <v>47</v>
      </c>
      <c r="J1278">
        <v>737</v>
      </c>
      <c r="K1278">
        <v>2</v>
      </c>
      <c r="L1278" t="str">
        <f>IF(logistics_data[[#This Row],[Delivery_Date]]="","In Transit",
 IF(logistics_data[[#This Row],[Status]]="Lost","Lost",
 IF(logistics_data[[#This Row],[Status]]="Returned","Returned",
 IF(logistics_data[[#This Row],[Status]]="Delayed","Delayed",
 "Delivered"))))</f>
        <v>Delayed</v>
      </c>
      <c r="M1278" s="2">
        <f>logistics_data[[#This Row],[Cost]]/logistics_data[[#This Row],[Distance_miles]]</f>
        <v>0.23265943012211668</v>
      </c>
      <c r="N1278" t="str">
        <f>IF(logistics_data[[#This Row],[Orginal staus of shipment]]&lt;&gt;"Delivered","not applicabel", IF(logistics_data[[#This Row],[Transit_Days]]&gt;=5,"slow","fast"))</f>
        <v>not applicabel</v>
      </c>
    </row>
    <row r="1279" spans="1:14" x14ac:dyDescent="0.3">
      <c r="A1279" t="s">
        <v>1325</v>
      </c>
      <c r="B1279" t="s">
        <v>20</v>
      </c>
      <c r="C1279" t="s">
        <v>57</v>
      </c>
      <c r="D1279" t="s">
        <v>59</v>
      </c>
      <c r="E1279" s="1">
        <v>45062</v>
      </c>
      <c r="F1279" s="1">
        <v>45069</v>
      </c>
      <c r="G1279">
        <v>24</v>
      </c>
      <c r="H1279">
        <v>307.61</v>
      </c>
      <c r="I1279" t="s">
        <v>15</v>
      </c>
      <c r="J1279">
        <v>2479</v>
      </c>
      <c r="K1279">
        <v>7</v>
      </c>
      <c r="L1279" t="str">
        <f>IF(logistics_data[[#This Row],[Delivery_Date]]="","In Transit",
 IF(logistics_data[[#This Row],[Status]]="Lost","Lost",
 IF(logistics_data[[#This Row],[Status]]="Returned","Returned",
 IF(logistics_data[[#This Row],[Status]]="Delayed","Delayed",
 "Delivered"))))</f>
        <v>Delivered</v>
      </c>
      <c r="M1279" s="2">
        <f>logistics_data[[#This Row],[Cost]]/logistics_data[[#This Row],[Distance_miles]]</f>
        <v>0.12408632513110125</v>
      </c>
      <c r="N1279" t="str">
        <f>IF(logistics_data[[#This Row],[Orginal staus of shipment]]&lt;&gt;"Delivered","not applicabel", IF(logistics_data[[#This Row],[Transit_Days]]&gt;=5,"slow","fast"))</f>
        <v>slow</v>
      </c>
    </row>
    <row r="1280" spans="1:14" x14ac:dyDescent="0.3">
      <c r="A1280" t="s">
        <v>1326</v>
      </c>
      <c r="B1280" t="s">
        <v>20</v>
      </c>
      <c r="C1280" t="s">
        <v>28</v>
      </c>
      <c r="D1280" t="s">
        <v>42</v>
      </c>
      <c r="E1280" s="1">
        <v>45233</v>
      </c>
      <c r="F1280" s="1">
        <v>45238</v>
      </c>
      <c r="G1280">
        <v>35.700000000000003</v>
      </c>
      <c r="H1280">
        <v>268.47000000000003</v>
      </c>
      <c r="I1280" t="s">
        <v>15</v>
      </c>
      <c r="J1280">
        <v>1435</v>
      </c>
      <c r="K1280">
        <v>5</v>
      </c>
      <c r="L1280" t="str">
        <f>IF(logistics_data[[#This Row],[Delivery_Date]]="","In Transit",
 IF(logistics_data[[#This Row],[Status]]="Lost","Lost",
 IF(logistics_data[[#This Row],[Status]]="Returned","Returned",
 IF(logistics_data[[#This Row],[Status]]="Delayed","Delayed",
 "Delivered"))))</f>
        <v>Delivered</v>
      </c>
      <c r="M1280" s="2">
        <f>logistics_data[[#This Row],[Cost]]/logistics_data[[#This Row],[Distance_miles]]</f>
        <v>0.1870871080139373</v>
      </c>
      <c r="N1280" t="str">
        <f>IF(logistics_data[[#This Row],[Orginal staus of shipment]]&lt;&gt;"Delivered","not applicabel", IF(logistics_data[[#This Row],[Transit_Days]]&gt;=5,"slow","fast"))</f>
        <v>slow</v>
      </c>
    </row>
    <row r="1281" spans="1:14" x14ac:dyDescent="0.3">
      <c r="A1281" t="s">
        <v>1327</v>
      </c>
      <c r="B1281" t="s">
        <v>39</v>
      </c>
      <c r="C1281" t="s">
        <v>40</v>
      </c>
      <c r="D1281" t="s">
        <v>14</v>
      </c>
      <c r="E1281" s="1">
        <v>45130</v>
      </c>
      <c r="F1281" s="1">
        <v>45134</v>
      </c>
      <c r="G1281">
        <v>33.4</v>
      </c>
      <c r="H1281">
        <v>131.33000000000001</v>
      </c>
      <c r="I1281" t="s">
        <v>15</v>
      </c>
      <c r="J1281">
        <v>662</v>
      </c>
      <c r="K1281">
        <v>4</v>
      </c>
      <c r="L1281" t="str">
        <f>IF(logistics_data[[#This Row],[Delivery_Date]]="","In Transit",
 IF(logistics_data[[#This Row],[Status]]="Lost","Lost",
 IF(logistics_data[[#This Row],[Status]]="Returned","Returned",
 IF(logistics_data[[#This Row],[Status]]="Delayed","Delayed",
 "Delivered"))))</f>
        <v>Delivered</v>
      </c>
      <c r="M1281" s="2">
        <f>logistics_data[[#This Row],[Cost]]/logistics_data[[#This Row],[Distance_miles]]</f>
        <v>0.19838368580060425</v>
      </c>
      <c r="N1281" t="str">
        <f>IF(logistics_data[[#This Row],[Orginal staus of shipment]]&lt;&gt;"Delivered","not applicabel", IF(logistics_data[[#This Row],[Transit_Days]]&gt;=5,"slow","fast"))</f>
        <v>fast</v>
      </c>
    </row>
    <row r="1282" spans="1:14" x14ac:dyDescent="0.3">
      <c r="A1282" t="s">
        <v>1328</v>
      </c>
      <c r="B1282" t="s">
        <v>39</v>
      </c>
      <c r="C1282" t="s">
        <v>36</v>
      </c>
      <c r="D1282" t="s">
        <v>59</v>
      </c>
      <c r="E1282" s="1">
        <v>45255</v>
      </c>
      <c r="F1282" s="1">
        <v>45263</v>
      </c>
      <c r="G1282">
        <v>110.7</v>
      </c>
      <c r="H1282">
        <v>429.91</v>
      </c>
      <c r="I1282" t="s">
        <v>67</v>
      </c>
      <c r="J1282">
        <v>1985</v>
      </c>
      <c r="K1282">
        <v>8</v>
      </c>
      <c r="L1282" t="str">
        <f>IF(logistics_data[[#This Row],[Delivery_Date]]="","In Transit",
 IF(logistics_data[[#This Row],[Status]]="Lost","Lost",
 IF(logistics_data[[#This Row],[Status]]="Returned","Returned",
 IF(logistics_data[[#This Row],[Status]]="Delayed","Delayed",
 "Delivered"))))</f>
        <v>Returned</v>
      </c>
      <c r="M1282" s="2">
        <f>logistics_data[[#This Row],[Cost]]/logistics_data[[#This Row],[Distance_miles]]</f>
        <v>0.21657934508816123</v>
      </c>
      <c r="N1282" t="str">
        <f>IF(logistics_data[[#This Row],[Orginal staus of shipment]]&lt;&gt;"Delivered","not applicabel", IF(logistics_data[[#This Row],[Transit_Days]]&gt;=5,"slow","fast"))</f>
        <v>not applicabel</v>
      </c>
    </row>
    <row r="1283" spans="1:14" x14ac:dyDescent="0.3">
      <c r="A1283" t="s">
        <v>1329</v>
      </c>
      <c r="B1283" t="s">
        <v>51</v>
      </c>
      <c r="C1283" t="s">
        <v>40</v>
      </c>
      <c r="D1283" t="s">
        <v>25</v>
      </c>
      <c r="E1283" s="1">
        <v>45191</v>
      </c>
      <c r="F1283" s="1">
        <v>45211</v>
      </c>
      <c r="G1283">
        <v>22.5</v>
      </c>
      <c r="H1283">
        <v>304.33999999999997</v>
      </c>
      <c r="I1283" t="s">
        <v>47</v>
      </c>
      <c r="J1283">
        <v>2161</v>
      </c>
      <c r="K1283">
        <v>7</v>
      </c>
      <c r="L1283" t="str">
        <f>IF(logistics_data[[#This Row],[Delivery_Date]]="","In Transit",
 IF(logistics_data[[#This Row],[Status]]="Lost","Lost",
 IF(logistics_data[[#This Row],[Status]]="Returned","Returned",
 IF(logistics_data[[#This Row],[Status]]="Delayed","Delayed",
 "Delivered"))))</f>
        <v>Delayed</v>
      </c>
      <c r="M1283" s="2">
        <f>logistics_data[[#This Row],[Cost]]/logistics_data[[#This Row],[Distance_miles]]</f>
        <v>0.14083294770939378</v>
      </c>
      <c r="N1283" t="str">
        <f>IF(logistics_data[[#This Row],[Orginal staus of shipment]]&lt;&gt;"Delivered","not applicabel", IF(logistics_data[[#This Row],[Transit_Days]]&gt;=5,"slow","fast"))</f>
        <v>not applicabel</v>
      </c>
    </row>
    <row r="1284" spans="1:14" x14ac:dyDescent="0.3">
      <c r="A1284" t="s">
        <v>1330</v>
      </c>
      <c r="B1284" t="s">
        <v>30</v>
      </c>
      <c r="C1284" t="s">
        <v>54</v>
      </c>
      <c r="D1284" t="s">
        <v>59</v>
      </c>
      <c r="E1284" s="1">
        <v>45210</v>
      </c>
      <c r="F1284" s="1">
        <v>45180</v>
      </c>
      <c r="G1284">
        <v>3.3</v>
      </c>
      <c r="H1284">
        <v>80</v>
      </c>
      <c r="I1284" t="s">
        <v>15</v>
      </c>
      <c r="J1284">
        <v>677</v>
      </c>
      <c r="K1284">
        <v>4</v>
      </c>
      <c r="L1284" t="str">
        <f>IF(logistics_data[[#This Row],[Delivery_Date]]="","In Transit",
 IF(logistics_data[[#This Row],[Status]]="Lost","Lost",
 IF(logistics_data[[#This Row],[Status]]="Returned","Returned",
 IF(logistics_data[[#This Row],[Status]]="Delayed","Delayed",
 "Delivered"))))</f>
        <v>Delivered</v>
      </c>
      <c r="M1284" s="2">
        <f>logistics_data[[#This Row],[Cost]]/logistics_data[[#This Row],[Distance_miles]]</f>
        <v>0.11816838995568685</v>
      </c>
      <c r="N1284" t="str">
        <f>IF(logistics_data[[#This Row],[Orginal staus of shipment]]&lt;&gt;"Delivered","not applicabel", IF(logistics_data[[#This Row],[Transit_Days]]&gt;=5,"slow","fast"))</f>
        <v>fast</v>
      </c>
    </row>
    <row r="1285" spans="1:14" x14ac:dyDescent="0.3">
      <c r="A1285" t="s">
        <v>1331</v>
      </c>
      <c r="B1285" t="s">
        <v>30</v>
      </c>
      <c r="C1285" t="s">
        <v>57</v>
      </c>
      <c r="D1285" t="s">
        <v>32</v>
      </c>
      <c r="E1285" s="1">
        <v>44956</v>
      </c>
      <c r="F1285" s="1">
        <v>44960</v>
      </c>
      <c r="G1285">
        <v>40.1</v>
      </c>
      <c r="H1285">
        <v>122.44</v>
      </c>
      <c r="I1285" t="s">
        <v>15</v>
      </c>
      <c r="J1285">
        <v>454</v>
      </c>
      <c r="K1285">
        <v>4</v>
      </c>
      <c r="L1285" t="str">
        <f>IF(logistics_data[[#This Row],[Delivery_Date]]="","In Transit",
 IF(logistics_data[[#This Row],[Status]]="Lost","Lost",
 IF(logistics_data[[#This Row],[Status]]="Returned","Returned",
 IF(logistics_data[[#This Row],[Status]]="Delayed","Delayed",
 "Delivered"))))</f>
        <v>Delivered</v>
      </c>
      <c r="M1285" s="2">
        <f>logistics_data[[#This Row],[Cost]]/logistics_data[[#This Row],[Distance_miles]]</f>
        <v>0.26969162995594714</v>
      </c>
      <c r="N1285" t="str">
        <f>IF(logistics_data[[#This Row],[Orginal staus of shipment]]&lt;&gt;"Delivered","not applicabel", IF(logistics_data[[#This Row],[Transit_Days]]&gt;=5,"slow","fast"))</f>
        <v>fast</v>
      </c>
    </row>
    <row r="1286" spans="1:14" x14ac:dyDescent="0.3">
      <c r="A1286" t="s">
        <v>1332</v>
      </c>
      <c r="B1286" t="s">
        <v>39</v>
      </c>
      <c r="C1286" t="s">
        <v>52</v>
      </c>
      <c r="D1286" t="s">
        <v>25</v>
      </c>
      <c r="E1286" s="1">
        <v>45236</v>
      </c>
      <c r="F1286" s="1">
        <v>45240</v>
      </c>
      <c r="G1286">
        <v>13.6</v>
      </c>
      <c r="H1286">
        <v>233.78</v>
      </c>
      <c r="I1286" t="s">
        <v>15</v>
      </c>
      <c r="J1286">
        <v>1402</v>
      </c>
      <c r="K1286">
        <v>4</v>
      </c>
      <c r="L1286" t="str">
        <f>IF(logistics_data[[#This Row],[Delivery_Date]]="","In Transit",
 IF(logistics_data[[#This Row],[Status]]="Lost","Lost",
 IF(logistics_data[[#This Row],[Status]]="Returned","Returned",
 IF(logistics_data[[#This Row],[Status]]="Delayed","Delayed",
 "Delivered"))))</f>
        <v>Delivered</v>
      </c>
      <c r="M1286" s="2">
        <f>logistics_data[[#This Row],[Cost]]/logistics_data[[#This Row],[Distance_miles]]</f>
        <v>0.1667475035663338</v>
      </c>
      <c r="N1286" t="str">
        <f>IF(logistics_data[[#This Row],[Orginal staus of shipment]]&lt;&gt;"Delivered","not applicabel", IF(logistics_data[[#This Row],[Transit_Days]]&gt;=5,"slow","fast"))</f>
        <v>fast</v>
      </c>
    </row>
    <row r="1287" spans="1:14" x14ac:dyDescent="0.3">
      <c r="A1287" t="s">
        <v>1333</v>
      </c>
      <c r="B1287" t="s">
        <v>27</v>
      </c>
      <c r="C1287" t="s">
        <v>54</v>
      </c>
      <c r="D1287" t="s">
        <v>18</v>
      </c>
      <c r="E1287" s="1">
        <v>45133</v>
      </c>
      <c r="F1287" s="1">
        <v>45136</v>
      </c>
      <c r="G1287">
        <v>24.5</v>
      </c>
      <c r="H1287">
        <v>70.28</v>
      </c>
      <c r="I1287" t="s">
        <v>15</v>
      </c>
      <c r="J1287">
        <v>244</v>
      </c>
      <c r="K1287">
        <v>3</v>
      </c>
      <c r="L1287" t="str">
        <f>IF(logistics_data[[#This Row],[Delivery_Date]]="","In Transit",
 IF(logistics_data[[#This Row],[Status]]="Lost","Lost",
 IF(logistics_data[[#This Row],[Status]]="Returned","Returned",
 IF(logistics_data[[#This Row],[Status]]="Delayed","Delayed",
 "Delivered"))))</f>
        <v>Delivered</v>
      </c>
      <c r="M1287" s="2">
        <f>logistics_data[[#This Row],[Cost]]/logistics_data[[#This Row],[Distance_miles]]</f>
        <v>0.28803278688524592</v>
      </c>
      <c r="N1287" t="str">
        <f>IF(logistics_data[[#This Row],[Orginal staus of shipment]]&lt;&gt;"Delivered","not applicabel", IF(logistics_data[[#This Row],[Transit_Days]]&gt;=5,"slow","fast"))</f>
        <v>fast</v>
      </c>
    </row>
    <row r="1288" spans="1:14" x14ac:dyDescent="0.3">
      <c r="A1288" t="s">
        <v>1334</v>
      </c>
      <c r="B1288" t="s">
        <v>20</v>
      </c>
      <c r="C1288" t="s">
        <v>44</v>
      </c>
      <c r="D1288" t="s">
        <v>25</v>
      </c>
      <c r="E1288" s="1">
        <v>45169</v>
      </c>
      <c r="F1288" s="1">
        <v>45172</v>
      </c>
      <c r="G1288">
        <v>23.1</v>
      </c>
      <c r="H1288">
        <v>157.08000000000001</v>
      </c>
      <c r="I1288" t="s">
        <v>15</v>
      </c>
      <c r="J1288">
        <v>1139</v>
      </c>
      <c r="K1288">
        <v>3</v>
      </c>
      <c r="L1288" t="str">
        <f>IF(logistics_data[[#This Row],[Delivery_Date]]="","In Transit",
 IF(logistics_data[[#This Row],[Status]]="Lost","Lost",
 IF(logistics_data[[#This Row],[Status]]="Returned","Returned",
 IF(logistics_data[[#This Row],[Status]]="Delayed","Delayed",
 "Delivered"))))</f>
        <v>Delivered</v>
      </c>
      <c r="M1288" s="2">
        <f>logistics_data[[#This Row],[Cost]]/logistics_data[[#This Row],[Distance_miles]]</f>
        <v>0.13791044776119404</v>
      </c>
      <c r="N1288" t="str">
        <f>IF(logistics_data[[#This Row],[Orginal staus of shipment]]&lt;&gt;"Delivered","not applicabel", IF(logistics_data[[#This Row],[Transit_Days]]&gt;=5,"slow","fast"))</f>
        <v>fast</v>
      </c>
    </row>
    <row r="1289" spans="1:14" x14ac:dyDescent="0.3">
      <c r="A1289" t="s">
        <v>1335</v>
      </c>
      <c r="B1289" t="s">
        <v>39</v>
      </c>
      <c r="C1289" t="s">
        <v>13</v>
      </c>
      <c r="D1289" t="s">
        <v>42</v>
      </c>
      <c r="E1289" s="1">
        <v>45112</v>
      </c>
      <c r="F1289" s="1">
        <v>45113</v>
      </c>
      <c r="G1289">
        <v>56.4</v>
      </c>
      <c r="H1289">
        <v>141.61000000000001</v>
      </c>
      <c r="I1289" t="s">
        <v>15</v>
      </c>
      <c r="J1289">
        <v>531</v>
      </c>
      <c r="K1289">
        <v>1</v>
      </c>
      <c r="L1289" t="str">
        <f>IF(logistics_data[[#This Row],[Delivery_Date]]="","In Transit",
 IF(logistics_data[[#This Row],[Status]]="Lost","Lost",
 IF(logistics_data[[#This Row],[Status]]="Returned","Returned",
 IF(logistics_data[[#This Row],[Status]]="Delayed","Delayed",
 "Delivered"))))</f>
        <v>Delivered</v>
      </c>
      <c r="M1289" s="2">
        <f>logistics_data[[#This Row],[Cost]]/logistics_data[[#This Row],[Distance_miles]]</f>
        <v>0.26668549905838046</v>
      </c>
      <c r="N1289" t="str">
        <f>IF(logistics_data[[#This Row],[Orginal staus of shipment]]&lt;&gt;"Delivered","not applicabel", IF(logistics_data[[#This Row],[Transit_Days]]&gt;=5,"slow","fast"))</f>
        <v>fast</v>
      </c>
    </row>
    <row r="1290" spans="1:14" x14ac:dyDescent="0.3">
      <c r="A1290" t="s">
        <v>1336</v>
      </c>
      <c r="B1290" t="s">
        <v>30</v>
      </c>
      <c r="C1290" t="s">
        <v>17</v>
      </c>
      <c r="D1290" t="s">
        <v>14</v>
      </c>
      <c r="E1290" s="1">
        <v>44990</v>
      </c>
      <c r="F1290" s="1">
        <v>44993</v>
      </c>
      <c r="G1290">
        <v>29.4</v>
      </c>
      <c r="H1290">
        <v>124.1</v>
      </c>
      <c r="I1290" t="s">
        <v>15</v>
      </c>
      <c r="J1290">
        <v>796</v>
      </c>
      <c r="K1290">
        <v>3</v>
      </c>
      <c r="L1290" t="str">
        <f>IF(logistics_data[[#This Row],[Delivery_Date]]="","In Transit",
 IF(logistics_data[[#This Row],[Status]]="Lost","Lost",
 IF(logistics_data[[#This Row],[Status]]="Returned","Returned",
 IF(logistics_data[[#This Row],[Status]]="Delayed","Delayed",
 "Delivered"))))</f>
        <v>Delivered</v>
      </c>
      <c r="M1290" s="2">
        <f>logistics_data[[#This Row],[Cost]]/logistics_data[[#This Row],[Distance_miles]]</f>
        <v>0.15590452261306531</v>
      </c>
      <c r="N1290" t="str">
        <f>IF(logistics_data[[#This Row],[Orginal staus of shipment]]&lt;&gt;"Delivered","not applicabel", IF(logistics_data[[#This Row],[Transit_Days]]&gt;=5,"slow","fast"))</f>
        <v>fast</v>
      </c>
    </row>
    <row r="1291" spans="1:14" x14ac:dyDescent="0.3">
      <c r="A1291" t="s">
        <v>1337</v>
      </c>
      <c r="B1291" t="s">
        <v>27</v>
      </c>
      <c r="C1291" t="s">
        <v>44</v>
      </c>
      <c r="D1291" t="s">
        <v>42</v>
      </c>
      <c r="E1291" s="1">
        <v>45233</v>
      </c>
      <c r="F1291" s="1">
        <v>45234</v>
      </c>
      <c r="G1291">
        <v>10.3</v>
      </c>
      <c r="H1291">
        <v>40.65</v>
      </c>
      <c r="I1291" t="s">
        <v>60</v>
      </c>
      <c r="J1291">
        <v>188</v>
      </c>
      <c r="K1291">
        <v>1</v>
      </c>
      <c r="L1291" t="str">
        <f>IF(logistics_data[[#This Row],[Delivery_Date]]="","In Transit",
 IF(logistics_data[[#This Row],[Status]]="Lost","Lost",
 IF(logistics_data[[#This Row],[Status]]="Returned","Returned",
 IF(logistics_data[[#This Row],[Status]]="Delayed","Delayed",
 "Delivered"))))</f>
        <v>Lost</v>
      </c>
      <c r="M1291" s="2">
        <f>logistics_data[[#This Row],[Cost]]/logistics_data[[#This Row],[Distance_miles]]</f>
        <v>0.21622340425531913</v>
      </c>
      <c r="N1291" t="str">
        <f>IF(logistics_data[[#This Row],[Orginal staus of shipment]]&lt;&gt;"Delivered","not applicabel", IF(logistics_data[[#This Row],[Transit_Days]]&gt;=5,"slow","fast"))</f>
        <v>not applicabel</v>
      </c>
    </row>
    <row r="1292" spans="1:14" x14ac:dyDescent="0.3">
      <c r="A1292" t="s">
        <v>1338</v>
      </c>
      <c r="B1292" t="s">
        <v>35</v>
      </c>
      <c r="C1292" t="s">
        <v>81</v>
      </c>
      <c r="D1292" t="s">
        <v>32</v>
      </c>
      <c r="E1292" s="1">
        <v>44991</v>
      </c>
      <c r="F1292" s="1">
        <v>44994</v>
      </c>
      <c r="G1292">
        <v>10.9</v>
      </c>
      <c r="H1292">
        <v>138.79</v>
      </c>
      <c r="I1292" t="s">
        <v>15</v>
      </c>
      <c r="J1292">
        <v>1000</v>
      </c>
      <c r="K1292">
        <v>3</v>
      </c>
      <c r="L1292" t="str">
        <f>IF(logistics_data[[#This Row],[Delivery_Date]]="","In Transit",
 IF(logistics_data[[#This Row],[Status]]="Lost","Lost",
 IF(logistics_data[[#This Row],[Status]]="Returned","Returned",
 IF(logistics_data[[#This Row],[Status]]="Delayed","Delayed",
 "Delivered"))))</f>
        <v>Delivered</v>
      </c>
      <c r="M1292" s="2">
        <f>logistics_data[[#This Row],[Cost]]/logistics_data[[#This Row],[Distance_miles]]</f>
        <v>0.13879</v>
      </c>
      <c r="N1292" t="str">
        <f>IF(logistics_data[[#This Row],[Orginal staus of shipment]]&lt;&gt;"Delivered","not applicabel", IF(logistics_data[[#This Row],[Transit_Days]]&gt;=5,"slow","fast"))</f>
        <v>fast</v>
      </c>
    </row>
    <row r="1293" spans="1:14" x14ac:dyDescent="0.3">
      <c r="A1293" t="s">
        <v>1339</v>
      </c>
      <c r="B1293" t="s">
        <v>12</v>
      </c>
      <c r="C1293" t="s">
        <v>57</v>
      </c>
      <c r="D1293" t="s">
        <v>37</v>
      </c>
      <c r="E1293" s="1">
        <v>45050</v>
      </c>
      <c r="F1293" s="1">
        <v>45055</v>
      </c>
      <c r="G1293">
        <v>42.1</v>
      </c>
      <c r="H1293">
        <v>344.29</v>
      </c>
      <c r="I1293" t="s">
        <v>67</v>
      </c>
      <c r="J1293">
        <v>2219</v>
      </c>
      <c r="K1293">
        <v>5</v>
      </c>
      <c r="L1293" t="str">
        <f>IF(logistics_data[[#This Row],[Delivery_Date]]="","In Transit",
 IF(logistics_data[[#This Row],[Status]]="Lost","Lost",
 IF(logistics_data[[#This Row],[Status]]="Returned","Returned",
 IF(logistics_data[[#This Row],[Status]]="Delayed","Delayed",
 "Delivered"))))</f>
        <v>Returned</v>
      </c>
      <c r="M1293" s="2">
        <f>logistics_data[[#This Row],[Cost]]/logistics_data[[#This Row],[Distance_miles]]</f>
        <v>0.15515547543938712</v>
      </c>
      <c r="N1293" t="str">
        <f>IF(logistics_data[[#This Row],[Orginal staus of shipment]]&lt;&gt;"Delivered","not applicabel", IF(logistics_data[[#This Row],[Transit_Days]]&gt;=5,"slow","fast"))</f>
        <v>not applicabel</v>
      </c>
    </row>
    <row r="1294" spans="1:14" x14ac:dyDescent="0.3">
      <c r="A1294" t="s">
        <v>1340</v>
      </c>
      <c r="B1294" t="s">
        <v>35</v>
      </c>
      <c r="C1294" t="s">
        <v>57</v>
      </c>
      <c r="D1294" t="s">
        <v>32</v>
      </c>
      <c r="E1294" s="1">
        <v>45237</v>
      </c>
      <c r="F1294" s="1">
        <v>45207</v>
      </c>
      <c r="G1294">
        <v>53</v>
      </c>
      <c r="H1294">
        <v>355.09</v>
      </c>
      <c r="I1294" t="s">
        <v>47</v>
      </c>
      <c r="J1294">
        <v>1709</v>
      </c>
      <c r="K1294">
        <v>4</v>
      </c>
      <c r="L1294" t="str">
        <f>IF(logistics_data[[#This Row],[Delivery_Date]]="","In Transit",
 IF(logistics_data[[#This Row],[Status]]="Lost","Lost",
 IF(logistics_data[[#This Row],[Status]]="Returned","Returned",
 IF(logistics_data[[#This Row],[Status]]="Delayed","Delayed",
 "Delivered"))))</f>
        <v>Delayed</v>
      </c>
      <c r="M1294" s="2">
        <f>logistics_data[[#This Row],[Cost]]/logistics_data[[#This Row],[Distance_miles]]</f>
        <v>0.20777647747220596</v>
      </c>
      <c r="N1294" t="str">
        <f>IF(logistics_data[[#This Row],[Orginal staus of shipment]]&lt;&gt;"Delivered","not applicabel", IF(logistics_data[[#This Row],[Transit_Days]]&gt;=5,"slow","fast"))</f>
        <v>not applicabel</v>
      </c>
    </row>
    <row r="1295" spans="1:14" x14ac:dyDescent="0.3">
      <c r="A1295" t="s">
        <v>1341</v>
      </c>
      <c r="B1295" t="s">
        <v>30</v>
      </c>
      <c r="C1295" t="s">
        <v>28</v>
      </c>
      <c r="D1295" t="s">
        <v>59</v>
      </c>
      <c r="E1295" s="1">
        <v>44939</v>
      </c>
      <c r="F1295" s="1">
        <v>44944</v>
      </c>
      <c r="G1295">
        <v>25.4</v>
      </c>
      <c r="H1295">
        <v>245.02</v>
      </c>
      <c r="I1295" t="s">
        <v>15</v>
      </c>
      <c r="J1295">
        <v>2110</v>
      </c>
      <c r="K1295">
        <v>5</v>
      </c>
      <c r="L1295" t="str">
        <f>IF(logistics_data[[#This Row],[Delivery_Date]]="","In Transit",
 IF(logistics_data[[#This Row],[Status]]="Lost","Lost",
 IF(logistics_data[[#This Row],[Status]]="Returned","Returned",
 IF(logistics_data[[#This Row],[Status]]="Delayed","Delayed",
 "Delivered"))))</f>
        <v>Delivered</v>
      </c>
      <c r="M1295" s="2">
        <f>logistics_data[[#This Row],[Cost]]/logistics_data[[#This Row],[Distance_miles]]</f>
        <v>0.11612322274881517</v>
      </c>
      <c r="N1295" t="str">
        <f>IF(logistics_data[[#This Row],[Orginal staus of shipment]]&lt;&gt;"Delivered","not applicabel", IF(logistics_data[[#This Row],[Transit_Days]]&gt;=5,"slow","fast"))</f>
        <v>slow</v>
      </c>
    </row>
    <row r="1296" spans="1:14" x14ac:dyDescent="0.3">
      <c r="A1296" t="s">
        <v>1342</v>
      </c>
      <c r="B1296" t="s">
        <v>35</v>
      </c>
      <c r="C1296" t="s">
        <v>57</v>
      </c>
      <c r="D1296" t="s">
        <v>42</v>
      </c>
      <c r="E1296" s="1">
        <v>44927</v>
      </c>
      <c r="F1296" s="1">
        <v>44929</v>
      </c>
      <c r="G1296">
        <v>19.7</v>
      </c>
      <c r="H1296">
        <v>106.66</v>
      </c>
      <c r="I1296" t="s">
        <v>15</v>
      </c>
      <c r="J1296">
        <v>784</v>
      </c>
      <c r="K1296">
        <v>2</v>
      </c>
      <c r="L1296" t="str">
        <f>IF(logistics_data[[#This Row],[Delivery_Date]]="","In Transit",
 IF(logistics_data[[#This Row],[Status]]="Lost","Lost",
 IF(logistics_data[[#This Row],[Status]]="Returned","Returned",
 IF(logistics_data[[#This Row],[Status]]="Delayed","Delayed",
 "Delivered"))))</f>
        <v>Delivered</v>
      </c>
      <c r="M1296" s="2">
        <f>logistics_data[[#This Row],[Cost]]/logistics_data[[#This Row],[Distance_miles]]</f>
        <v>0.13604591836734695</v>
      </c>
      <c r="N1296" t="str">
        <f>IF(logistics_data[[#This Row],[Orginal staus of shipment]]&lt;&gt;"Delivered","not applicabel", IF(logistics_data[[#This Row],[Transit_Days]]&gt;=5,"slow","fast"))</f>
        <v>fast</v>
      </c>
    </row>
    <row r="1297" spans="1:14" x14ac:dyDescent="0.3">
      <c r="A1297" t="s">
        <v>1343</v>
      </c>
      <c r="B1297" t="s">
        <v>30</v>
      </c>
      <c r="C1297" t="s">
        <v>21</v>
      </c>
      <c r="D1297" t="s">
        <v>59</v>
      </c>
      <c r="E1297" s="1">
        <v>44928</v>
      </c>
      <c r="F1297" s="1">
        <v>44931</v>
      </c>
      <c r="G1297">
        <v>31.8</v>
      </c>
      <c r="H1297">
        <v>134.96</v>
      </c>
      <c r="I1297" t="s">
        <v>15</v>
      </c>
      <c r="J1297">
        <v>786</v>
      </c>
      <c r="K1297">
        <v>3</v>
      </c>
      <c r="L1297" t="str">
        <f>IF(logistics_data[[#This Row],[Delivery_Date]]="","In Transit",
 IF(logistics_data[[#This Row],[Status]]="Lost","Lost",
 IF(logistics_data[[#This Row],[Status]]="Returned","Returned",
 IF(logistics_data[[#This Row],[Status]]="Delayed","Delayed",
 "Delivered"))))</f>
        <v>Delivered</v>
      </c>
      <c r="M1297" s="2">
        <f>logistics_data[[#This Row],[Cost]]/logistics_data[[#This Row],[Distance_miles]]</f>
        <v>0.17170483460559796</v>
      </c>
      <c r="N1297" t="str">
        <f>IF(logistics_data[[#This Row],[Orginal staus of shipment]]&lt;&gt;"Delivered","not applicabel", IF(logistics_data[[#This Row],[Transit_Days]]&gt;=5,"slow","fast"))</f>
        <v>fast</v>
      </c>
    </row>
    <row r="1298" spans="1:14" x14ac:dyDescent="0.3">
      <c r="A1298" t="s">
        <v>1344</v>
      </c>
      <c r="B1298" t="s">
        <v>39</v>
      </c>
      <c r="C1298" t="s">
        <v>28</v>
      </c>
      <c r="D1298" t="s">
        <v>42</v>
      </c>
      <c r="E1298" s="1">
        <v>45239</v>
      </c>
      <c r="F1298" s="1">
        <v>45242</v>
      </c>
      <c r="G1298">
        <v>22.8</v>
      </c>
      <c r="H1298">
        <v>260.19</v>
      </c>
      <c r="I1298" t="s">
        <v>15</v>
      </c>
      <c r="J1298">
        <v>1512</v>
      </c>
      <c r="K1298">
        <v>3</v>
      </c>
      <c r="L1298" t="str">
        <f>IF(logistics_data[[#This Row],[Delivery_Date]]="","In Transit",
 IF(logistics_data[[#This Row],[Status]]="Lost","Lost",
 IF(logistics_data[[#This Row],[Status]]="Returned","Returned",
 IF(logistics_data[[#This Row],[Status]]="Delayed","Delayed",
 "Delivered"))))</f>
        <v>Delivered</v>
      </c>
      <c r="M1298" s="2">
        <f>logistics_data[[#This Row],[Cost]]/logistics_data[[#This Row],[Distance_miles]]</f>
        <v>0.17208333333333334</v>
      </c>
      <c r="N1298" t="str">
        <f>IF(logistics_data[[#This Row],[Orginal staus of shipment]]&lt;&gt;"Delivered","not applicabel", IF(logistics_data[[#This Row],[Transit_Days]]&gt;=5,"slow","fast"))</f>
        <v>fast</v>
      </c>
    </row>
    <row r="1299" spans="1:14" x14ac:dyDescent="0.3">
      <c r="A1299" t="s">
        <v>1345</v>
      </c>
      <c r="B1299" t="s">
        <v>49</v>
      </c>
      <c r="C1299" t="s">
        <v>36</v>
      </c>
      <c r="D1299" t="s">
        <v>42</v>
      </c>
      <c r="E1299" s="1">
        <v>45162</v>
      </c>
      <c r="F1299" s="1">
        <v>45167</v>
      </c>
      <c r="G1299">
        <v>10.1</v>
      </c>
      <c r="H1299">
        <v>185.32</v>
      </c>
      <c r="I1299" t="s">
        <v>15</v>
      </c>
      <c r="J1299">
        <v>1310</v>
      </c>
      <c r="K1299">
        <v>5</v>
      </c>
      <c r="L1299" t="str">
        <f>IF(logistics_data[[#This Row],[Delivery_Date]]="","In Transit",
 IF(logistics_data[[#This Row],[Status]]="Lost","Lost",
 IF(logistics_data[[#This Row],[Status]]="Returned","Returned",
 IF(logistics_data[[#This Row],[Status]]="Delayed","Delayed",
 "Delivered"))))</f>
        <v>Delivered</v>
      </c>
      <c r="M1299" s="2">
        <f>logistics_data[[#This Row],[Cost]]/logistics_data[[#This Row],[Distance_miles]]</f>
        <v>0.14146564885496182</v>
      </c>
      <c r="N1299" t="str">
        <f>IF(logistics_data[[#This Row],[Orginal staus of shipment]]&lt;&gt;"Delivered","not applicabel", IF(logistics_data[[#This Row],[Transit_Days]]&gt;=5,"slow","fast"))</f>
        <v>slow</v>
      </c>
    </row>
    <row r="1300" spans="1:14" x14ac:dyDescent="0.3">
      <c r="A1300" t="s">
        <v>1346</v>
      </c>
      <c r="B1300" t="s">
        <v>51</v>
      </c>
      <c r="C1300" t="s">
        <v>40</v>
      </c>
      <c r="D1300" t="s">
        <v>32</v>
      </c>
      <c r="E1300" s="1">
        <v>45085</v>
      </c>
      <c r="F1300" s="1">
        <v>45093</v>
      </c>
      <c r="G1300">
        <v>17.3</v>
      </c>
      <c r="H1300">
        <v>325.14</v>
      </c>
      <c r="I1300" t="s">
        <v>15</v>
      </c>
      <c r="J1300">
        <v>2398</v>
      </c>
      <c r="K1300">
        <v>8</v>
      </c>
      <c r="L1300" t="str">
        <f>IF(logistics_data[[#This Row],[Delivery_Date]]="","In Transit",
 IF(logistics_data[[#This Row],[Status]]="Lost","Lost",
 IF(logistics_data[[#This Row],[Status]]="Returned","Returned",
 IF(logistics_data[[#This Row],[Status]]="Delayed","Delayed",
 "Delivered"))))</f>
        <v>Delivered</v>
      </c>
      <c r="M1300" s="2">
        <f>logistics_data[[#This Row],[Cost]]/logistics_data[[#This Row],[Distance_miles]]</f>
        <v>0.13558798999165972</v>
      </c>
      <c r="N1300" t="str">
        <f>IF(logistics_data[[#This Row],[Orginal staus of shipment]]&lt;&gt;"Delivered","not applicabel", IF(logistics_data[[#This Row],[Transit_Days]]&gt;=5,"slow","fast"))</f>
        <v>slow</v>
      </c>
    </row>
    <row r="1301" spans="1:14" x14ac:dyDescent="0.3">
      <c r="A1301" t="s">
        <v>1347</v>
      </c>
      <c r="B1301" t="s">
        <v>12</v>
      </c>
      <c r="C1301" t="s">
        <v>13</v>
      </c>
      <c r="D1301" t="s">
        <v>37</v>
      </c>
      <c r="E1301" s="1">
        <v>45149</v>
      </c>
      <c r="F1301" s="1">
        <v>45153</v>
      </c>
      <c r="G1301">
        <v>24.5</v>
      </c>
      <c r="H1301">
        <v>191.05</v>
      </c>
      <c r="I1301" t="s">
        <v>15</v>
      </c>
      <c r="J1301">
        <v>1373</v>
      </c>
      <c r="K1301">
        <v>4</v>
      </c>
      <c r="L1301" t="str">
        <f>IF(logistics_data[[#This Row],[Delivery_Date]]="","In Transit",
 IF(logistics_data[[#This Row],[Status]]="Lost","Lost",
 IF(logistics_data[[#This Row],[Status]]="Returned","Returned",
 IF(logistics_data[[#This Row],[Status]]="Delayed","Delayed",
 "Delivered"))))</f>
        <v>Delivered</v>
      </c>
      <c r="M1301" s="2">
        <f>logistics_data[[#This Row],[Cost]]/logistics_data[[#This Row],[Distance_miles]]</f>
        <v>0.13914785142024763</v>
      </c>
      <c r="N1301" t="str">
        <f>IF(logistics_data[[#This Row],[Orginal staus of shipment]]&lt;&gt;"Delivered","not applicabel", IF(logistics_data[[#This Row],[Transit_Days]]&gt;=5,"slow","fast"))</f>
        <v>fast</v>
      </c>
    </row>
    <row r="1302" spans="1:14" x14ac:dyDescent="0.3">
      <c r="A1302" t="s">
        <v>1348</v>
      </c>
      <c r="B1302" t="s">
        <v>12</v>
      </c>
      <c r="C1302" t="s">
        <v>17</v>
      </c>
      <c r="D1302" t="s">
        <v>37</v>
      </c>
      <c r="E1302" s="1">
        <v>45174</v>
      </c>
      <c r="F1302" s="1">
        <v>45178</v>
      </c>
      <c r="G1302">
        <v>6.8</v>
      </c>
      <c r="H1302">
        <v>141.35</v>
      </c>
      <c r="I1302" t="s">
        <v>15</v>
      </c>
      <c r="J1302">
        <v>1036</v>
      </c>
      <c r="K1302">
        <v>4</v>
      </c>
      <c r="L1302" t="str">
        <f>IF(logistics_data[[#This Row],[Delivery_Date]]="","In Transit",
 IF(logistics_data[[#This Row],[Status]]="Lost","Lost",
 IF(logistics_data[[#This Row],[Status]]="Returned","Returned",
 IF(logistics_data[[#This Row],[Status]]="Delayed","Delayed",
 "Delivered"))))</f>
        <v>Delivered</v>
      </c>
      <c r="M1302" s="2">
        <f>logistics_data[[#This Row],[Cost]]/logistics_data[[#This Row],[Distance_miles]]</f>
        <v>0.13643822393822394</v>
      </c>
      <c r="N1302" t="str">
        <f>IF(logistics_data[[#This Row],[Orginal staus of shipment]]&lt;&gt;"Delivered","not applicabel", IF(logistics_data[[#This Row],[Transit_Days]]&gt;=5,"slow","fast"))</f>
        <v>fast</v>
      </c>
    </row>
    <row r="1303" spans="1:14" x14ac:dyDescent="0.3">
      <c r="A1303" t="s">
        <v>1349</v>
      </c>
      <c r="B1303" t="s">
        <v>12</v>
      </c>
      <c r="C1303" t="s">
        <v>13</v>
      </c>
      <c r="D1303" t="s">
        <v>25</v>
      </c>
      <c r="E1303" s="1">
        <v>45195</v>
      </c>
      <c r="F1303" s="1">
        <v>45199</v>
      </c>
      <c r="G1303">
        <v>40.5</v>
      </c>
      <c r="H1303">
        <v>147.62</v>
      </c>
      <c r="I1303" t="s">
        <v>15</v>
      </c>
      <c r="J1303">
        <v>894</v>
      </c>
      <c r="K1303">
        <v>4</v>
      </c>
      <c r="L1303" t="str">
        <f>IF(logistics_data[[#This Row],[Delivery_Date]]="","In Transit",
 IF(logistics_data[[#This Row],[Status]]="Lost","Lost",
 IF(logistics_data[[#This Row],[Status]]="Returned","Returned",
 IF(logistics_data[[#This Row],[Status]]="Delayed","Delayed",
 "Delivered"))))</f>
        <v>Delivered</v>
      </c>
      <c r="M1303" s="2">
        <f>logistics_data[[#This Row],[Cost]]/logistics_data[[#This Row],[Distance_miles]]</f>
        <v>0.16512304250559284</v>
      </c>
      <c r="N1303" t="str">
        <f>IF(logistics_data[[#This Row],[Orginal staus of shipment]]&lt;&gt;"Delivered","not applicabel", IF(logistics_data[[#This Row],[Transit_Days]]&gt;=5,"slow","fast"))</f>
        <v>fast</v>
      </c>
    </row>
    <row r="1304" spans="1:14" x14ac:dyDescent="0.3">
      <c r="A1304" t="s">
        <v>1350</v>
      </c>
      <c r="B1304" t="s">
        <v>23</v>
      </c>
      <c r="C1304" t="s">
        <v>31</v>
      </c>
      <c r="D1304" t="s">
        <v>18</v>
      </c>
      <c r="E1304" s="1">
        <v>44928</v>
      </c>
      <c r="F1304" s="1">
        <v>44932</v>
      </c>
      <c r="G1304">
        <v>41.8</v>
      </c>
      <c r="H1304">
        <v>254.48</v>
      </c>
      <c r="I1304" t="s">
        <v>15</v>
      </c>
      <c r="J1304">
        <v>1261</v>
      </c>
      <c r="K1304">
        <v>4</v>
      </c>
      <c r="L1304" t="str">
        <f>IF(logistics_data[[#This Row],[Delivery_Date]]="","In Transit",
 IF(logistics_data[[#This Row],[Status]]="Lost","Lost",
 IF(logistics_data[[#This Row],[Status]]="Returned","Returned",
 IF(logistics_data[[#This Row],[Status]]="Delayed","Delayed",
 "Delivered"))))</f>
        <v>Delivered</v>
      </c>
      <c r="M1304" s="2">
        <f>logistics_data[[#This Row],[Cost]]/logistics_data[[#This Row],[Distance_miles]]</f>
        <v>0.2018080888183981</v>
      </c>
      <c r="N1304" t="str">
        <f>IF(logistics_data[[#This Row],[Orginal staus of shipment]]&lt;&gt;"Delivered","not applicabel", IF(logistics_data[[#This Row],[Transit_Days]]&gt;=5,"slow","fast"))</f>
        <v>fast</v>
      </c>
    </row>
    <row r="1305" spans="1:14" x14ac:dyDescent="0.3">
      <c r="A1305" t="s">
        <v>1351</v>
      </c>
      <c r="B1305" t="s">
        <v>23</v>
      </c>
      <c r="C1305" t="s">
        <v>57</v>
      </c>
      <c r="D1305" t="s">
        <v>42</v>
      </c>
      <c r="E1305" s="1">
        <v>45139</v>
      </c>
      <c r="F1305" s="1">
        <v>45141</v>
      </c>
      <c r="G1305">
        <v>78.900000000000006</v>
      </c>
      <c r="H1305">
        <v>171.25</v>
      </c>
      <c r="I1305" t="s">
        <v>15</v>
      </c>
      <c r="J1305">
        <v>729</v>
      </c>
      <c r="K1305">
        <v>2</v>
      </c>
      <c r="L1305" t="str">
        <f>IF(logistics_data[[#This Row],[Delivery_Date]]="","In Transit",
 IF(logistics_data[[#This Row],[Status]]="Lost","Lost",
 IF(logistics_data[[#This Row],[Status]]="Returned","Returned",
 IF(logistics_data[[#This Row],[Status]]="Delayed","Delayed",
 "Delivered"))))</f>
        <v>Delivered</v>
      </c>
      <c r="M1305" s="2">
        <f>logistics_data[[#This Row],[Cost]]/logistics_data[[#This Row],[Distance_miles]]</f>
        <v>0.23491083676268862</v>
      </c>
      <c r="N1305" t="str">
        <f>IF(logistics_data[[#This Row],[Orginal staus of shipment]]&lt;&gt;"Delivered","not applicabel", IF(logistics_data[[#This Row],[Transit_Days]]&gt;=5,"slow","fast"))</f>
        <v>fast</v>
      </c>
    </row>
    <row r="1306" spans="1:14" x14ac:dyDescent="0.3">
      <c r="A1306" t="s">
        <v>1352</v>
      </c>
      <c r="B1306" t="s">
        <v>51</v>
      </c>
      <c r="C1306" t="s">
        <v>54</v>
      </c>
      <c r="D1306" t="s">
        <v>59</v>
      </c>
      <c r="E1306" s="1">
        <v>45285</v>
      </c>
      <c r="F1306" s="1">
        <v>45290</v>
      </c>
      <c r="G1306">
        <v>12.3</v>
      </c>
      <c r="H1306">
        <v>325.51</v>
      </c>
      <c r="I1306" t="s">
        <v>15</v>
      </c>
      <c r="J1306">
        <v>2145</v>
      </c>
      <c r="K1306">
        <v>5</v>
      </c>
      <c r="L1306" t="str">
        <f>IF(logistics_data[[#This Row],[Delivery_Date]]="","In Transit",
 IF(logistics_data[[#This Row],[Status]]="Lost","Lost",
 IF(logistics_data[[#This Row],[Status]]="Returned","Returned",
 IF(logistics_data[[#This Row],[Status]]="Delayed","Delayed",
 "Delivered"))))</f>
        <v>Delivered</v>
      </c>
      <c r="M1306" s="2">
        <f>logistics_data[[#This Row],[Cost]]/logistics_data[[#This Row],[Distance_miles]]</f>
        <v>0.15175291375291375</v>
      </c>
      <c r="N1306" t="str">
        <f>IF(logistics_data[[#This Row],[Orginal staus of shipment]]&lt;&gt;"Delivered","not applicabel", IF(logistics_data[[#This Row],[Transit_Days]]&gt;=5,"slow","fast"))</f>
        <v>slow</v>
      </c>
    </row>
    <row r="1307" spans="1:14" x14ac:dyDescent="0.3">
      <c r="A1307" t="s">
        <v>1353</v>
      </c>
      <c r="B1307" t="s">
        <v>39</v>
      </c>
      <c r="C1307" t="s">
        <v>57</v>
      </c>
      <c r="D1307" t="s">
        <v>25</v>
      </c>
      <c r="E1307" s="1">
        <v>45291</v>
      </c>
      <c r="F1307" s="1">
        <v>45296</v>
      </c>
      <c r="G1307">
        <v>55.7</v>
      </c>
      <c r="H1307">
        <v>335.88</v>
      </c>
      <c r="I1307" t="s">
        <v>15</v>
      </c>
      <c r="J1307">
        <v>1737</v>
      </c>
      <c r="K1307">
        <v>5</v>
      </c>
      <c r="L1307" t="str">
        <f>IF(logistics_data[[#This Row],[Delivery_Date]]="","In Transit",
 IF(logistics_data[[#This Row],[Status]]="Lost","Lost",
 IF(logistics_data[[#This Row],[Status]]="Returned","Returned",
 IF(logistics_data[[#This Row],[Status]]="Delayed","Delayed",
 "Delivered"))))</f>
        <v>Delivered</v>
      </c>
      <c r="M1307" s="2">
        <f>logistics_data[[#This Row],[Cost]]/logistics_data[[#This Row],[Distance_miles]]</f>
        <v>0.19336787564766839</v>
      </c>
      <c r="N1307" t="str">
        <f>IF(logistics_data[[#This Row],[Orginal staus of shipment]]&lt;&gt;"Delivered","not applicabel", IF(logistics_data[[#This Row],[Transit_Days]]&gt;=5,"slow","fast"))</f>
        <v>slow</v>
      </c>
    </row>
    <row r="1308" spans="1:14" x14ac:dyDescent="0.3">
      <c r="A1308" t="s">
        <v>1354</v>
      </c>
      <c r="B1308" t="s">
        <v>30</v>
      </c>
      <c r="C1308" t="s">
        <v>17</v>
      </c>
      <c r="D1308" t="s">
        <v>14</v>
      </c>
      <c r="E1308" s="1">
        <v>44941</v>
      </c>
      <c r="F1308" s="1">
        <v>44946</v>
      </c>
      <c r="G1308">
        <v>8.3000000000000007</v>
      </c>
      <c r="H1308">
        <v>275.36</v>
      </c>
      <c r="I1308" t="s">
        <v>15</v>
      </c>
      <c r="J1308">
        <v>1965</v>
      </c>
      <c r="K1308">
        <v>5</v>
      </c>
      <c r="L1308" t="str">
        <f>IF(logistics_data[[#This Row],[Delivery_Date]]="","In Transit",
 IF(logistics_data[[#This Row],[Status]]="Lost","Lost",
 IF(logistics_data[[#This Row],[Status]]="Returned","Returned",
 IF(logistics_data[[#This Row],[Status]]="Delayed","Delayed",
 "Delivered"))))</f>
        <v>Delivered</v>
      </c>
      <c r="M1308" s="2">
        <f>logistics_data[[#This Row],[Cost]]/logistics_data[[#This Row],[Distance_miles]]</f>
        <v>0.1401323155216285</v>
      </c>
      <c r="N1308" t="str">
        <f>IF(logistics_data[[#This Row],[Orginal staus of shipment]]&lt;&gt;"Delivered","not applicabel", IF(logistics_data[[#This Row],[Transit_Days]]&gt;=5,"slow","fast"))</f>
        <v>slow</v>
      </c>
    </row>
    <row r="1309" spans="1:14" x14ac:dyDescent="0.3">
      <c r="A1309" t="s">
        <v>1355</v>
      </c>
      <c r="B1309" t="s">
        <v>23</v>
      </c>
      <c r="C1309" t="s">
        <v>44</v>
      </c>
      <c r="D1309" t="s">
        <v>32</v>
      </c>
      <c r="E1309" s="1">
        <v>45215</v>
      </c>
      <c r="F1309" s="1">
        <v>45219</v>
      </c>
      <c r="G1309">
        <v>42.3</v>
      </c>
      <c r="H1309">
        <v>221.5</v>
      </c>
      <c r="I1309" t="s">
        <v>15</v>
      </c>
      <c r="J1309">
        <v>1178</v>
      </c>
      <c r="K1309">
        <v>4</v>
      </c>
      <c r="L1309" t="str">
        <f>IF(logistics_data[[#This Row],[Delivery_Date]]="","In Transit",
 IF(logistics_data[[#This Row],[Status]]="Lost","Lost",
 IF(logistics_data[[#This Row],[Status]]="Returned","Returned",
 IF(logistics_data[[#This Row],[Status]]="Delayed","Delayed",
 "Delivered"))))</f>
        <v>Delivered</v>
      </c>
      <c r="M1309" s="2">
        <f>logistics_data[[#This Row],[Cost]]/logistics_data[[#This Row],[Distance_miles]]</f>
        <v>0.18803056027164686</v>
      </c>
      <c r="N1309" t="str">
        <f>IF(logistics_data[[#This Row],[Orginal staus of shipment]]&lt;&gt;"Delivered","not applicabel", IF(logistics_data[[#This Row],[Transit_Days]]&gt;=5,"slow","fast"))</f>
        <v>fast</v>
      </c>
    </row>
    <row r="1310" spans="1:14" x14ac:dyDescent="0.3">
      <c r="A1310" t="s">
        <v>1356</v>
      </c>
      <c r="B1310" t="s">
        <v>20</v>
      </c>
      <c r="C1310" t="s">
        <v>52</v>
      </c>
      <c r="D1310" t="s">
        <v>18</v>
      </c>
      <c r="E1310" s="1">
        <v>44999</v>
      </c>
      <c r="F1310" s="1">
        <v>45003</v>
      </c>
      <c r="G1310">
        <v>7.6</v>
      </c>
      <c r="H1310">
        <v>61.28</v>
      </c>
      <c r="I1310" t="s">
        <v>15</v>
      </c>
      <c r="J1310">
        <v>373</v>
      </c>
      <c r="K1310">
        <v>4</v>
      </c>
      <c r="L1310" t="str">
        <f>IF(logistics_data[[#This Row],[Delivery_Date]]="","In Transit",
 IF(logistics_data[[#This Row],[Status]]="Lost","Lost",
 IF(logistics_data[[#This Row],[Status]]="Returned","Returned",
 IF(logistics_data[[#This Row],[Status]]="Delayed","Delayed",
 "Delivered"))))</f>
        <v>Delivered</v>
      </c>
      <c r="M1310" s="2">
        <f>logistics_data[[#This Row],[Cost]]/logistics_data[[#This Row],[Distance_miles]]</f>
        <v>0.16428954423592493</v>
      </c>
      <c r="N1310" t="str">
        <f>IF(logistics_data[[#This Row],[Orginal staus of shipment]]&lt;&gt;"Delivered","not applicabel", IF(logistics_data[[#This Row],[Transit_Days]]&gt;=5,"slow","fast"))</f>
        <v>fast</v>
      </c>
    </row>
    <row r="1311" spans="1:14" x14ac:dyDescent="0.3">
      <c r="A1311" t="s">
        <v>1357</v>
      </c>
      <c r="B1311" t="s">
        <v>27</v>
      </c>
      <c r="C1311" t="s">
        <v>46</v>
      </c>
      <c r="D1311" t="s">
        <v>42</v>
      </c>
      <c r="E1311" s="1">
        <v>45132</v>
      </c>
      <c r="F1311" s="1">
        <v>45144</v>
      </c>
      <c r="G1311">
        <v>4.5999999999999996</v>
      </c>
      <c r="H1311">
        <v>209.12</v>
      </c>
      <c r="I1311" t="s">
        <v>47</v>
      </c>
      <c r="J1311">
        <v>1868</v>
      </c>
      <c r="K1311">
        <v>6</v>
      </c>
      <c r="L1311" t="str">
        <f>IF(logistics_data[[#This Row],[Delivery_Date]]="","In Transit",
 IF(logistics_data[[#This Row],[Status]]="Lost","Lost",
 IF(logistics_data[[#This Row],[Status]]="Returned","Returned",
 IF(logistics_data[[#This Row],[Status]]="Delayed","Delayed",
 "Delivered"))))</f>
        <v>Delayed</v>
      </c>
      <c r="M1311" s="2">
        <f>logistics_data[[#This Row],[Cost]]/logistics_data[[#This Row],[Distance_miles]]</f>
        <v>0.11194860813704496</v>
      </c>
      <c r="N1311" t="str">
        <f>IF(logistics_data[[#This Row],[Orginal staus of shipment]]&lt;&gt;"Delivered","not applicabel", IF(logistics_data[[#This Row],[Transit_Days]]&gt;=5,"slow","fast"))</f>
        <v>not applicabel</v>
      </c>
    </row>
    <row r="1312" spans="1:14" x14ac:dyDescent="0.3">
      <c r="A1312" t="s">
        <v>1358</v>
      </c>
      <c r="B1312" t="s">
        <v>27</v>
      </c>
      <c r="C1312" t="s">
        <v>44</v>
      </c>
      <c r="D1312" t="s">
        <v>18</v>
      </c>
      <c r="E1312" s="1">
        <v>45226</v>
      </c>
      <c r="F1312" s="1">
        <v>45230</v>
      </c>
      <c r="G1312">
        <v>11.1</v>
      </c>
      <c r="H1312">
        <v>100.08</v>
      </c>
      <c r="I1312" t="s">
        <v>15</v>
      </c>
      <c r="J1312">
        <v>640</v>
      </c>
      <c r="K1312">
        <v>4</v>
      </c>
      <c r="L1312" t="str">
        <f>IF(logistics_data[[#This Row],[Delivery_Date]]="","In Transit",
 IF(logistics_data[[#This Row],[Status]]="Lost","Lost",
 IF(logistics_data[[#This Row],[Status]]="Returned","Returned",
 IF(logistics_data[[#This Row],[Status]]="Delayed","Delayed",
 "Delivered"))))</f>
        <v>Delivered</v>
      </c>
      <c r="M1312" s="2">
        <f>logistics_data[[#This Row],[Cost]]/logistics_data[[#This Row],[Distance_miles]]</f>
        <v>0.15637499999999999</v>
      </c>
      <c r="N1312" t="str">
        <f>IF(logistics_data[[#This Row],[Orginal staus of shipment]]&lt;&gt;"Delivered","not applicabel", IF(logistics_data[[#This Row],[Transit_Days]]&gt;=5,"slow","fast"))</f>
        <v>fast</v>
      </c>
    </row>
    <row r="1313" spans="1:14" x14ac:dyDescent="0.3">
      <c r="A1313" t="s">
        <v>1359</v>
      </c>
      <c r="B1313" t="s">
        <v>27</v>
      </c>
      <c r="C1313" t="s">
        <v>31</v>
      </c>
      <c r="D1313" t="s">
        <v>42</v>
      </c>
      <c r="E1313" s="1">
        <v>45172</v>
      </c>
      <c r="F1313" s="1">
        <v>45175</v>
      </c>
      <c r="G1313">
        <v>7</v>
      </c>
      <c r="H1313">
        <v>204.47</v>
      </c>
      <c r="I1313" t="s">
        <v>15</v>
      </c>
      <c r="J1313">
        <v>1503</v>
      </c>
      <c r="K1313">
        <v>3</v>
      </c>
      <c r="L1313" t="str">
        <f>IF(logistics_data[[#This Row],[Delivery_Date]]="","In Transit",
 IF(logistics_data[[#This Row],[Status]]="Lost","Lost",
 IF(logistics_data[[#This Row],[Status]]="Returned","Returned",
 IF(logistics_data[[#This Row],[Status]]="Delayed","Delayed",
 "Delivered"))))</f>
        <v>Delivered</v>
      </c>
      <c r="M1313" s="2">
        <f>logistics_data[[#This Row],[Cost]]/logistics_data[[#This Row],[Distance_miles]]</f>
        <v>0.13604125083166999</v>
      </c>
      <c r="N1313" t="str">
        <f>IF(logistics_data[[#This Row],[Orginal staus of shipment]]&lt;&gt;"Delivered","not applicabel", IF(logistics_data[[#This Row],[Transit_Days]]&gt;=5,"slow","fast"))</f>
        <v>fast</v>
      </c>
    </row>
    <row r="1314" spans="1:14" x14ac:dyDescent="0.3">
      <c r="A1314" t="s">
        <v>1360</v>
      </c>
      <c r="B1314" t="s">
        <v>56</v>
      </c>
      <c r="C1314" t="s">
        <v>52</v>
      </c>
      <c r="D1314" t="s">
        <v>37</v>
      </c>
      <c r="E1314" s="1">
        <v>45234</v>
      </c>
      <c r="F1314" s="1">
        <v>45238</v>
      </c>
      <c r="G1314">
        <v>25.6</v>
      </c>
      <c r="H1314">
        <v>270.11</v>
      </c>
      <c r="I1314" t="s">
        <v>15</v>
      </c>
      <c r="J1314">
        <v>1671</v>
      </c>
      <c r="K1314">
        <v>4</v>
      </c>
      <c r="L1314" t="str">
        <f>IF(logistics_data[[#This Row],[Delivery_Date]]="","In Transit",
 IF(logistics_data[[#This Row],[Status]]="Lost","Lost",
 IF(logistics_data[[#This Row],[Status]]="Returned","Returned",
 IF(logistics_data[[#This Row],[Status]]="Delayed","Delayed",
 "Delivered"))))</f>
        <v>Delivered</v>
      </c>
      <c r="M1314" s="2">
        <f>logistics_data[[#This Row],[Cost]]/logistics_data[[#This Row],[Distance_miles]]</f>
        <v>0.1616457211250748</v>
      </c>
      <c r="N1314" t="str">
        <f>IF(logistics_data[[#This Row],[Orginal staus of shipment]]&lt;&gt;"Delivered","not applicabel", IF(logistics_data[[#This Row],[Transit_Days]]&gt;=5,"slow","fast"))</f>
        <v>fast</v>
      </c>
    </row>
    <row r="1315" spans="1:14" x14ac:dyDescent="0.3">
      <c r="A1315" t="s">
        <v>1361</v>
      </c>
      <c r="B1315" t="s">
        <v>30</v>
      </c>
      <c r="C1315" t="s">
        <v>21</v>
      </c>
      <c r="D1315" t="s">
        <v>25</v>
      </c>
      <c r="E1315" s="1">
        <v>45048</v>
      </c>
      <c r="F1315" s="1">
        <v>45055</v>
      </c>
      <c r="G1315">
        <v>16</v>
      </c>
      <c r="H1315">
        <v>322.60000000000002</v>
      </c>
      <c r="I1315" t="s">
        <v>15</v>
      </c>
      <c r="J1315">
        <v>2289</v>
      </c>
      <c r="K1315">
        <v>7</v>
      </c>
      <c r="L1315" t="str">
        <f>IF(logistics_data[[#This Row],[Delivery_Date]]="","In Transit",
 IF(logistics_data[[#This Row],[Status]]="Lost","Lost",
 IF(logistics_data[[#This Row],[Status]]="Returned","Returned",
 IF(logistics_data[[#This Row],[Status]]="Delayed","Delayed",
 "Delivered"))))</f>
        <v>Delivered</v>
      </c>
      <c r="M1315" s="2">
        <f>logistics_data[[#This Row],[Cost]]/logistics_data[[#This Row],[Distance_miles]]</f>
        <v>0.14093490607252077</v>
      </c>
      <c r="N1315" t="str">
        <f>IF(logistics_data[[#This Row],[Orginal staus of shipment]]&lt;&gt;"Delivered","not applicabel", IF(logistics_data[[#This Row],[Transit_Days]]&gt;=5,"slow","fast"))</f>
        <v>slow</v>
      </c>
    </row>
    <row r="1316" spans="1:14" x14ac:dyDescent="0.3">
      <c r="A1316" t="s">
        <v>1362</v>
      </c>
      <c r="B1316" t="s">
        <v>39</v>
      </c>
      <c r="C1316" t="s">
        <v>52</v>
      </c>
      <c r="D1316" t="s">
        <v>18</v>
      </c>
      <c r="E1316" s="1">
        <v>45154</v>
      </c>
      <c r="F1316" s="1">
        <v>45161</v>
      </c>
      <c r="G1316">
        <v>9.6</v>
      </c>
      <c r="H1316">
        <v>248.88</v>
      </c>
      <c r="I1316" t="s">
        <v>15</v>
      </c>
      <c r="J1316">
        <v>1664</v>
      </c>
      <c r="K1316">
        <v>7</v>
      </c>
      <c r="L1316" t="str">
        <f>IF(logistics_data[[#This Row],[Delivery_Date]]="","In Transit",
 IF(logistics_data[[#This Row],[Status]]="Lost","Lost",
 IF(logistics_data[[#This Row],[Status]]="Returned","Returned",
 IF(logistics_data[[#This Row],[Status]]="Delayed","Delayed",
 "Delivered"))))</f>
        <v>Delivered</v>
      </c>
      <c r="M1316" s="2">
        <f>logistics_data[[#This Row],[Cost]]/logistics_data[[#This Row],[Distance_miles]]</f>
        <v>0.14956730769230769</v>
      </c>
      <c r="N1316" t="str">
        <f>IF(logistics_data[[#This Row],[Orginal staus of shipment]]&lt;&gt;"Delivered","not applicabel", IF(logistics_data[[#This Row],[Transit_Days]]&gt;=5,"slow","fast"))</f>
        <v>slow</v>
      </c>
    </row>
    <row r="1317" spans="1:14" x14ac:dyDescent="0.3">
      <c r="A1317" t="s">
        <v>1363</v>
      </c>
      <c r="B1317" t="s">
        <v>23</v>
      </c>
      <c r="C1317" t="s">
        <v>21</v>
      </c>
      <c r="D1317" t="s">
        <v>37</v>
      </c>
      <c r="E1317" s="1">
        <v>45003</v>
      </c>
      <c r="F1317" s="1">
        <v>45005</v>
      </c>
      <c r="G1317">
        <v>28.8</v>
      </c>
      <c r="H1317">
        <v>93.05</v>
      </c>
      <c r="I1317" t="s">
        <v>60</v>
      </c>
      <c r="J1317">
        <v>499</v>
      </c>
      <c r="K1317">
        <v>2</v>
      </c>
      <c r="L1317" t="str">
        <f>IF(logistics_data[[#This Row],[Delivery_Date]]="","In Transit",
 IF(logistics_data[[#This Row],[Status]]="Lost","Lost",
 IF(logistics_data[[#This Row],[Status]]="Returned","Returned",
 IF(logistics_data[[#This Row],[Status]]="Delayed","Delayed",
 "Delivered"))))</f>
        <v>Lost</v>
      </c>
      <c r="M1317" s="2">
        <f>logistics_data[[#This Row],[Cost]]/logistics_data[[#This Row],[Distance_miles]]</f>
        <v>0.18647294589178356</v>
      </c>
      <c r="N1317" t="str">
        <f>IF(logistics_data[[#This Row],[Orginal staus of shipment]]&lt;&gt;"Delivered","not applicabel", IF(logistics_data[[#This Row],[Transit_Days]]&gt;=5,"slow","fast"))</f>
        <v>not applicabel</v>
      </c>
    </row>
    <row r="1318" spans="1:14" x14ac:dyDescent="0.3">
      <c r="A1318" t="s">
        <v>1364</v>
      </c>
      <c r="B1318" t="s">
        <v>49</v>
      </c>
      <c r="C1318" t="s">
        <v>44</v>
      </c>
      <c r="D1318" t="s">
        <v>59</v>
      </c>
      <c r="E1318" s="1">
        <v>44957</v>
      </c>
      <c r="F1318" s="1">
        <v>44963</v>
      </c>
      <c r="G1318">
        <v>34.6</v>
      </c>
      <c r="H1318">
        <v>280.52999999999997</v>
      </c>
      <c r="I1318" t="s">
        <v>15</v>
      </c>
      <c r="J1318">
        <v>2109</v>
      </c>
      <c r="K1318">
        <v>6</v>
      </c>
      <c r="L1318" t="str">
        <f>IF(logistics_data[[#This Row],[Delivery_Date]]="","In Transit",
 IF(logistics_data[[#This Row],[Status]]="Lost","Lost",
 IF(logistics_data[[#This Row],[Status]]="Returned","Returned",
 IF(logistics_data[[#This Row],[Status]]="Delayed","Delayed",
 "Delivered"))))</f>
        <v>Delivered</v>
      </c>
      <c r="M1318" s="2">
        <f>logistics_data[[#This Row],[Cost]]/logistics_data[[#This Row],[Distance_miles]]</f>
        <v>0.13301564722617354</v>
      </c>
      <c r="N1318" t="str">
        <f>IF(logistics_data[[#This Row],[Orginal staus of shipment]]&lt;&gt;"Delivered","not applicabel", IF(logistics_data[[#This Row],[Transit_Days]]&gt;=5,"slow","fast"))</f>
        <v>slow</v>
      </c>
    </row>
    <row r="1319" spans="1:14" x14ac:dyDescent="0.3">
      <c r="A1319" t="s">
        <v>1365</v>
      </c>
      <c r="B1319" t="s">
        <v>27</v>
      </c>
      <c r="C1319" t="s">
        <v>81</v>
      </c>
      <c r="D1319" t="s">
        <v>14</v>
      </c>
      <c r="E1319" s="1">
        <v>45028</v>
      </c>
      <c r="F1319" s="1">
        <v>45029</v>
      </c>
      <c r="G1319">
        <v>21</v>
      </c>
      <c r="H1319">
        <v>88.46</v>
      </c>
      <c r="I1319" t="s">
        <v>15</v>
      </c>
      <c r="J1319">
        <v>510</v>
      </c>
      <c r="K1319">
        <v>1</v>
      </c>
      <c r="L1319" t="str">
        <f>IF(logistics_data[[#This Row],[Delivery_Date]]="","In Transit",
 IF(logistics_data[[#This Row],[Status]]="Lost","Lost",
 IF(logistics_data[[#This Row],[Status]]="Returned","Returned",
 IF(logistics_data[[#This Row],[Status]]="Delayed","Delayed",
 "Delivered"))))</f>
        <v>Delivered</v>
      </c>
      <c r="M1319" s="2">
        <f>logistics_data[[#This Row],[Cost]]/logistics_data[[#This Row],[Distance_miles]]</f>
        <v>0.17345098039215684</v>
      </c>
      <c r="N1319" t="str">
        <f>IF(logistics_data[[#This Row],[Orginal staus of shipment]]&lt;&gt;"Delivered","not applicabel", IF(logistics_data[[#This Row],[Transit_Days]]&gt;=5,"slow","fast"))</f>
        <v>fast</v>
      </c>
    </row>
    <row r="1320" spans="1:14" x14ac:dyDescent="0.3">
      <c r="A1320" t="s">
        <v>1366</v>
      </c>
      <c r="B1320" t="s">
        <v>35</v>
      </c>
      <c r="C1320" t="s">
        <v>24</v>
      </c>
      <c r="D1320" t="s">
        <v>59</v>
      </c>
      <c r="E1320" s="1">
        <v>45087</v>
      </c>
      <c r="F1320" s="1">
        <v>45093</v>
      </c>
      <c r="G1320">
        <v>16.899999999999999</v>
      </c>
      <c r="H1320">
        <v>281.93</v>
      </c>
      <c r="I1320" t="s">
        <v>15</v>
      </c>
      <c r="J1320">
        <v>2329</v>
      </c>
      <c r="K1320">
        <v>6</v>
      </c>
      <c r="L1320" t="str">
        <f>IF(logistics_data[[#This Row],[Delivery_Date]]="","In Transit",
 IF(logistics_data[[#This Row],[Status]]="Lost","Lost",
 IF(logistics_data[[#This Row],[Status]]="Returned","Returned",
 IF(logistics_data[[#This Row],[Status]]="Delayed","Delayed",
 "Delivered"))))</f>
        <v>Delivered</v>
      </c>
      <c r="M1320" s="2">
        <f>logistics_data[[#This Row],[Cost]]/logistics_data[[#This Row],[Distance_miles]]</f>
        <v>0.12105195362816659</v>
      </c>
      <c r="N1320" t="str">
        <f>IF(logistics_data[[#This Row],[Orginal staus of shipment]]&lt;&gt;"Delivered","not applicabel", IF(logistics_data[[#This Row],[Transit_Days]]&gt;=5,"slow","fast"))</f>
        <v>slow</v>
      </c>
    </row>
    <row r="1321" spans="1:14" x14ac:dyDescent="0.3">
      <c r="A1321" t="s">
        <v>1367</v>
      </c>
      <c r="B1321" t="s">
        <v>35</v>
      </c>
      <c r="C1321" t="s">
        <v>21</v>
      </c>
      <c r="D1321" t="s">
        <v>14</v>
      </c>
      <c r="E1321" s="1">
        <v>45171</v>
      </c>
      <c r="F1321" s="1">
        <v>45176</v>
      </c>
      <c r="G1321">
        <v>21.6</v>
      </c>
      <c r="H1321">
        <v>251.91</v>
      </c>
      <c r="I1321" t="s">
        <v>15</v>
      </c>
      <c r="J1321">
        <v>2001</v>
      </c>
      <c r="K1321">
        <v>5</v>
      </c>
      <c r="L1321" t="str">
        <f>IF(logistics_data[[#This Row],[Delivery_Date]]="","In Transit",
 IF(logistics_data[[#This Row],[Status]]="Lost","Lost",
 IF(logistics_data[[#This Row],[Status]]="Returned","Returned",
 IF(logistics_data[[#This Row],[Status]]="Delayed","Delayed",
 "Delivered"))))</f>
        <v>Delivered</v>
      </c>
      <c r="M1321" s="2">
        <f>logistics_data[[#This Row],[Cost]]/logistics_data[[#This Row],[Distance_miles]]</f>
        <v>0.12589205397301348</v>
      </c>
      <c r="N1321" t="str">
        <f>IF(logistics_data[[#This Row],[Orginal staus of shipment]]&lt;&gt;"Delivered","not applicabel", IF(logistics_data[[#This Row],[Transit_Days]]&gt;=5,"slow","fast"))</f>
        <v>slow</v>
      </c>
    </row>
    <row r="1322" spans="1:14" x14ac:dyDescent="0.3">
      <c r="A1322" t="s">
        <v>1368</v>
      </c>
      <c r="B1322" t="s">
        <v>20</v>
      </c>
      <c r="C1322" t="s">
        <v>40</v>
      </c>
      <c r="D1322" t="s">
        <v>37</v>
      </c>
      <c r="E1322" s="1">
        <v>45195</v>
      </c>
      <c r="F1322" s="1">
        <v>45196</v>
      </c>
      <c r="G1322">
        <v>11.8</v>
      </c>
      <c r="H1322">
        <v>45.15</v>
      </c>
      <c r="I1322" t="s">
        <v>62</v>
      </c>
      <c r="J1322">
        <v>278</v>
      </c>
      <c r="K1322">
        <v>1</v>
      </c>
      <c r="L1322" t="str">
        <f>IF(logistics_data[[#This Row],[Delivery_Date]]="","In Transit",
 IF(logistics_data[[#This Row],[Status]]="Lost","Lost",
 IF(logistics_data[[#This Row],[Status]]="Returned","Returned",
 IF(logistics_data[[#This Row],[Status]]="Delayed","Delayed",
 "Delivered"))))</f>
        <v>Delivered</v>
      </c>
      <c r="M1322" s="2">
        <f>logistics_data[[#This Row],[Cost]]/logistics_data[[#This Row],[Distance_miles]]</f>
        <v>0.16241007194244603</v>
      </c>
      <c r="N1322" t="str">
        <f>IF(logistics_data[[#This Row],[Orginal staus of shipment]]&lt;&gt;"Delivered","not applicabel", IF(logistics_data[[#This Row],[Transit_Days]]&gt;=5,"slow","fast"))</f>
        <v>fast</v>
      </c>
    </row>
    <row r="1323" spans="1:14" x14ac:dyDescent="0.3">
      <c r="A1323" t="s">
        <v>1369</v>
      </c>
      <c r="B1323" t="s">
        <v>56</v>
      </c>
      <c r="C1323" t="s">
        <v>13</v>
      </c>
      <c r="D1323" t="s">
        <v>32</v>
      </c>
      <c r="E1323" s="1">
        <v>45289</v>
      </c>
      <c r="F1323" s="1">
        <v>45293</v>
      </c>
      <c r="G1323">
        <v>17.2</v>
      </c>
      <c r="H1323">
        <v>226.51</v>
      </c>
      <c r="I1323" t="s">
        <v>15</v>
      </c>
      <c r="J1323">
        <v>1179</v>
      </c>
      <c r="K1323">
        <v>4</v>
      </c>
      <c r="L1323" t="str">
        <f>IF(logistics_data[[#This Row],[Delivery_Date]]="","In Transit",
 IF(logistics_data[[#This Row],[Status]]="Lost","Lost",
 IF(logistics_data[[#This Row],[Status]]="Returned","Returned",
 IF(logistics_data[[#This Row],[Status]]="Delayed","Delayed",
 "Delivered"))))</f>
        <v>Delivered</v>
      </c>
      <c r="M1323" s="2">
        <f>logistics_data[[#This Row],[Cost]]/logistics_data[[#This Row],[Distance_miles]]</f>
        <v>0.19212044105173876</v>
      </c>
      <c r="N1323" t="str">
        <f>IF(logistics_data[[#This Row],[Orginal staus of shipment]]&lt;&gt;"Delivered","not applicabel", IF(logistics_data[[#This Row],[Transit_Days]]&gt;=5,"slow","fast"))</f>
        <v>fast</v>
      </c>
    </row>
    <row r="1324" spans="1:14" x14ac:dyDescent="0.3">
      <c r="A1324" t="s">
        <v>1370</v>
      </c>
      <c r="B1324" t="s">
        <v>23</v>
      </c>
      <c r="C1324" t="s">
        <v>40</v>
      </c>
      <c r="D1324" t="s">
        <v>42</v>
      </c>
      <c r="E1324" s="1">
        <v>45168</v>
      </c>
      <c r="F1324" s="1">
        <v>45173</v>
      </c>
      <c r="G1324">
        <v>25.7</v>
      </c>
      <c r="H1324">
        <v>62.58</v>
      </c>
      <c r="I1324" t="s">
        <v>15</v>
      </c>
      <c r="J1324">
        <v>251</v>
      </c>
      <c r="K1324">
        <v>5</v>
      </c>
      <c r="L1324" t="str">
        <f>IF(logistics_data[[#This Row],[Delivery_Date]]="","In Transit",
 IF(logistics_data[[#This Row],[Status]]="Lost","Lost",
 IF(logistics_data[[#This Row],[Status]]="Returned","Returned",
 IF(logistics_data[[#This Row],[Status]]="Delayed","Delayed",
 "Delivered"))))</f>
        <v>Delivered</v>
      </c>
      <c r="M1324" s="2">
        <f>logistics_data[[#This Row],[Cost]]/logistics_data[[#This Row],[Distance_miles]]</f>
        <v>0.24932270916334662</v>
      </c>
      <c r="N1324" t="str">
        <f>IF(logistics_data[[#This Row],[Orginal staus of shipment]]&lt;&gt;"Delivered","not applicabel", IF(logistics_data[[#This Row],[Transit_Days]]&gt;=5,"slow","fast"))</f>
        <v>slow</v>
      </c>
    </row>
    <row r="1325" spans="1:14" x14ac:dyDescent="0.3">
      <c r="A1325" t="s">
        <v>1371</v>
      </c>
      <c r="B1325" t="s">
        <v>49</v>
      </c>
      <c r="C1325" t="s">
        <v>40</v>
      </c>
      <c r="D1325" t="s">
        <v>14</v>
      </c>
      <c r="E1325" s="1">
        <v>44969</v>
      </c>
      <c r="F1325" s="1">
        <v>44984</v>
      </c>
      <c r="G1325">
        <v>48.2</v>
      </c>
      <c r="H1325">
        <v>79.739999999999995</v>
      </c>
      <c r="I1325" t="s">
        <v>47</v>
      </c>
      <c r="J1325">
        <v>205</v>
      </c>
      <c r="K1325">
        <v>2</v>
      </c>
      <c r="L1325" t="str">
        <f>IF(logistics_data[[#This Row],[Delivery_Date]]="","In Transit",
 IF(logistics_data[[#This Row],[Status]]="Lost","Lost",
 IF(logistics_data[[#This Row],[Status]]="Returned","Returned",
 IF(logistics_data[[#This Row],[Status]]="Delayed","Delayed",
 "Delivered"))))</f>
        <v>Delayed</v>
      </c>
      <c r="M1325" s="2">
        <f>logistics_data[[#This Row],[Cost]]/logistics_data[[#This Row],[Distance_miles]]</f>
        <v>0.38897560975609752</v>
      </c>
      <c r="N1325" t="str">
        <f>IF(logistics_data[[#This Row],[Orginal staus of shipment]]&lt;&gt;"Delivered","not applicabel", IF(logistics_data[[#This Row],[Transit_Days]]&gt;=5,"slow","fast"))</f>
        <v>not applicabel</v>
      </c>
    </row>
    <row r="1326" spans="1:14" x14ac:dyDescent="0.3">
      <c r="A1326" t="s">
        <v>1372</v>
      </c>
      <c r="B1326" t="s">
        <v>20</v>
      </c>
      <c r="C1326" t="s">
        <v>70</v>
      </c>
      <c r="D1326" t="s">
        <v>14</v>
      </c>
      <c r="E1326" s="1">
        <v>44954</v>
      </c>
      <c r="F1326" s="1">
        <v>44957</v>
      </c>
      <c r="G1326">
        <v>51.5</v>
      </c>
      <c r="H1326">
        <v>165.79</v>
      </c>
      <c r="I1326" t="s">
        <v>15</v>
      </c>
      <c r="J1326">
        <v>926</v>
      </c>
      <c r="K1326">
        <v>3</v>
      </c>
      <c r="L1326" t="str">
        <f>IF(logistics_data[[#This Row],[Delivery_Date]]="","In Transit",
 IF(logistics_data[[#This Row],[Status]]="Lost","Lost",
 IF(logistics_data[[#This Row],[Status]]="Returned","Returned",
 IF(logistics_data[[#This Row],[Status]]="Delayed","Delayed",
 "Delivered"))))</f>
        <v>Delivered</v>
      </c>
      <c r="M1326" s="2">
        <f>logistics_data[[#This Row],[Cost]]/logistics_data[[#This Row],[Distance_miles]]</f>
        <v>0.17903887688984879</v>
      </c>
      <c r="N1326" t="str">
        <f>IF(logistics_data[[#This Row],[Orginal staus of shipment]]&lt;&gt;"Delivered","not applicabel", IF(logistics_data[[#This Row],[Transit_Days]]&gt;=5,"slow","fast"))</f>
        <v>fast</v>
      </c>
    </row>
    <row r="1327" spans="1:14" x14ac:dyDescent="0.3">
      <c r="A1327" t="s">
        <v>1373</v>
      </c>
      <c r="B1327" t="s">
        <v>27</v>
      </c>
      <c r="C1327" t="s">
        <v>40</v>
      </c>
      <c r="D1327" t="s">
        <v>25</v>
      </c>
      <c r="E1327" s="1">
        <v>45030</v>
      </c>
      <c r="F1327" s="1">
        <v>45033</v>
      </c>
      <c r="G1327">
        <v>26.6</v>
      </c>
      <c r="H1327">
        <v>68.27</v>
      </c>
      <c r="I1327" t="s">
        <v>67</v>
      </c>
      <c r="J1327">
        <v>365</v>
      </c>
      <c r="K1327">
        <v>3</v>
      </c>
      <c r="L1327" t="str">
        <f>IF(logistics_data[[#This Row],[Delivery_Date]]="","In Transit",
 IF(logistics_data[[#This Row],[Status]]="Lost","Lost",
 IF(logistics_data[[#This Row],[Status]]="Returned","Returned",
 IF(logistics_data[[#This Row],[Status]]="Delayed","Delayed",
 "Delivered"))))</f>
        <v>Returned</v>
      </c>
      <c r="M1327" s="2">
        <f>logistics_data[[#This Row],[Cost]]/logistics_data[[#This Row],[Distance_miles]]</f>
        <v>0.18704109589041096</v>
      </c>
      <c r="N1327" t="str">
        <f>IF(logistics_data[[#This Row],[Orginal staus of shipment]]&lt;&gt;"Delivered","not applicabel", IF(logistics_data[[#This Row],[Transit_Days]]&gt;=5,"slow","fast"))</f>
        <v>not applicabel</v>
      </c>
    </row>
    <row r="1328" spans="1:14" x14ac:dyDescent="0.3">
      <c r="A1328" t="s">
        <v>1374</v>
      </c>
      <c r="B1328" t="s">
        <v>27</v>
      </c>
      <c r="C1328" t="s">
        <v>36</v>
      </c>
      <c r="D1328" t="s">
        <v>14</v>
      </c>
      <c r="E1328" s="1">
        <v>45015</v>
      </c>
      <c r="F1328" s="1">
        <v>45019</v>
      </c>
      <c r="G1328">
        <v>127</v>
      </c>
      <c r="H1328">
        <v>342.1</v>
      </c>
      <c r="I1328" t="s">
        <v>15</v>
      </c>
      <c r="J1328">
        <v>1334</v>
      </c>
      <c r="K1328">
        <v>4</v>
      </c>
      <c r="L1328" t="str">
        <f>IF(logistics_data[[#This Row],[Delivery_Date]]="","In Transit",
 IF(logistics_data[[#This Row],[Status]]="Lost","Lost",
 IF(logistics_data[[#This Row],[Status]]="Returned","Returned",
 IF(logistics_data[[#This Row],[Status]]="Delayed","Delayed",
 "Delivered"))))</f>
        <v>Delivered</v>
      </c>
      <c r="M1328" s="2">
        <f>logistics_data[[#This Row],[Cost]]/logistics_data[[#This Row],[Distance_miles]]</f>
        <v>0.25644677661169418</v>
      </c>
      <c r="N1328" t="str">
        <f>IF(logistics_data[[#This Row],[Orginal staus of shipment]]&lt;&gt;"Delivered","not applicabel", IF(logistics_data[[#This Row],[Transit_Days]]&gt;=5,"slow","fast"))</f>
        <v>fast</v>
      </c>
    </row>
    <row r="1329" spans="1:14" x14ac:dyDescent="0.3">
      <c r="A1329" t="s">
        <v>1375</v>
      </c>
      <c r="B1329" t="s">
        <v>30</v>
      </c>
      <c r="C1329" t="s">
        <v>28</v>
      </c>
      <c r="D1329" t="s">
        <v>14</v>
      </c>
      <c r="E1329" s="1">
        <v>45027</v>
      </c>
      <c r="F1329" s="1">
        <v>45029</v>
      </c>
      <c r="G1329">
        <v>25.9</v>
      </c>
      <c r="H1329">
        <v>70.31</v>
      </c>
      <c r="I1329" t="s">
        <v>15</v>
      </c>
      <c r="J1329">
        <v>326</v>
      </c>
      <c r="K1329">
        <v>2</v>
      </c>
      <c r="L1329" t="str">
        <f>IF(logistics_data[[#This Row],[Delivery_Date]]="","In Transit",
 IF(logistics_data[[#This Row],[Status]]="Lost","Lost",
 IF(logistics_data[[#This Row],[Status]]="Returned","Returned",
 IF(logistics_data[[#This Row],[Status]]="Delayed","Delayed",
 "Delivered"))))</f>
        <v>Delivered</v>
      </c>
      <c r="M1329" s="2">
        <f>logistics_data[[#This Row],[Cost]]/logistics_data[[#This Row],[Distance_miles]]</f>
        <v>0.21567484662576689</v>
      </c>
      <c r="N1329" t="str">
        <f>IF(logistics_data[[#This Row],[Orginal staus of shipment]]&lt;&gt;"Delivered","not applicabel", IF(logistics_data[[#This Row],[Transit_Days]]&gt;=5,"slow","fast"))</f>
        <v>fast</v>
      </c>
    </row>
    <row r="1330" spans="1:14" x14ac:dyDescent="0.3">
      <c r="A1330" t="s">
        <v>1376</v>
      </c>
      <c r="B1330" t="s">
        <v>23</v>
      </c>
      <c r="C1330" t="s">
        <v>24</v>
      </c>
      <c r="D1330" t="s">
        <v>25</v>
      </c>
      <c r="E1330" s="1">
        <v>44980</v>
      </c>
      <c r="F1330" s="1">
        <v>44987</v>
      </c>
      <c r="G1330">
        <v>13.2</v>
      </c>
      <c r="H1330">
        <v>300.36</v>
      </c>
      <c r="I1330" t="s">
        <v>15</v>
      </c>
      <c r="J1330">
        <v>2207</v>
      </c>
      <c r="K1330">
        <v>7</v>
      </c>
      <c r="L1330" t="str">
        <f>IF(logistics_data[[#This Row],[Delivery_Date]]="","In Transit",
 IF(logistics_data[[#This Row],[Status]]="Lost","Lost",
 IF(logistics_data[[#This Row],[Status]]="Returned","Returned",
 IF(logistics_data[[#This Row],[Status]]="Delayed","Delayed",
 "Delivered"))))</f>
        <v>Delivered</v>
      </c>
      <c r="M1330" s="2">
        <f>logistics_data[[#This Row],[Cost]]/logistics_data[[#This Row],[Distance_miles]]</f>
        <v>0.13609424558223834</v>
      </c>
      <c r="N1330" t="str">
        <f>IF(logistics_data[[#This Row],[Orginal staus of shipment]]&lt;&gt;"Delivered","not applicabel", IF(logistics_data[[#This Row],[Transit_Days]]&gt;=5,"slow","fast"))</f>
        <v>slow</v>
      </c>
    </row>
    <row r="1331" spans="1:14" x14ac:dyDescent="0.3">
      <c r="A1331" t="s">
        <v>1377</v>
      </c>
      <c r="B1331" t="s">
        <v>49</v>
      </c>
      <c r="C1331" t="s">
        <v>21</v>
      </c>
      <c r="D1331" t="s">
        <v>25</v>
      </c>
      <c r="E1331" s="1">
        <v>45289</v>
      </c>
      <c r="F1331" s="1">
        <v>45292</v>
      </c>
      <c r="G1331">
        <v>14.2</v>
      </c>
      <c r="H1331">
        <v>109.64</v>
      </c>
      <c r="I1331" t="s">
        <v>15</v>
      </c>
      <c r="J1331">
        <v>656</v>
      </c>
      <c r="K1331">
        <v>3</v>
      </c>
      <c r="L1331" t="str">
        <f>IF(logistics_data[[#This Row],[Delivery_Date]]="","In Transit",
 IF(logistics_data[[#This Row],[Status]]="Lost","Lost",
 IF(logistics_data[[#This Row],[Status]]="Returned","Returned",
 IF(logistics_data[[#This Row],[Status]]="Delayed","Delayed",
 "Delivered"))))</f>
        <v>Delivered</v>
      </c>
      <c r="M1331" s="2">
        <f>logistics_data[[#This Row],[Cost]]/logistics_data[[#This Row],[Distance_miles]]</f>
        <v>0.16713414634146342</v>
      </c>
      <c r="N1331" t="str">
        <f>IF(logistics_data[[#This Row],[Orginal staus of shipment]]&lt;&gt;"Delivered","not applicabel", IF(logistics_data[[#This Row],[Transit_Days]]&gt;=5,"slow","fast"))</f>
        <v>fast</v>
      </c>
    </row>
    <row r="1332" spans="1:14" x14ac:dyDescent="0.3">
      <c r="A1332" t="s">
        <v>1378</v>
      </c>
      <c r="B1332" t="s">
        <v>49</v>
      </c>
      <c r="C1332" t="s">
        <v>36</v>
      </c>
      <c r="D1332" t="s">
        <v>42</v>
      </c>
      <c r="E1332" s="1">
        <v>45103</v>
      </c>
      <c r="F1332" s="1">
        <v>45106</v>
      </c>
      <c r="G1332">
        <v>16.600000000000001</v>
      </c>
      <c r="H1332">
        <v>105.6</v>
      </c>
      <c r="I1332" t="s">
        <v>15</v>
      </c>
      <c r="J1332">
        <v>761</v>
      </c>
      <c r="K1332">
        <v>3</v>
      </c>
      <c r="L1332" t="str">
        <f>IF(logistics_data[[#This Row],[Delivery_Date]]="","In Transit",
 IF(logistics_data[[#This Row],[Status]]="Lost","Lost",
 IF(logistics_data[[#This Row],[Status]]="Returned","Returned",
 IF(logistics_data[[#This Row],[Status]]="Delayed","Delayed",
 "Delivered"))))</f>
        <v>Delivered</v>
      </c>
      <c r="M1332" s="2">
        <f>logistics_data[[#This Row],[Cost]]/logistics_data[[#This Row],[Distance_miles]]</f>
        <v>0.13876478318002627</v>
      </c>
      <c r="N1332" t="str">
        <f>IF(logistics_data[[#This Row],[Orginal staus of shipment]]&lt;&gt;"Delivered","not applicabel", IF(logistics_data[[#This Row],[Transit_Days]]&gt;=5,"slow","fast"))</f>
        <v>fast</v>
      </c>
    </row>
    <row r="1333" spans="1:14" x14ac:dyDescent="0.3">
      <c r="A1333" t="s">
        <v>1379</v>
      </c>
      <c r="B1333" t="s">
        <v>51</v>
      </c>
      <c r="C1333" t="s">
        <v>21</v>
      </c>
      <c r="D1333" t="s">
        <v>32</v>
      </c>
      <c r="E1333" s="1">
        <v>44928</v>
      </c>
      <c r="F1333" s="1">
        <v>44933</v>
      </c>
      <c r="G1333">
        <v>17.8</v>
      </c>
      <c r="H1333">
        <v>196.28</v>
      </c>
      <c r="I1333" t="s">
        <v>15</v>
      </c>
      <c r="J1333">
        <v>1322</v>
      </c>
      <c r="K1333">
        <v>5</v>
      </c>
      <c r="L1333" t="str">
        <f>IF(logistics_data[[#This Row],[Delivery_Date]]="","In Transit",
 IF(logistics_data[[#This Row],[Status]]="Lost","Lost",
 IF(logistics_data[[#This Row],[Status]]="Returned","Returned",
 IF(logistics_data[[#This Row],[Status]]="Delayed","Delayed",
 "Delivered"))))</f>
        <v>Delivered</v>
      </c>
      <c r="M1333" s="2">
        <f>logistics_data[[#This Row],[Cost]]/logistics_data[[#This Row],[Distance_miles]]</f>
        <v>0.14847201210287445</v>
      </c>
      <c r="N1333" t="str">
        <f>IF(logistics_data[[#This Row],[Orginal staus of shipment]]&lt;&gt;"Delivered","not applicabel", IF(logistics_data[[#This Row],[Transit_Days]]&gt;=5,"slow","fast"))</f>
        <v>slow</v>
      </c>
    </row>
    <row r="1334" spans="1:14" x14ac:dyDescent="0.3">
      <c r="A1334" t="s">
        <v>1380</v>
      </c>
      <c r="B1334" t="s">
        <v>20</v>
      </c>
      <c r="C1334" t="s">
        <v>21</v>
      </c>
      <c r="D1334" t="s">
        <v>18</v>
      </c>
      <c r="E1334" s="1">
        <v>45128</v>
      </c>
      <c r="F1334" s="1">
        <v>45134</v>
      </c>
      <c r="G1334">
        <v>57.2</v>
      </c>
      <c r="H1334">
        <v>339.55</v>
      </c>
      <c r="I1334" t="s">
        <v>15</v>
      </c>
      <c r="J1334">
        <v>1933</v>
      </c>
      <c r="K1334">
        <v>6</v>
      </c>
      <c r="L1334" t="str">
        <f>IF(logistics_data[[#This Row],[Delivery_Date]]="","In Transit",
 IF(logistics_data[[#This Row],[Status]]="Lost","Lost",
 IF(logistics_data[[#This Row],[Status]]="Returned","Returned",
 IF(logistics_data[[#This Row],[Status]]="Delayed","Delayed",
 "Delivered"))))</f>
        <v>Delivered</v>
      </c>
      <c r="M1334" s="2">
        <f>logistics_data[[#This Row],[Cost]]/logistics_data[[#This Row],[Distance_miles]]</f>
        <v>0.1756595964821521</v>
      </c>
      <c r="N1334" t="str">
        <f>IF(logistics_data[[#This Row],[Orginal staus of shipment]]&lt;&gt;"Delivered","not applicabel", IF(logistics_data[[#This Row],[Transit_Days]]&gt;=5,"slow","fast"))</f>
        <v>slow</v>
      </c>
    </row>
    <row r="1335" spans="1:14" x14ac:dyDescent="0.3">
      <c r="A1335" t="s">
        <v>1381</v>
      </c>
      <c r="B1335" t="s">
        <v>35</v>
      </c>
      <c r="C1335" t="s">
        <v>13</v>
      </c>
      <c r="D1335" t="s">
        <v>37</v>
      </c>
      <c r="E1335" s="1">
        <v>45017</v>
      </c>
      <c r="G1335">
        <v>9</v>
      </c>
      <c r="H1335">
        <v>67.94</v>
      </c>
      <c r="I1335" t="s">
        <v>47</v>
      </c>
      <c r="J1335">
        <v>435</v>
      </c>
      <c r="K1335">
        <v>2</v>
      </c>
      <c r="L1335" t="str">
        <f>IF(logistics_data[[#This Row],[Delivery_Date]]="","In Transit",
 IF(logistics_data[[#This Row],[Status]]="Lost","Lost",
 IF(logistics_data[[#This Row],[Status]]="Returned","Returned",
 IF(logistics_data[[#This Row],[Status]]="Delayed","Delayed",
 "Delivered"))))</f>
        <v>In Transit</v>
      </c>
      <c r="M1335" s="2">
        <f>logistics_data[[#This Row],[Cost]]/logistics_data[[#This Row],[Distance_miles]]</f>
        <v>0.15618390804597701</v>
      </c>
      <c r="N1335" t="str">
        <f>IF(logistics_data[[#This Row],[Orginal staus of shipment]]&lt;&gt;"Delivered","not applicabel", IF(logistics_data[[#This Row],[Transit_Days]]&gt;=5,"slow","fast"))</f>
        <v>not applicabel</v>
      </c>
    </row>
    <row r="1336" spans="1:14" x14ac:dyDescent="0.3">
      <c r="A1336" t="s">
        <v>1382</v>
      </c>
      <c r="B1336" t="s">
        <v>35</v>
      </c>
      <c r="C1336" t="s">
        <v>52</v>
      </c>
      <c r="D1336" t="s">
        <v>18</v>
      </c>
      <c r="E1336" s="1">
        <v>45033</v>
      </c>
      <c r="F1336" s="1">
        <v>45038</v>
      </c>
      <c r="G1336">
        <v>52.4</v>
      </c>
      <c r="H1336">
        <v>339.51</v>
      </c>
      <c r="I1336" t="s">
        <v>15</v>
      </c>
      <c r="J1336">
        <v>1949</v>
      </c>
      <c r="K1336">
        <v>5</v>
      </c>
      <c r="L1336" t="str">
        <f>IF(logistics_data[[#This Row],[Delivery_Date]]="","In Transit",
 IF(logistics_data[[#This Row],[Status]]="Lost","Lost",
 IF(logistics_data[[#This Row],[Status]]="Returned","Returned",
 IF(logistics_data[[#This Row],[Status]]="Delayed","Delayed",
 "Delivered"))))</f>
        <v>Delivered</v>
      </c>
      <c r="M1336" s="2">
        <f>logistics_data[[#This Row],[Cost]]/logistics_data[[#This Row],[Distance_miles]]</f>
        <v>0.17419702411493074</v>
      </c>
      <c r="N1336" t="str">
        <f>IF(logistics_data[[#This Row],[Orginal staus of shipment]]&lt;&gt;"Delivered","not applicabel", IF(logistics_data[[#This Row],[Transit_Days]]&gt;=5,"slow","fast"))</f>
        <v>slow</v>
      </c>
    </row>
    <row r="1337" spans="1:14" x14ac:dyDescent="0.3">
      <c r="A1337" t="s">
        <v>1383</v>
      </c>
      <c r="B1337" t="s">
        <v>20</v>
      </c>
      <c r="C1337" t="s">
        <v>81</v>
      </c>
      <c r="D1337" t="s">
        <v>42</v>
      </c>
      <c r="E1337" s="1">
        <v>45166</v>
      </c>
      <c r="F1337" s="1">
        <v>45172</v>
      </c>
      <c r="G1337">
        <v>20.5</v>
      </c>
      <c r="H1337">
        <v>105.64</v>
      </c>
      <c r="I1337" t="s">
        <v>15</v>
      </c>
      <c r="J1337">
        <v>638</v>
      </c>
      <c r="K1337">
        <v>6</v>
      </c>
      <c r="L1337" t="str">
        <f>IF(logistics_data[[#This Row],[Delivery_Date]]="","In Transit",
 IF(logistics_data[[#This Row],[Status]]="Lost","Lost",
 IF(logistics_data[[#This Row],[Status]]="Returned","Returned",
 IF(logistics_data[[#This Row],[Status]]="Delayed","Delayed",
 "Delivered"))))</f>
        <v>Delivered</v>
      </c>
      <c r="M1337" s="2">
        <f>logistics_data[[#This Row],[Cost]]/logistics_data[[#This Row],[Distance_miles]]</f>
        <v>0.16557993730407525</v>
      </c>
      <c r="N1337" t="str">
        <f>IF(logistics_data[[#This Row],[Orginal staus of shipment]]&lt;&gt;"Delivered","not applicabel", IF(logistics_data[[#This Row],[Transit_Days]]&gt;=5,"slow","fast"))</f>
        <v>slow</v>
      </c>
    </row>
    <row r="1338" spans="1:14" x14ac:dyDescent="0.3">
      <c r="A1338" t="s">
        <v>1384</v>
      </c>
      <c r="B1338" t="s">
        <v>35</v>
      </c>
      <c r="C1338" t="s">
        <v>81</v>
      </c>
      <c r="D1338" t="s">
        <v>59</v>
      </c>
      <c r="E1338" s="1">
        <v>45148</v>
      </c>
      <c r="F1338" s="1">
        <v>45151</v>
      </c>
      <c r="G1338">
        <v>21.5</v>
      </c>
      <c r="H1338">
        <v>127.75</v>
      </c>
      <c r="I1338" t="s">
        <v>62</v>
      </c>
      <c r="J1338">
        <v>1000</v>
      </c>
      <c r="K1338">
        <v>3</v>
      </c>
      <c r="L1338" t="str">
        <f>IF(logistics_data[[#This Row],[Delivery_Date]]="","In Transit",
 IF(logistics_data[[#This Row],[Status]]="Lost","Lost",
 IF(logistics_data[[#This Row],[Status]]="Returned","Returned",
 IF(logistics_data[[#This Row],[Status]]="Delayed","Delayed",
 "Delivered"))))</f>
        <v>Delivered</v>
      </c>
      <c r="M1338" s="2">
        <f>logistics_data[[#This Row],[Cost]]/logistics_data[[#This Row],[Distance_miles]]</f>
        <v>0.12775</v>
      </c>
      <c r="N1338" t="str">
        <f>IF(logistics_data[[#This Row],[Orginal staus of shipment]]&lt;&gt;"Delivered","not applicabel", IF(logistics_data[[#This Row],[Transit_Days]]&gt;=5,"slow","fast"))</f>
        <v>fast</v>
      </c>
    </row>
    <row r="1339" spans="1:14" x14ac:dyDescent="0.3">
      <c r="A1339" t="s">
        <v>1385</v>
      </c>
      <c r="B1339" t="s">
        <v>56</v>
      </c>
      <c r="C1339" t="s">
        <v>44</v>
      </c>
      <c r="D1339" t="s">
        <v>37</v>
      </c>
      <c r="E1339" s="1">
        <v>45270</v>
      </c>
      <c r="F1339" s="1">
        <v>45275</v>
      </c>
      <c r="G1339">
        <v>34.9</v>
      </c>
      <c r="H1339">
        <v>296.79000000000002</v>
      </c>
      <c r="I1339" t="s">
        <v>15</v>
      </c>
      <c r="J1339">
        <v>1876</v>
      </c>
      <c r="K1339">
        <v>5</v>
      </c>
      <c r="L1339" t="str">
        <f>IF(logistics_data[[#This Row],[Delivery_Date]]="","In Transit",
 IF(logistics_data[[#This Row],[Status]]="Lost","Lost",
 IF(logistics_data[[#This Row],[Status]]="Returned","Returned",
 IF(logistics_data[[#This Row],[Status]]="Delayed","Delayed",
 "Delivered"))))</f>
        <v>Delivered</v>
      </c>
      <c r="M1339" s="2">
        <f>logistics_data[[#This Row],[Cost]]/logistics_data[[#This Row],[Distance_miles]]</f>
        <v>0.15820362473347549</v>
      </c>
      <c r="N1339" t="str">
        <f>IF(logistics_data[[#This Row],[Orginal staus of shipment]]&lt;&gt;"Delivered","not applicabel", IF(logistics_data[[#This Row],[Transit_Days]]&gt;=5,"slow","fast"))</f>
        <v>slow</v>
      </c>
    </row>
    <row r="1340" spans="1:14" x14ac:dyDescent="0.3">
      <c r="A1340" t="s">
        <v>1386</v>
      </c>
      <c r="B1340" t="s">
        <v>39</v>
      </c>
      <c r="C1340" t="s">
        <v>13</v>
      </c>
      <c r="D1340" t="s">
        <v>32</v>
      </c>
      <c r="E1340" s="1">
        <v>45217</v>
      </c>
      <c r="F1340" s="1">
        <v>45223</v>
      </c>
      <c r="G1340">
        <v>73</v>
      </c>
      <c r="H1340">
        <v>347.07</v>
      </c>
      <c r="I1340" t="s">
        <v>15</v>
      </c>
      <c r="J1340">
        <v>1762</v>
      </c>
      <c r="K1340">
        <v>6</v>
      </c>
      <c r="L1340" t="str">
        <f>IF(logistics_data[[#This Row],[Delivery_Date]]="","In Transit",
 IF(logistics_data[[#This Row],[Status]]="Lost","Lost",
 IF(logistics_data[[#This Row],[Status]]="Returned","Returned",
 IF(logistics_data[[#This Row],[Status]]="Delayed","Delayed",
 "Delivered"))))</f>
        <v>Delivered</v>
      </c>
      <c r="M1340" s="2">
        <f>logistics_data[[#This Row],[Cost]]/logistics_data[[#This Row],[Distance_miles]]</f>
        <v>0.1969750283768445</v>
      </c>
      <c r="N1340" t="str">
        <f>IF(logistics_data[[#This Row],[Orginal staus of shipment]]&lt;&gt;"Delivered","not applicabel", IF(logistics_data[[#This Row],[Transit_Days]]&gt;=5,"slow","fast"))</f>
        <v>slow</v>
      </c>
    </row>
    <row r="1341" spans="1:14" x14ac:dyDescent="0.3">
      <c r="A1341" t="s">
        <v>1387</v>
      </c>
      <c r="B1341" t="s">
        <v>30</v>
      </c>
      <c r="C1341" t="s">
        <v>54</v>
      </c>
      <c r="D1341" t="s">
        <v>37</v>
      </c>
      <c r="E1341" s="1">
        <v>45195</v>
      </c>
      <c r="F1341" s="1">
        <v>45199</v>
      </c>
      <c r="G1341">
        <v>37.9</v>
      </c>
      <c r="H1341">
        <v>183.19</v>
      </c>
      <c r="I1341" t="s">
        <v>15</v>
      </c>
      <c r="J1341">
        <v>1274</v>
      </c>
      <c r="K1341">
        <v>4</v>
      </c>
      <c r="L1341" t="str">
        <f>IF(logistics_data[[#This Row],[Delivery_Date]]="","In Transit",
 IF(logistics_data[[#This Row],[Status]]="Lost","Lost",
 IF(logistics_data[[#This Row],[Status]]="Returned","Returned",
 IF(logistics_data[[#This Row],[Status]]="Delayed","Delayed",
 "Delivered"))))</f>
        <v>Delivered</v>
      </c>
      <c r="M1341" s="2">
        <f>logistics_data[[#This Row],[Cost]]/logistics_data[[#This Row],[Distance_miles]]</f>
        <v>0.1437912087912088</v>
      </c>
      <c r="N1341" t="str">
        <f>IF(logistics_data[[#This Row],[Orginal staus of shipment]]&lt;&gt;"Delivered","not applicabel", IF(logistics_data[[#This Row],[Transit_Days]]&gt;=5,"slow","fast"))</f>
        <v>fast</v>
      </c>
    </row>
    <row r="1342" spans="1:14" x14ac:dyDescent="0.3">
      <c r="A1342" t="s">
        <v>1388</v>
      </c>
      <c r="B1342" t="s">
        <v>30</v>
      </c>
      <c r="C1342" t="s">
        <v>46</v>
      </c>
      <c r="D1342" t="s">
        <v>59</v>
      </c>
      <c r="E1342" s="1">
        <v>45279</v>
      </c>
      <c r="F1342" s="1">
        <v>45284</v>
      </c>
      <c r="G1342">
        <v>80.099999999999994</v>
      </c>
      <c r="H1342">
        <v>423.48</v>
      </c>
      <c r="I1342" t="s">
        <v>60</v>
      </c>
      <c r="J1342">
        <v>2412</v>
      </c>
      <c r="K1342">
        <v>5</v>
      </c>
      <c r="L1342" t="str">
        <f>IF(logistics_data[[#This Row],[Delivery_Date]]="","In Transit",
 IF(logistics_data[[#This Row],[Status]]="Lost","Lost",
 IF(logistics_data[[#This Row],[Status]]="Returned","Returned",
 IF(logistics_data[[#This Row],[Status]]="Delayed","Delayed",
 "Delivered"))))</f>
        <v>Lost</v>
      </c>
      <c r="M1342" s="2">
        <f>logistics_data[[#This Row],[Cost]]/logistics_data[[#This Row],[Distance_miles]]</f>
        <v>0.17557213930348259</v>
      </c>
      <c r="N1342" t="str">
        <f>IF(logistics_data[[#This Row],[Orginal staus of shipment]]&lt;&gt;"Delivered","not applicabel", IF(logistics_data[[#This Row],[Transit_Days]]&gt;=5,"slow","fast"))</f>
        <v>not applicabel</v>
      </c>
    </row>
    <row r="1343" spans="1:14" x14ac:dyDescent="0.3">
      <c r="A1343" t="s">
        <v>1389</v>
      </c>
      <c r="B1343" t="s">
        <v>51</v>
      </c>
      <c r="C1343" t="s">
        <v>21</v>
      </c>
      <c r="D1343" t="s">
        <v>32</v>
      </c>
      <c r="E1343" s="1">
        <v>44994</v>
      </c>
      <c r="F1343" s="1">
        <v>44996</v>
      </c>
      <c r="G1343">
        <v>28.5</v>
      </c>
      <c r="H1343">
        <v>54.64</v>
      </c>
      <c r="I1343" t="s">
        <v>15</v>
      </c>
      <c r="J1343">
        <v>131</v>
      </c>
      <c r="K1343">
        <v>2</v>
      </c>
      <c r="L1343" t="str">
        <f>IF(logistics_data[[#This Row],[Delivery_Date]]="","In Transit",
 IF(logistics_data[[#This Row],[Status]]="Lost","Lost",
 IF(logistics_data[[#This Row],[Status]]="Returned","Returned",
 IF(logistics_data[[#This Row],[Status]]="Delayed","Delayed",
 "Delivered"))))</f>
        <v>Delivered</v>
      </c>
      <c r="M1343" s="2">
        <f>logistics_data[[#This Row],[Cost]]/logistics_data[[#This Row],[Distance_miles]]</f>
        <v>0.41709923664122139</v>
      </c>
      <c r="N1343" t="str">
        <f>IF(logistics_data[[#This Row],[Orginal staus of shipment]]&lt;&gt;"Delivered","not applicabel", IF(logistics_data[[#This Row],[Transit_Days]]&gt;=5,"slow","fast"))</f>
        <v>fast</v>
      </c>
    </row>
    <row r="1344" spans="1:14" x14ac:dyDescent="0.3">
      <c r="A1344" t="s">
        <v>1390</v>
      </c>
      <c r="B1344" t="s">
        <v>23</v>
      </c>
      <c r="C1344" t="s">
        <v>57</v>
      </c>
      <c r="D1344" t="s">
        <v>37</v>
      </c>
      <c r="E1344" s="1">
        <v>44939</v>
      </c>
      <c r="F1344" s="1">
        <v>44945</v>
      </c>
      <c r="G1344">
        <v>27.9</v>
      </c>
      <c r="H1344">
        <v>311.69</v>
      </c>
      <c r="I1344" t="s">
        <v>15</v>
      </c>
      <c r="J1344">
        <v>2297</v>
      </c>
      <c r="K1344">
        <v>6</v>
      </c>
      <c r="L1344" t="str">
        <f>IF(logistics_data[[#This Row],[Delivery_Date]]="","In Transit",
 IF(logistics_data[[#This Row],[Status]]="Lost","Lost",
 IF(logistics_data[[#This Row],[Status]]="Returned","Returned",
 IF(logistics_data[[#This Row],[Status]]="Delayed","Delayed",
 "Delivered"))))</f>
        <v>Delivered</v>
      </c>
      <c r="M1344" s="2">
        <f>logistics_data[[#This Row],[Cost]]/logistics_data[[#This Row],[Distance_miles]]</f>
        <v>0.13569438397910319</v>
      </c>
      <c r="N1344" t="str">
        <f>IF(logistics_data[[#This Row],[Orginal staus of shipment]]&lt;&gt;"Delivered","not applicabel", IF(logistics_data[[#This Row],[Transit_Days]]&gt;=5,"slow","fast"))</f>
        <v>slow</v>
      </c>
    </row>
    <row r="1345" spans="1:14" x14ac:dyDescent="0.3">
      <c r="A1345" t="s">
        <v>1391</v>
      </c>
      <c r="B1345" t="s">
        <v>49</v>
      </c>
      <c r="C1345" t="s">
        <v>17</v>
      </c>
      <c r="D1345" t="s">
        <v>32</v>
      </c>
      <c r="E1345" s="1">
        <v>45189</v>
      </c>
      <c r="F1345" s="1">
        <v>45195</v>
      </c>
      <c r="G1345">
        <v>11.9</v>
      </c>
      <c r="H1345">
        <v>263.5</v>
      </c>
      <c r="I1345" t="s">
        <v>15</v>
      </c>
      <c r="J1345">
        <v>1772</v>
      </c>
      <c r="K1345">
        <v>6</v>
      </c>
      <c r="L1345" t="str">
        <f>IF(logistics_data[[#This Row],[Delivery_Date]]="","In Transit",
 IF(logistics_data[[#This Row],[Status]]="Lost","Lost",
 IF(logistics_data[[#This Row],[Status]]="Returned","Returned",
 IF(logistics_data[[#This Row],[Status]]="Delayed","Delayed",
 "Delivered"))))</f>
        <v>Delivered</v>
      </c>
      <c r="M1345" s="2">
        <f>logistics_data[[#This Row],[Cost]]/logistics_data[[#This Row],[Distance_miles]]</f>
        <v>0.14870203160270881</v>
      </c>
      <c r="N1345" t="str">
        <f>IF(logistics_data[[#This Row],[Orginal staus of shipment]]&lt;&gt;"Delivered","not applicabel", IF(logistics_data[[#This Row],[Transit_Days]]&gt;=5,"slow","fast"))</f>
        <v>slow</v>
      </c>
    </row>
    <row r="1346" spans="1:14" x14ac:dyDescent="0.3">
      <c r="A1346" t="s">
        <v>1392</v>
      </c>
      <c r="B1346" t="s">
        <v>23</v>
      </c>
      <c r="C1346" t="s">
        <v>40</v>
      </c>
      <c r="D1346" t="s">
        <v>59</v>
      </c>
      <c r="E1346" s="1">
        <v>45050</v>
      </c>
      <c r="F1346" s="1">
        <v>45056</v>
      </c>
      <c r="G1346">
        <v>18.7</v>
      </c>
      <c r="H1346">
        <v>264.01</v>
      </c>
      <c r="I1346" t="s">
        <v>15</v>
      </c>
      <c r="J1346">
        <v>2316</v>
      </c>
      <c r="K1346">
        <v>6</v>
      </c>
      <c r="L1346" t="str">
        <f>IF(logistics_data[[#This Row],[Delivery_Date]]="","In Transit",
 IF(logistics_data[[#This Row],[Status]]="Lost","Lost",
 IF(logistics_data[[#This Row],[Status]]="Returned","Returned",
 IF(logistics_data[[#This Row],[Status]]="Delayed","Delayed",
 "Delivered"))))</f>
        <v>Delivered</v>
      </c>
      <c r="M1346" s="2">
        <f>logistics_data[[#This Row],[Cost]]/logistics_data[[#This Row],[Distance_miles]]</f>
        <v>0.11399395509499136</v>
      </c>
      <c r="N1346" t="str">
        <f>IF(logistics_data[[#This Row],[Orginal staus of shipment]]&lt;&gt;"Delivered","not applicabel", IF(logistics_data[[#This Row],[Transit_Days]]&gt;=5,"slow","fast"))</f>
        <v>slow</v>
      </c>
    </row>
    <row r="1347" spans="1:14" x14ac:dyDescent="0.3">
      <c r="A1347" t="s">
        <v>1393</v>
      </c>
      <c r="B1347" t="s">
        <v>51</v>
      </c>
      <c r="C1347" t="s">
        <v>44</v>
      </c>
      <c r="D1347" t="s">
        <v>59</v>
      </c>
      <c r="E1347" s="1">
        <v>45024</v>
      </c>
      <c r="F1347" s="1">
        <v>45027</v>
      </c>
      <c r="G1347">
        <v>26.3</v>
      </c>
      <c r="H1347">
        <v>113.91</v>
      </c>
      <c r="I1347" t="s">
        <v>15</v>
      </c>
      <c r="J1347">
        <v>790</v>
      </c>
      <c r="K1347">
        <v>3</v>
      </c>
      <c r="L1347" t="str">
        <f>IF(logistics_data[[#This Row],[Delivery_Date]]="","In Transit",
 IF(logistics_data[[#This Row],[Status]]="Lost","Lost",
 IF(logistics_data[[#This Row],[Status]]="Returned","Returned",
 IF(logistics_data[[#This Row],[Status]]="Delayed","Delayed",
 "Delivered"))))</f>
        <v>Delivered</v>
      </c>
      <c r="M1347" s="2">
        <f>logistics_data[[#This Row],[Cost]]/logistics_data[[#This Row],[Distance_miles]]</f>
        <v>0.14418987341772152</v>
      </c>
      <c r="N1347" t="str">
        <f>IF(logistics_data[[#This Row],[Orginal staus of shipment]]&lt;&gt;"Delivered","not applicabel", IF(logistics_data[[#This Row],[Transit_Days]]&gt;=5,"slow","fast"))</f>
        <v>fast</v>
      </c>
    </row>
    <row r="1348" spans="1:14" x14ac:dyDescent="0.3">
      <c r="A1348" t="s">
        <v>1394</v>
      </c>
      <c r="B1348" t="s">
        <v>51</v>
      </c>
      <c r="C1348" t="s">
        <v>57</v>
      </c>
      <c r="D1348" t="s">
        <v>32</v>
      </c>
      <c r="E1348" s="1">
        <v>45128</v>
      </c>
      <c r="F1348" s="1">
        <v>45133</v>
      </c>
      <c r="G1348">
        <v>50.9</v>
      </c>
      <c r="H1348">
        <v>324.7</v>
      </c>
      <c r="I1348" t="s">
        <v>15</v>
      </c>
      <c r="J1348">
        <v>2180</v>
      </c>
      <c r="K1348">
        <v>5</v>
      </c>
      <c r="L1348" t="str">
        <f>IF(logistics_data[[#This Row],[Delivery_Date]]="","In Transit",
 IF(logistics_data[[#This Row],[Status]]="Lost","Lost",
 IF(logistics_data[[#This Row],[Status]]="Returned","Returned",
 IF(logistics_data[[#This Row],[Status]]="Delayed","Delayed",
 "Delivered"))))</f>
        <v>Delivered</v>
      </c>
      <c r="M1348" s="2">
        <f>logistics_data[[#This Row],[Cost]]/logistics_data[[#This Row],[Distance_miles]]</f>
        <v>0.14894495412844036</v>
      </c>
      <c r="N1348" t="str">
        <f>IF(logistics_data[[#This Row],[Orginal staus of shipment]]&lt;&gt;"Delivered","not applicabel", IF(logistics_data[[#This Row],[Transit_Days]]&gt;=5,"slow","fast"))</f>
        <v>slow</v>
      </c>
    </row>
    <row r="1349" spans="1:14" x14ac:dyDescent="0.3">
      <c r="A1349" t="s">
        <v>1395</v>
      </c>
      <c r="B1349" t="s">
        <v>39</v>
      </c>
      <c r="C1349" t="s">
        <v>13</v>
      </c>
      <c r="D1349" t="s">
        <v>14</v>
      </c>
      <c r="E1349" s="1">
        <v>44987</v>
      </c>
      <c r="F1349" s="1">
        <v>44992</v>
      </c>
      <c r="G1349">
        <v>47.2</v>
      </c>
      <c r="H1349">
        <v>231.01</v>
      </c>
      <c r="I1349" t="s">
        <v>15</v>
      </c>
      <c r="J1349">
        <v>1362</v>
      </c>
      <c r="K1349">
        <v>5</v>
      </c>
      <c r="L1349" t="str">
        <f>IF(logistics_data[[#This Row],[Delivery_Date]]="","In Transit",
 IF(logistics_data[[#This Row],[Status]]="Lost","Lost",
 IF(logistics_data[[#This Row],[Status]]="Returned","Returned",
 IF(logistics_data[[#This Row],[Status]]="Delayed","Delayed",
 "Delivered"))))</f>
        <v>Delivered</v>
      </c>
      <c r="M1349" s="2">
        <f>logistics_data[[#This Row],[Cost]]/logistics_data[[#This Row],[Distance_miles]]</f>
        <v>0.1696108663729809</v>
      </c>
      <c r="N1349" t="str">
        <f>IF(logistics_data[[#This Row],[Orginal staus of shipment]]&lt;&gt;"Delivered","not applicabel", IF(logistics_data[[#This Row],[Transit_Days]]&gt;=5,"slow","fast"))</f>
        <v>slow</v>
      </c>
    </row>
    <row r="1350" spans="1:14" x14ac:dyDescent="0.3">
      <c r="A1350" t="s">
        <v>1396</v>
      </c>
      <c r="B1350" t="s">
        <v>20</v>
      </c>
      <c r="C1350" t="s">
        <v>52</v>
      </c>
      <c r="D1350" t="s">
        <v>14</v>
      </c>
      <c r="E1350" s="1">
        <v>44935</v>
      </c>
      <c r="F1350" s="1">
        <v>44939</v>
      </c>
      <c r="G1350">
        <v>13</v>
      </c>
      <c r="H1350">
        <v>59.81</v>
      </c>
      <c r="I1350" t="s">
        <v>15</v>
      </c>
      <c r="J1350">
        <v>373</v>
      </c>
      <c r="K1350">
        <v>4</v>
      </c>
      <c r="L1350" t="str">
        <f>IF(logistics_data[[#This Row],[Delivery_Date]]="","In Transit",
 IF(logistics_data[[#This Row],[Status]]="Lost","Lost",
 IF(logistics_data[[#This Row],[Status]]="Returned","Returned",
 IF(logistics_data[[#This Row],[Status]]="Delayed","Delayed",
 "Delivered"))))</f>
        <v>Delivered</v>
      </c>
      <c r="M1350" s="2">
        <f>logistics_data[[#This Row],[Cost]]/logistics_data[[#This Row],[Distance_miles]]</f>
        <v>0.16034852546916892</v>
      </c>
      <c r="N1350" t="str">
        <f>IF(logistics_data[[#This Row],[Orginal staus of shipment]]&lt;&gt;"Delivered","not applicabel", IF(logistics_data[[#This Row],[Transit_Days]]&gt;=5,"slow","fast"))</f>
        <v>fast</v>
      </c>
    </row>
    <row r="1351" spans="1:14" x14ac:dyDescent="0.3">
      <c r="A1351" t="s">
        <v>1397</v>
      </c>
      <c r="B1351" t="s">
        <v>20</v>
      </c>
      <c r="C1351" t="s">
        <v>44</v>
      </c>
      <c r="D1351" t="s">
        <v>42</v>
      </c>
      <c r="E1351" s="1">
        <v>45252</v>
      </c>
      <c r="F1351" s="1">
        <v>45257</v>
      </c>
      <c r="G1351">
        <v>43.7</v>
      </c>
      <c r="H1351">
        <v>283.67</v>
      </c>
      <c r="I1351" t="s">
        <v>15</v>
      </c>
      <c r="J1351">
        <v>1750</v>
      </c>
      <c r="K1351">
        <v>5</v>
      </c>
      <c r="L1351" t="str">
        <f>IF(logistics_data[[#This Row],[Delivery_Date]]="","In Transit",
 IF(logistics_data[[#This Row],[Status]]="Lost","Lost",
 IF(logistics_data[[#This Row],[Status]]="Returned","Returned",
 IF(logistics_data[[#This Row],[Status]]="Delayed","Delayed",
 "Delivered"))))</f>
        <v>Delivered</v>
      </c>
      <c r="M1351" s="2">
        <f>logistics_data[[#This Row],[Cost]]/logistics_data[[#This Row],[Distance_miles]]</f>
        <v>0.16209714285714286</v>
      </c>
      <c r="N1351" t="str">
        <f>IF(logistics_data[[#This Row],[Orginal staus of shipment]]&lt;&gt;"Delivered","not applicabel", IF(logistics_data[[#This Row],[Transit_Days]]&gt;=5,"slow","fast"))</f>
        <v>slow</v>
      </c>
    </row>
    <row r="1352" spans="1:14" x14ac:dyDescent="0.3">
      <c r="A1352" t="s">
        <v>1398</v>
      </c>
      <c r="B1352" t="s">
        <v>20</v>
      </c>
      <c r="C1352" t="s">
        <v>81</v>
      </c>
      <c r="D1352" t="s">
        <v>18</v>
      </c>
      <c r="E1352" s="1">
        <v>45052</v>
      </c>
      <c r="F1352" s="1">
        <v>45055</v>
      </c>
      <c r="G1352">
        <v>4.0999999999999996</v>
      </c>
      <c r="H1352">
        <v>168.66</v>
      </c>
      <c r="I1352" t="s">
        <v>15</v>
      </c>
      <c r="J1352">
        <v>1178</v>
      </c>
      <c r="K1352">
        <v>3</v>
      </c>
      <c r="L1352" t="str">
        <f>IF(logistics_data[[#This Row],[Delivery_Date]]="","In Transit",
 IF(logistics_data[[#This Row],[Status]]="Lost","Lost",
 IF(logistics_data[[#This Row],[Status]]="Returned","Returned",
 IF(logistics_data[[#This Row],[Status]]="Delayed","Delayed",
 "Delivered"))))</f>
        <v>Delivered</v>
      </c>
      <c r="M1352" s="2">
        <f>logistics_data[[#This Row],[Cost]]/logistics_data[[#This Row],[Distance_miles]]</f>
        <v>0.1431748726655348</v>
      </c>
      <c r="N1352" t="str">
        <f>IF(logistics_data[[#This Row],[Orginal staus of shipment]]&lt;&gt;"Delivered","not applicabel", IF(logistics_data[[#This Row],[Transit_Days]]&gt;=5,"slow","fast"))</f>
        <v>fast</v>
      </c>
    </row>
    <row r="1353" spans="1:14" x14ac:dyDescent="0.3">
      <c r="A1353" t="s">
        <v>1399</v>
      </c>
      <c r="B1353" t="s">
        <v>27</v>
      </c>
      <c r="C1353" t="s">
        <v>40</v>
      </c>
      <c r="D1353" t="s">
        <v>18</v>
      </c>
      <c r="E1353" s="1">
        <v>45023</v>
      </c>
      <c r="F1353" s="1">
        <v>45039</v>
      </c>
      <c r="G1353">
        <v>22.1</v>
      </c>
      <c r="H1353">
        <v>381.8</v>
      </c>
      <c r="I1353" t="s">
        <v>47</v>
      </c>
      <c r="J1353">
        <v>2348</v>
      </c>
      <c r="K1353">
        <v>7</v>
      </c>
      <c r="L1353" t="str">
        <f>IF(logistics_data[[#This Row],[Delivery_Date]]="","In Transit",
 IF(logistics_data[[#This Row],[Status]]="Lost","Lost",
 IF(logistics_data[[#This Row],[Status]]="Returned","Returned",
 IF(logistics_data[[#This Row],[Status]]="Delayed","Delayed",
 "Delivered"))))</f>
        <v>Delayed</v>
      </c>
      <c r="M1353" s="2">
        <f>logistics_data[[#This Row],[Cost]]/logistics_data[[#This Row],[Distance_miles]]</f>
        <v>0.16260647359454855</v>
      </c>
      <c r="N1353" t="str">
        <f>IF(logistics_data[[#This Row],[Orginal staus of shipment]]&lt;&gt;"Delivered","not applicabel", IF(logistics_data[[#This Row],[Transit_Days]]&gt;=5,"slow","fast"))</f>
        <v>not applicabel</v>
      </c>
    </row>
    <row r="1354" spans="1:14" x14ac:dyDescent="0.3">
      <c r="A1354" t="s">
        <v>1400</v>
      </c>
      <c r="B1354" t="s">
        <v>23</v>
      </c>
      <c r="C1354" t="s">
        <v>70</v>
      </c>
      <c r="D1354" t="s">
        <v>59</v>
      </c>
      <c r="E1354" s="1">
        <v>44927</v>
      </c>
      <c r="F1354" s="1">
        <v>44932</v>
      </c>
      <c r="G1354">
        <v>10.7</v>
      </c>
      <c r="H1354">
        <v>246.62</v>
      </c>
      <c r="I1354" t="s">
        <v>62</v>
      </c>
      <c r="J1354">
        <v>2185</v>
      </c>
      <c r="K1354">
        <v>5</v>
      </c>
      <c r="L1354" t="str">
        <f>IF(logistics_data[[#This Row],[Delivery_Date]]="","In Transit",
 IF(logistics_data[[#This Row],[Status]]="Lost","Lost",
 IF(logistics_data[[#This Row],[Status]]="Returned","Returned",
 IF(logistics_data[[#This Row],[Status]]="Delayed","Delayed",
 "Delivered"))))</f>
        <v>Delivered</v>
      </c>
      <c r="M1354" s="2">
        <f>logistics_data[[#This Row],[Cost]]/logistics_data[[#This Row],[Distance_miles]]</f>
        <v>0.1128695652173913</v>
      </c>
      <c r="N1354" t="str">
        <f>IF(logistics_data[[#This Row],[Orginal staus of shipment]]&lt;&gt;"Delivered","not applicabel", IF(logistics_data[[#This Row],[Transit_Days]]&gt;=5,"slow","fast"))</f>
        <v>slow</v>
      </c>
    </row>
    <row r="1355" spans="1:14" x14ac:dyDescent="0.3">
      <c r="A1355" t="s">
        <v>1401</v>
      </c>
      <c r="B1355" t="s">
        <v>56</v>
      </c>
      <c r="C1355" t="s">
        <v>24</v>
      </c>
      <c r="D1355" t="s">
        <v>25</v>
      </c>
      <c r="E1355" s="1">
        <v>44977</v>
      </c>
      <c r="F1355" s="1">
        <v>44983</v>
      </c>
      <c r="G1355">
        <v>25.1</v>
      </c>
      <c r="H1355">
        <v>298.55</v>
      </c>
      <c r="I1355" t="s">
        <v>15</v>
      </c>
      <c r="J1355">
        <v>2095</v>
      </c>
      <c r="K1355">
        <v>6</v>
      </c>
      <c r="L1355" t="str">
        <f>IF(logistics_data[[#This Row],[Delivery_Date]]="","In Transit",
 IF(logistics_data[[#This Row],[Status]]="Lost","Lost",
 IF(logistics_data[[#This Row],[Status]]="Returned","Returned",
 IF(logistics_data[[#This Row],[Status]]="Delayed","Delayed",
 "Delivered"))))</f>
        <v>Delivered</v>
      </c>
      <c r="M1355" s="2">
        <f>logistics_data[[#This Row],[Cost]]/logistics_data[[#This Row],[Distance_miles]]</f>
        <v>0.14250596658711218</v>
      </c>
      <c r="N1355" t="str">
        <f>IF(logistics_data[[#This Row],[Orginal staus of shipment]]&lt;&gt;"Delivered","not applicabel", IF(logistics_data[[#This Row],[Transit_Days]]&gt;=5,"slow","fast"))</f>
        <v>slow</v>
      </c>
    </row>
    <row r="1356" spans="1:14" x14ac:dyDescent="0.3">
      <c r="A1356" t="s">
        <v>1402</v>
      </c>
      <c r="B1356" t="s">
        <v>39</v>
      </c>
      <c r="C1356" t="s">
        <v>24</v>
      </c>
      <c r="D1356" t="s">
        <v>25</v>
      </c>
      <c r="E1356" s="1">
        <v>44955</v>
      </c>
      <c r="F1356" s="1">
        <v>44956</v>
      </c>
      <c r="G1356">
        <v>24.3</v>
      </c>
      <c r="H1356">
        <v>115.18</v>
      </c>
      <c r="I1356" t="s">
        <v>15</v>
      </c>
      <c r="J1356">
        <v>663</v>
      </c>
      <c r="K1356">
        <v>1</v>
      </c>
      <c r="L1356" t="str">
        <f>IF(logistics_data[[#This Row],[Delivery_Date]]="","In Transit",
 IF(logistics_data[[#This Row],[Status]]="Lost","Lost",
 IF(logistics_data[[#This Row],[Status]]="Returned","Returned",
 IF(logistics_data[[#This Row],[Status]]="Delayed","Delayed",
 "Delivered"))))</f>
        <v>Delivered</v>
      </c>
      <c r="M1356" s="2">
        <f>logistics_data[[#This Row],[Cost]]/logistics_data[[#This Row],[Distance_miles]]</f>
        <v>0.17372549019607844</v>
      </c>
      <c r="N1356" t="str">
        <f>IF(logistics_data[[#This Row],[Orginal staus of shipment]]&lt;&gt;"Delivered","not applicabel", IF(logistics_data[[#This Row],[Transit_Days]]&gt;=5,"slow","fast"))</f>
        <v>fast</v>
      </c>
    </row>
    <row r="1357" spans="1:14" x14ac:dyDescent="0.3">
      <c r="A1357" t="s">
        <v>1403</v>
      </c>
      <c r="B1357" t="s">
        <v>12</v>
      </c>
      <c r="C1357" t="s">
        <v>81</v>
      </c>
      <c r="D1357" t="s">
        <v>59</v>
      </c>
      <c r="E1357" s="1">
        <v>45043</v>
      </c>
      <c r="F1357" s="1">
        <v>45048</v>
      </c>
      <c r="G1357">
        <v>8.6</v>
      </c>
      <c r="H1357">
        <v>232.52</v>
      </c>
      <c r="I1357" t="s">
        <v>15</v>
      </c>
      <c r="J1357">
        <v>2054</v>
      </c>
      <c r="K1357">
        <v>5</v>
      </c>
      <c r="L1357" t="str">
        <f>IF(logistics_data[[#This Row],[Delivery_Date]]="","In Transit",
 IF(logistics_data[[#This Row],[Status]]="Lost","Lost",
 IF(logistics_data[[#This Row],[Status]]="Returned","Returned",
 IF(logistics_data[[#This Row],[Status]]="Delayed","Delayed",
 "Delivered"))))</f>
        <v>Delivered</v>
      </c>
      <c r="M1357" s="2">
        <f>logistics_data[[#This Row],[Cost]]/logistics_data[[#This Row],[Distance_miles]]</f>
        <v>0.11320350535540409</v>
      </c>
      <c r="N1357" t="str">
        <f>IF(logistics_data[[#This Row],[Orginal staus of shipment]]&lt;&gt;"Delivered","not applicabel", IF(logistics_data[[#This Row],[Transit_Days]]&gt;=5,"slow","fast"))</f>
        <v>slow</v>
      </c>
    </row>
    <row r="1358" spans="1:14" x14ac:dyDescent="0.3">
      <c r="A1358" t="s">
        <v>1404</v>
      </c>
      <c r="B1358" t="s">
        <v>49</v>
      </c>
      <c r="C1358" t="s">
        <v>24</v>
      </c>
      <c r="D1358" t="s">
        <v>42</v>
      </c>
      <c r="E1358" s="1">
        <v>45267</v>
      </c>
      <c r="F1358" s="1">
        <v>45273</v>
      </c>
      <c r="G1358">
        <v>5.3</v>
      </c>
      <c r="H1358">
        <v>325.32</v>
      </c>
      <c r="I1358" t="s">
        <v>15</v>
      </c>
      <c r="J1358">
        <v>2197</v>
      </c>
      <c r="K1358">
        <v>6</v>
      </c>
      <c r="L1358" t="str">
        <f>IF(logistics_data[[#This Row],[Delivery_Date]]="","In Transit",
 IF(logistics_data[[#This Row],[Status]]="Lost","Lost",
 IF(logistics_data[[#This Row],[Status]]="Returned","Returned",
 IF(logistics_data[[#This Row],[Status]]="Delayed","Delayed",
 "Delivered"))))</f>
        <v>Delivered</v>
      </c>
      <c r="M1358" s="2">
        <f>logistics_data[[#This Row],[Cost]]/logistics_data[[#This Row],[Distance_miles]]</f>
        <v>0.14807464724624489</v>
      </c>
      <c r="N1358" t="str">
        <f>IF(logistics_data[[#This Row],[Orginal staus of shipment]]&lt;&gt;"Delivered","not applicabel", IF(logistics_data[[#This Row],[Transit_Days]]&gt;=5,"slow","fast"))</f>
        <v>slow</v>
      </c>
    </row>
    <row r="1359" spans="1:14" x14ac:dyDescent="0.3">
      <c r="A1359" t="s">
        <v>1405</v>
      </c>
      <c r="B1359" t="s">
        <v>35</v>
      </c>
      <c r="C1359" t="s">
        <v>57</v>
      </c>
      <c r="D1359" t="s">
        <v>42</v>
      </c>
      <c r="E1359" s="1">
        <v>44932</v>
      </c>
      <c r="F1359" s="1">
        <v>44938</v>
      </c>
      <c r="G1359">
        <v>5.7</v>
      </c>
      <c r="H1359">
        <v>29.11</v>
      </c>
      <c r="I1359" t="s">
        <v>15</v>
      </c>
      <c r="J1359">
        <v>2368</v>
      </c>
      <c r="K1359">
        <v>6</v>
      </c>
      <c r="L1359" t="str">
        <f>IF(logistics_data[[#This Row],[Delivery_Date]]="","In Transit",
 IF(logistics_data[[#This Row],[Status]]="Lost","Lost",
 IF(logistics_data[[#This Row],[Status]]="Returned","Returned",
 IF(logistics_data[[#This Row],[Status]]="Delayed","Delayed",
 "Delivered"))))</f>
        <v>Delivered</v>
      </c>
      <c r="M1359" s="2">
        <f>logistics_data[[#This Row],[Cost]]/logistics_data[[#This Row],[Distance_miles]]</f>
        <v>1.2293074324324324E-2</v>
      </c>
      <c r="N1359" t="str">
        <f>IF(logistics_data[[#This Row],[Orginal staus of shipment]]&lt;&gt;"Delivered","not applicabel", IF(logistics_data[[#This Row],[Transit_Days]]&gt;=5,"slow","fast"))</f>
        <v>slow</v>
      </c>
    </row>
    <row r="1360" spans="1:14" x14ac:dyDescent="0.3">
      <c r="A1360" t="s">
        <v>1406</v>
      </c>
      <c r="B1360" t="s">
        <v>23</v>
      </c>
      <c r="C1360" t="s">
        <v>44</v>
      </c>
      <c r="D1360" t="s">
        <v>59</v>
      </c>
      <c r="E1360" s="1">
        <v>44982</v>
      </c>
      <c r="F1360" s="1">
        <v>44988</v>
      </c>
      <c r="G1360">
        <v>29.3</v>
      </c>
      <c r="H1360">
        <v>277.17</v>
      </c>
      <c r="I1360" t="s">
        <v>15</v>
      </c>
      <c r="J1360">
        <v>1989</v>
      </c>
      <c r="K1360">
        <v>6</v>
      </c>
      <c r="L1360" t="str">
        <f>IF(logistics_data[[#This Row],[Delivery_Date]]="","In Transit",
 IF(logistics_data[[#This Row],[Status]]="Lost","Lost",
 IF(logistics_data[[#This Row],[Status]]="Returned","Returned",
 IF(logistics_data[[#This Row],[Status]]="Delayed","Delayed",
 "Delivered"))))</f>
        <v>Delivered</v>
      </c>
      <c r="M1360" s="2">
        <f>logistics_data[[#This Row],[Cost]]/logistics_data[[#This Row],[Distance_miles]]</f>
        <v>0.13935143288084464</v>
      </c>
      <c r="N1360" t="str">
        <f>IF(logistics_data[[#This Row],[Orginal staus of shipment]]&lt;&gt;"Delivered","not applicabel", IF(logistics_data[[#This Row],[Transit_Days]]&gt;=5,"slow","fast"))</f>
        <v>slow</v>
      </c>
    </row>
    <row r="1361" spans="1:14" x14ac:dyDescent="0.3">
      <c r="A1361" t="s">
        <v>1407</v>
      </c>
      <c r="B1361" t="s">
        <v>20</v>
      </c>
      <c r="C1361" t="s">
        <v>40</v>
      </c>
      <c r="D1361" t="s">
        <v>14</v>
      </c>
      <c r="E1361" s="1">
        <v>45209</v>
      </c>
      <c r="F1361" s="1">
        <v>45220</v>
      </c>
      <c r="G1361">
        <v>47.8</v>
      </c>
      <c r="H1361">
        <v>169.45</v>
      </c>
      <c r="I1361" t="s">
        <v>47</v>
      </c>
      <c r="J1361">
        <v>845</v>
      </c>
      <c r="K1361">
        <v>5</v>
      </c>
      <c r="L1361" t="str">
        <f>IF(logistics_data[[#This Row],[Delivery_Date]]="","In Transit",
 IF(logistics_data[[#This Row],[Status]]="Lost","Lost",
 IF(logistics_data[[#This Row],[Status]]="Returned","Returned",
 IF(logistics_data[[#This Row],[Status]]="Delayed","Delayed",
 "Delivered"))))</f>
        <v>Delayed</v>
      </c>
      <c r="M1361" s="2">
        <f>logistics_data[[#This Row],[Cost]]/logistics_data[[#This Row],[Distance_miles]]</f>
        <v>0.20053254437869822</v>
      </c>
      <c r="N1361" t="str">
        <f>IF(logistics_data[[#This Row],[Orginal staus of shipment]]&lt;&gt;"Delivered","not applicabel", IF(logistics_data[[#This Row],[Transit_Days]]&gt;=5,"slow","fast"))</f>
        <v>not applicabel</v>
      </c>
    </row>
    <row r="1362" spans="1:14" x14ac:dyDescent="0.3">
      <c r="A1362" t="s">
        <v>1408</v>
      </c>
      <c r="B1362" t="s">
        <v>27</v>
      </c>
      <c r="C1362" t="s">
        <v>52</v>
      </c>
      <c r="D1362" t="s">
        <v>25</v>
      </c>
      <c r="E1362" s="1">
        <v>45185</v>
      </c>
      <c r="F1362" s="1">
        <v>45199</v>
      </c>
      <c r="G1362">
        <v>21.2</v>
      </c>
      <c r="H1362">
        <v>45.18</v>
      </c>
      <c r="I1362" t="s">
        <v>47</v>
      </c>
      <c r="J1362">
        <v>130</v>
      </c>
      <c r="K1362">
        <v>2</v>
      </c>
      <c r="L1362" t="str">
        <f>IF(logistics_data[[#This Row],[Delivery_Date]]="","In Transit",
 IF(logistics_data[[#This Row],[Status]]="Lost","Lost",
 IF(logistics_data[[#This Row],[Status]]="Returned","Returned",
 IF(logistics_data[[#This Row],[Status]]="Delayed","Delayed",
 "Delivered"))))</f>
        <v>Delayed</v>
      </c>
      <c r="M1362" s="2">
        <f>logistics_data[[#This Row],[Cost]]/logistics_data[[#This Row],[Distance_miles]]</f>
        <v>0.34753846153846152</v>
      </c>
      <c r="N1362" t="str">
        <f>IF(logistics_data[[#This Row],[Orginal staus of shipment]]&lt;&gt;"Delivered","not applicabel", IF(logistics_data[[#This Row],[Transit_Days]]&gt;=5,"slow","fast"))</f>
        <v>not applicabel</v>
      </c>
    </row>
    <row r="1363" spans="1:14" x14ac:dyDescent="0.3">
      <c r="A1363" t="s">
        <v>1409</v>
      </c>
      <c r="B1363" t="s">
        <v>39</v>
      </c>
      <c r="C1363" t="s">
        <v>52</v>
      </c>
      <c r="D1363" t="s">
        <v>42</v>
      </c>
      <c r="E1363" s="1">
        <v>45097</v>
      </c>
      <c r="F1363" s="1">
        <v>45100</v>
      </c>
      <c r="G1363">
        <v>20</v>
      </c>
      <c r="H1363">
        <v>134.57</v>
      </c>
      <c r="I1363" t="s">
        <v>60</v>
      </c>
      <c r="J1363">
        <v>1020</v>
      </c>
      <c r="K1363">
        <v>3</v>
      </c>
      <c r="L1363" t="str">
        <f>IF(logistics_data[[#This Row],[Delivery_Date]]="","In Transit",
 IF(logistics_data[[#This Row],[Status]]="Lost","Lost",
 IF(logistics_data[[#This Row],[Status]]="Returned","Returned",
 IF(logistics_data[[#This Row],[Status]]="Delayed","Delayed",
 "Delivered"))))</f>
        <v>Lost</v>
      </c>
      <c r="M1363" s="2">
        <f>logistics_data[[#This Row],[Cost]]/logistics_data[[#This Row],[Distance_miles]]</f>
        <v>0.1319313725490196</v>
      </c>
      <c r="N1363" t="str">
        <f>IF(logistics_data[[#This Row],[Orginal staus of shipment]]&lt;&gt;"Delivered","not applicabel", IF(logistics_data[[#This Row],[Transit_Days]]&gt;=5,"slow","fast"))</f>
        <v>not applicabel</v>
      </c>
    </row>
    <row r="1364" spans="1:14" x14ac:dyDescent="0.3">
      <c r="A1364" t="s">
        <v>1410</v>
      </c>
      <c r="B1364" t="s">
        <v>49</v>
      </c>
      <c r="C1364" t="s">
        <v>36</v>
      </c>
      <c r="D1364" t="s">
        <v>59</v>
      </c>
      <c r="E1364" s="1">
        <v>45018</v>
      </c>
      <c r="F1364" s="1">
        <v>45023</v>
      </c>
      <c r="G1364">
        <v>8.4</v>
      </c>
      <c r="H1364">
        <v>83.54</v>
      </c>
      <c r="I1364" t="s">
        <v>15</v>
      </c>
      <c r="J1364">
        <v>598</v>
      </c>
      <c r="K1364">
        <v>5</v>
      </c>
      <c r="L1364" t="str">
        <f>IF(logistics_data[[#This Row],[Delivery_Date]]="","In Transit",
 IF(logistics_data[[#This Row],[Status]]="Lost","Lost",
 IF(logistics_data[[#This Row],[Status]]="Returned","Returned",
 IF(logistics_data[[#This Row],[Status]]="Delayed","Delayed",
 "Delivered"))))</f>
        <v>Delivered</v>
      </c>
      <c r="M1364" s="2">
        <f>logistics_data[[#This Row],[Cost]]/logistics_data[[#This Row],[Distance_miles]]</f>
        <v>0.13969899665551841</v>
      </c>
      <c r="N1364" t="str">
        <f>IF(logistics_data[[#This Row],[Orginal staus of shipment]]&lt;&gt;"Delivered","not applicabel", IF(logistics_data[[#This Row],[Transit_Days]]&gt;=5,"slow","fast"))</f>
        <v>slow</v>
      </c>
    </row>
    <row r="1365" spans="1:14" x14ac:dyDescent="0.3">
      <c r="A1365" t="s">
        <v>1411</v>
      </c>
      <c r="B1365" t="s">
        <v>20</v>
      </c>
      <c r="C1365" t="s">
        <v>44</v>
      </c>
      <c r="D1365" t="s">
        <v>18</v>
      </c>
      <c r="E1365" s="1">
        <v>45053</v>
      </c>
      <c r="F1365" s="1">
        <v>45061</v>
      </c>
      <c r="G1365">
        <v>18.7</v>
      </c>
      <c r="H1365">
        <v>286.31</v>
      </c>
      <c r="I1365" t="s">
        <v>47</v>
      </c>
      <c r="J1365">
        <v>1743</v>
      </c>
      <c r="K1365">
        <v>5</v>
      </c>
      <c r="L1365" t="str">
        <f>IF(logistics_data[[#This Row],[Delivery_Date]]="","In Transit",
 IF(logistics_data[[#This Row],[Status]]="Lost","Lost",
 IF(logistics_data[[#This Row],[Status]]="Returned","Returned",
 IF(logistics_data[[#This Row],[Status]]="Delayed","Delayed",
 "Delivered"))))</f>
        <v>Delayed</v>
      </c>
      <c r="M1365" s="2">
        <f>logistics_data[[#This Row],[Cost]]/logistics_data[[#This Row],[Distance_miles]]</f>
        <v>0.16426276534710268</v>
      </c>
      <c r="N1365" t="str">
        <f>IF(logistics_data[[#This Row],[Orginal staus of shipment]]&lt;&gt;"Delivered","not applicabel", IF(logistics_data[[#This Row],[Transit_Days]]&gt;=5,"slow","fast"))</f>
        <v>not applicabel</v>
      </c>
    </row>
    <row r="1366" spans="1:14" x14ac:dyDescent="0.3">
      <c r="A1366" t="s">
        <v>1412</v>
      </c>
      <c r="B1366" t="s">
        <v>27</v>
      </c>
      <c r="C1366" t="s">
        <v>17</v>
      </c>
      <c r="D1366" t="s">
        <v>18</v>
      </c>
      <c r="E1366" s="1">
        <v>45203</v>
      </c>
      <c r="F1366" s="1">
        <v>45207</v>
      </c>
      <c r="G1366">
        <v>35.299999999999997</v>
      </c>
      <c r="H1366">
        <v>316.54000000000002</v>
      </c>
      <c r="I1366" t="s">
        <v>15</v>
      </c>
      <c r="J1366">
        <v>1866</v>
      </c>
      <c r="K1366">
        <v>4</v>
      </c>
      <c r="L1366" t="str">
        <f>IF(logistics_data[[#This Row],[Delivery_Date]]="","In Transit",
 IF(logistics_data[[#This Row],[Status]]="Lost","Lost",
 IF(logistics_data[[#This Row],[Status]]="Returned","Returned",
 IF(logistics_data[[#This Row],[Status]]="Delayed","Delayed",
 "Delivered"))))</f>
        <v>Delivered</v>
      </c>
      <c r="M1366" s="2">
        <f>logistics_data[[#This Row],[Cost]]/logistics_data[[#This Row],[Distance_miles]]</f>
        <v>0.16963558413719187</v>
      </c>
      <c r="N1366" t="str">
        <f>IF(logistics_data[[#This Row],[Orginal staus of shipment]]&lt;&gt;"Delivered","not applicabel", IF(logistics_data[[#This Row],[Transit_Days]]&gt;=5,"slow","fast"))</f>
        <v>fast</v>
      </c>
    </row>
    <row r="1367" spans="1:14" x14ac:dyDescent="0.3">
      <c r="A1367" t="s">
        <v>1413</v>
      </c>
      <c r="B1367" t="s">
        <v>49</v>
      </c>
      <c r="C1367" t="s">
        <v>70</v>
      </c>
      <c r="D1367" t="s">
        <v>37</v>
      </c>
      <c r="E1367" s="1">
        <v>45287</v>
      </c>
      <c r="F1367" s="1">
        <v>45291</v>
      </c>
      <c r="G1367">
        <v>12.7</v>
      </c>
      <c r="H1367">
        <v>208.88</v>
      </c>
      <c r="I1367" t="s">
        <v>15</v>
      </c>
      <c r="J1367">
        <v>1413</v>
      </c>
      <c r="K1367">
        <v>4</v>
      </c>
      <c r="L1367" t="str">
        <f>IF(logistics_data[[#This Row],[Delivery_Date]]="","In Transit",
 IF(logistics_data[[#This Row],[Status]]="Lost","Lost",
 IF(logistics_data[[#This Row],[Status]]="Returned","Returned",
 IF(logistics_data[[#This Row],[Status]]="Delayed","Delayed",
 "Delivered"))))</f>
        <v>Delivered</v>
      </c>
      <c r="M1367" s="2">
        <f>logistics_data[[#This Row],[Cost]]/logistics_data[[#This Row],[Distance_miles]]</f>
        <v>0.14782731776362348</v>
      </c>
      <c r="N1367" t="str">
        <f>IF(logistics_data[[#This Row],[Orginal staus of shipment]]&lt;&gt;"Delivered","not applicabel", IF(logistics_data[[#This Row],[Transit_Days]]&gt;=5,"slow","fast"))</f>
        <v>fast</v>
      </c>
    </row>
    <row r="1368" spans="1:14" x14ac:dyDescent="0.3">
      <c r="A1368" t="s">
        <v>1414</v>
      </c>
      <c r="B1368" t="s">
        <v>12</v>
      </c>
      <c r="C1368" t="s">
        <v>13</v>
      </c>
      <c r="D1368" t="s">
        <v>42</v>
      </c>
      <c r="E1368" s="1">
        <v>45222</v>
      </c>
      <c r="F1368" s="1">
        <v>45224</v>
      </c>
      <c r="G1368">
        <v>28</v>
      </c>
      <c r="H1368">
        <v>146.54</v>
      </c>
      <c r="I1368" t="s">
        <v>15</v>
      </c>
      <c r="J1368">
        <v>956</v>
      </c>
      <c r="K1368">
        <v>2</v>
      </c>
      <c r="L1368" t="str">
        <f>IF(logistics_data[[#This Row],[Delivery_Date]]="","In Transit",
 IF(logistics_data[[#This Row],[Status]]="Lost","Lost",
 IF(logistics_data[[#This Row],[Status]]="Returned","Returned",
 IF(logistics_data[[#This Row],[Status]]="Delayed","Delayed",
 "Delivered"))))</f>
        <v>Delivered</v>
      </c>
      <c r="M1368" s="2">
        <f>logistics_data[[#This Row],[Cost]]/logistics_data[[#This Row],[Distance_miles]]</f>
        <v>0.15328451882845187</v>
      </c>
      <c r="N1368" t="str">
        <f>IF(logistics_data[[#This Row],[Orginal staus of shipment]]&lt;&gt;"Delivered","not applicabel", IF(logistics_data[[#This Row],[Transit_Days]]&gt;=5,"slow","fast"))</f>
        <v>fast</v>
      </c>
    </row>
    <row r="1369" spans="1:14" x14ac:dyDescent="0.3">
      <c r="A1369" t="s">
        <v>1415</v>
      </c>
      <c r="B1369" t="s">
        <v>56</v>
      </c>
      <c r="C1369" t="s">
        <v>31</v>
      </c>
      <c r="D1369" t="s">
        <v>32</v>
      </c>
      <c r="E1369" s="1">
        <v>45219</v>
      </c>
      <c r="F1369" s="1">
        <v>45223</v>
      </c>
      <c r="G1369">
        <v>12</v>
      </c>
      <c r="H1369">
        <v>210.09</v>
      </c>
      <c r="I1369" t="s">
        <v>15</v>
      </c>
      <c r="J1369">
        <v>1580</v>
      </c>
      <c r="K1369">
        <v>4</v>
      </c>
      <c r="L1369" t="str">
        <f>IF(logistics_data[[#This Row],[Delivery_Date]]="","In Transit",
 IF(logistics_data[[#This Row],[Status]]="Lost","Lost",
 IF(logistics_data[[#This Row],[Status]]="Returned","Returned",
 IF(logistics_data[[#This Row],[Status]]="Delayed","Delayed",
 "Delivered"))))</f>
        <v>Delivered</v>
      </c>
      <c r="M1369" s="2">
        <f>logistics_data[[#This Row],[Cost]]/logistics_data[[#This Row],[Distance_miles]]</f>
        <v>0.13296835443037974</v>
      </c>
      <c r="N1369" t="str">
        <f>IF(logistics_data[[#This Row],[Orginal staus of shipment]]&lt;&gt;"Delivered","not applicabel", IF(logistics_data[[#This Row],[Transit_Days]]&gt;=5,"slow","fast"))</f>
        <v>fast</v>
      </c>
    </row>
    <row r="1370" spans="1:14" x14ac:dyDescent="0.3">
      <c r="A1370" t="s">
        <v>1416</v>
      </c>
      <c r="B1370" t="s">
        <v>51</v>
      </c>
      <c r="C1370" t="s">
        <v>57</v>
      </c>
      <c r="D1370" t="s">
        <v>59</v>
      </c>
      <c r="E1370" s="1">
        <v>45172</v>
      </c>
      <c r="F1370" s="1">
        <v>45176</v>
      </c>
      <c r="G1370">
        <v>15.1</v>
      </c>
      <c r="H1370">
        <v>152.29</v>
      </c>
      <c r="I1370" t="s">
        <v>15</v>
      </c>
      <c r="J1370">
        <v>1216</v>
      </c>
      <c r="K1370">
        <v>4</v>
      </c>
      <c r="L1370" t="str">
        <f>IF(logistics_data[[#This Row],[Delivery_Date]]="","In Transit",
 IF(logistics_data[[#This Row],[Status]]="Lost","Lost",
 IF(logistics_data[[#This Row],[Status]]="Returned","Returned",
 IF(logistics_data[[#This Row],[Status]]="Delayed","Delayed",
 "Delivered"))))</f>
        <v>Delivered</v>
      </c>
      <c r="M1370" s="2">
        <f>logistics_data[[#This Row],[Cost]]/logistics_data[[#This Row],[Distance_miles]]</f>
        <v>0.12523848684210526</v>
      </c>
      <c r="N1370" t="str">
        <f>IF(logistics_data[[#This Row],[Orginal staus of shipment]]&lt;&gt;"Delivered","not applicabel", IF(logistics_data[[#This Row],[Transit_Days]]&gt;=5,"slow","fast"))</f>
        <v>fast</v>
      </c>
    </row>
    <row r="1371" spans="1:14" x14ac:dyDescent="0.3">
      <c r="A1371" t="s">
        <v>1417</v>
      </c>
      <c r="B1371" t="s">
        <v>23</v>
      </c>
      <c r="C1371" t="s">
        <v>28</v>
      </c>
      <c r="D1371" t="s">
        <v>32</v>
      </c>
      <c r="E1371" s="1">
        <v>44993</v>
      </c>
      <c r="F1371" s="1">
        <v>44999</v>
      </c>
      <c r="G1371">
        <v>28.6</v>
      </c>
      <c r="H1371">
        <v>328.6</v>
      </c>
      <c r="I1371" t="s">
        <v>15</v>
      </c>
      <c r="J1371">
        <v>2066</v>
      </c>
      <c r="K1371">
        <v>6</v>
      </c>
      <c r="L1371" t="str">
        <f>IF(logistics_data[[#This Row],[Delivery_Date]]="","In Transit",
 IF(logistics_data[[#This Row],[Status]]="Lost","Lost",
 IF(logistics_data[[#This Row],[Status]]="Returned","Returned",
 IF(logistics_data[[#This Row],[Status]]="Delayed","Delayed",
 "Delivered"))))</f>
        <v>Delivered</v>
      </c>
      <c r="M1371" s="2">
        <f>logistics_data[[#This Row],[Cost]]/logistics_data[[#This Row],[Distance_miles]]</f>
        <v>0.15905130687318492</v>
      </c>
      <c r="N1371" t="str">
        <f>IF(logistics_data[[#This Row],[Orginal staus of shipment]]&lt;&gt;"Delivered","not applicabel", IF(logistics_data[[#This Row],[Transit_Days]]&gt;=5,"slow","fast"))</f>
        <v>slow</v>
      </c>
    </row>
    <row r="1372" spans="1:14" x14ac:dyDescent="0.3">
      <c r="A1372" t="s">
        <v>1418</v>
      </c>
      <c r="B1372" t="s">
        <v>51</v>
      </c>
      <c r="C1372" t="s">
        <v>70</v>
      </c>
      <c r="D1372" t="s">
        <v>25</v>
      </c>
      <c r="E1372" s="1">
        <v>45269</v>
      </c>
      <c r="F1372" s="1">
        <v>45272</v>
      </c>
      <c r="G1372">
        <v>40.9</v>
      </c>
      <c r="H1372">
        <v>186.93</v>
      </c>
      <c r="I1372" t="s">
        <v>60</v>
      </c>
      <c r="J1372">
        <v>855</v>
      </c>
      <c r="K1372">
        <v>3</v>
      </c>
      <c r="L1372" t="str">
        <f>IF(logistics_data[[#This Row],[Delivery_Date]]="","In Transit",
 IF(logistics_data[[#This Row],[Status]]="Lost","Lost",
 IF(logistics_data[[#This Row],[Status]]="Returned","Returned",
 IF(logistics_data[[#This Row],[Status]]="Delayed","Delayed",
 "Delivered"))))</f>
        <v>Lost</v>
      </c>
      <c r="M1372" s="2">
        <f>logistics_data[[#This Row],[Cost]]/logistics_data[[#This Row],[Distance_miles]]</f>
        <v>0.21863157894736843</v>
      </c>
      <c r="N1372" t="str">
        <f>IF(logistics_data[[#This Row],[Orginal staus of shipment]]&lt;&gt;"Delivered","not applicabel", IF(logistics_data[[#This Row],[Transit_Days]]&gt;=5,"slow","fast"))</f>
        <v>not applicabel</v>
      </c>
    </row>
    <row r="1373" spans="1:14" x14ac:dyDescent="0.3">
      <c r="A1373" t="s">
        <v>1419</v>
      </c>
      <c r="B1373" t="s">
        <v>12</v>
      </c>
      <c r="C1373" t="s">
        <v>40</v>
      </c>
      <c r="D1373" t="s">
        <v>59</v>
      </c>
      <c r="E1373" s="1">
        <v>45129</v>
      </c>
      <c r="F1373" s="1">
        <v>45132</v>
      </c>
      <c r="G1373">
        <v>20.7</v>
      </c>
      <c r="H1373">
        <v>57.14</v>
      </c>
      <c r="I1373" t="s">
        <v>15</v>
      </c>
      <c r="J1373">
        <v>298</v>
      </c>
      <c r="K1373">
        <v>3</v>
      </c>
      <c r="L1373" t="str">
        <f>IF(logistics_data[[#This Row],[Delivery_Date]]="","In Transit",
 IF(logistics_data[[#This Row],[Status]]="Lost","Lost",
 IF(logistics_data[[#This Row],[Status]]="Returned","Returned",
 IF(logistics_data[[#This Row],[Status]]="Delayed","Delayed",
 "Delivered"))))</f>
        <v>Delivered</v>
      </c>
      <c r="M1373" s="2">
        <f>logistics_data[[#This Row],[Cost]]/logistics_data[[#This Row],[Distance_miles]]</f>
        <v>0.19174496644295302</v>
      </c>
      <c r="N1373" t="str">
        <f>IF(logistics_data[[#This Row],[Orginal staus of shipment]]&lt;&gt;"Delivered","not applicabel", IF(logistics_data[[#This Row],[Transit_Days]]&gt;=5,"slow","fast"))</f>
        <v>fast</v>
      </c>
    </row>
    <row r="1374" spans="1:14" x14ac:dyDescent="0.3">
      <c r="A1374" t="s">
        <v>1420</v>
      </c>
      <c r="B1374" t="s">
        <v>12</v>
      </c>
      <c r="C1374" t="s">
        <v>21</v>
      </c>
      <c r="D1374" t="s">
        <v>59</v>
      </c>
      <c r="E1374" s="1">
        <v>45183</v>
      </c>
      <c r="F1374" s="1">
        <v>45193</v>
      </c>
      <c r="G1374">
        <v>67.2</v>
      </c>
      <c r="H1374">
        <v>359.97</v>
      </c>
      <c r="I1374" t="s">
        <v>60</v>
      </c>
      <c r="J1374">
        <v>2311</v>
      </c>
      <c r="K1374">
        <v>10</v>
      </c>
      <c r="L1374" t="str">
        <f>IF(logistics_data[[#This Row],[Delivery_Date]]="","In Transit",
 IF(logistics_data[[#This Row],[Status]]="Lost","Lost",
 IF(logistics_data[[#This Row],[Status]]="Returned","Returned",
 IF(logistics_data[[#This Row],[Status]]="Delayed","Delayed",
 "Delivered"))))</f>
        <v>Lost</v>
      </c>
      <c r="M1374" s="2">
        <f>logistics_data[[#This Row],[Cost]]/logistics_data[[#This Row],[Distance_miles]]</f>
        <v>0.15576373864128085</v>
      </c>
      <c r="N1374" t="str">
        <f>IF(logistics_data[[#This Row],[Orginal staus of shipment]]&lt;&gt;"Delivered","not applicabel", IF(logistics_data[[#This Row],[Transit_Days]]&gt;=5,"slow","fast"))</f>
        <v>not applicabel</v>
      </c>
    </row>
    <row r="1375" spans="1:14" x14ac:dyDescent="0.3">
      <c r="A1375" t="s">
        <v>1421</v>
      </c>
      <c r="B1375" t="s">
        <v>30</v>
      </c>
      <c r="C1375" t="s">
        <v>52</v>
      </c>
      <c r="D1375" t="s">
        <v>32</v>
      </c>
      <c r="E1375" s="1">
        <v>45244</v>
      </c>
      <c r="F1375" s="1">
        <v>45247</v>
      </c>
      <c r="G1375">
        <v>35.200000000000003</v>
      </c>
      <c r="H1375">
        <v>87.57</v>
      </c>
      <c r="I1375" t="s">
        <v>15</v>
      </c>
      <c r="J1375">
        <v>214</v>
      </c>
      <c r="K1375">
        <v>3</v>
      </c>
      <c r="L1375" t="str">
        <f>IF(logistics_data[[#This Row],[Delivery_Date]]="","In Transit",
 IF(logistics_data[[#This Row],[Status]]="Lost","Lost",
 IF(logistics_data[[#This Row],[Status]]="Returned","Returned",
 IF(logistics_data[[#This Row],[Status]]="Delayed","Delayed",
 "Delivered"))))</f>
        <v>Delivered</v>
      </c>
      <c r="M1375" s="2">
        <f>logistics_data[[#This Row],[Cost]]/logistics_data[[#This Row],[Distance_miles]]</f>
        <v>0.40920560747663548</v>
      </c>
      <c r="N1375" t="str">
        <f>IF(logistics_data[[#This Row],[Orginal staus of shipment]]&lt;&gt;"Delivered","not applicabel", IF(logistics_data[[#This Row],[Transit_Days]]&gt;=5,"slow","fast"))</f>
        <v>fast</v>
      </c>
    </row>
    <row r="1376" spans="1:14" x14ac:dyDescent="0.3">
      <c r="A1376" t="s">
        <v>1422</v>
      </c>
      <c r="B1376" t="s">
        <v>12</v>
      </c>
      <c r="C1376" t="s">
        <v>46</v>
      </c>
      <c r="D1376" t="s">
        <v>59</v>
      </c>
      <c r="E1376" s="1">
        <v>44949</v>
      </c>
      <c r="F1376" s="1">
        <v>44964</v>
      </c>
      <c r="G1376">
        <v>14.9</v>
      </c>
      <c r="H1376">
        <v>220.29</v>
      </c>
      <c r="I1376" t="s">
        <v>47</v>
      </c>
      <c r="J1376">
        <v>1859</v>
      </c>
      <c r="K1376">
        <v>5</v>
      </c>
      <c r="L1376" t="str">
        <f>IF(logistics_data[[#This Row],[Delivery_Date]]="","In Transit",
 IF(logistics_data[[#This Row],[Status]]="Lost","Lost",
 IF(logistics_data[[#This Row],[Status]]="Returned","Returned",
 IF(logistics_data[[#This Row],[Status]]="Delayed","Delayed",
 "Delivered"))))</f>
        <v>Delayed</v>
      </c>
      <c r="M1376" s="2">
        <f>logistics_data[[#This Row],[Cost]]/logistics_data[[#This Row],[Distance_miles]]</f>
        <v>0.11849919311457772</v>
      </c>
      <c r="N1376" t="str">
        <f>IF(logistics_data[[#This Row],[Orginal staus of shipment]]&lt;&gt;"Delivered","not applicabel", IF(logistics_data[[#This Row],[Transit_Days]]&gt;=5,"slow","fast"))</f>
        <v>not applicabel</v>
      </c>
    </row>
    <row r="1377" spans="1:14" x14ac:dyDescent="0.3">
      <c r="A1377" t="s">
        <v>1423</v>
      </c>
      <c r="B1377" t="s">
        <v>35</v>
      </c>
      <c r="C1377" t="s">
        <v>17</v>
      </c>
      <c r="D1377" t="s">
        <v>59</v>
      </c>
      <c r="E1377" s="1">
        <v>45050</v>
      </c>
      <c r="F1377" s="1">
        <v>45061</v>
      </c>
      <c r="G1377">
        <v>8.6</v>
      </c>
      <c r="H1377">
        <v>258.77999999999997</v>
      </c>
      <c r="I1377" t="s">
        <v>47</v>
      </c>
      <c r="J1377">
        <v>2199</v>
      </c>
      <c r="K1377">
        <v>5</v>
      </c>
      <c r="L1377" t="str">
        <f>IF(logistics_data[[#This Row],[Delivery_Date]]="","In Transit",
 IF(logistics_data[[#This Row],[Status]]="Lost","Lost",
 IF(logistics_data[[#This Row],[Status]]="Returned","Returned",
 IF(logistics_data[[#This Row],[Status]]="Delayed","Delayed",
 "Delivered"))))</f>
        <v>Delayed</v>
      </c>
      <c r="M1377" s="2">
        <f>logistics_data[[#This Row],[Cost]]/logistics_data[[#This Row],[Distance_miles]]</f>
        <v>0.11768076398362891</v>
      </c>
      <c r="N1377" t="str">
        <f>IF(logistics_data[[#This Row],[Orginal staus of shipment]]&lt;&gt;"Delivered","not applicabel", IF(logistics_data[[#This Row],[Transit_Days]]&gt;=5,"slow","fast"))</f>
        <v>not applicabel</v>
      </c>
    </row>
    <row r="1378" spans="1:14" x14ac:dyDescent="0.3">
      <c r="A1378" t="s">
        <v>1424</v>
      </c>
      <c r="B1378" t="s">
        <v>12</v>
      </c>
      <c r="C1378" t="s">
        <v>40</v>
      </c>
      <c r="D1378" t="s">
        <v>37</v>
      </c>
      <c r="E1378" s="1">
        <v>44993</v>
      </c>
      <c r="F1378" s="1">
        <v>44998</v>
      </c>
      <c r="G1378">
        <v>40.799999999999997</v>
      </c>
      <c r="H1378">
        <v>314.97000000000003</v>
      </c>
      <c r="I1378" t="s">
        <v>15</v>
      </c>
      <c r="J1378">
        <v>2330</v>
      </c>
      <c r="K1378">
        <v>5</v>
      </c>
      <c r="L1378" t="str">
        <f>IF(logistics_data[[#This Row],[Delivery_Date]]="","In Transit",
 IF(logistics_data[[#This Row],[Status]]="Lost","Lost",
 IF(logistics_data[[#This Row],[Status]]="Returned","Returned",
 IF(logistics_data[[#This Row],[Status]]="Delayed","Delayed",
 "Delivered"))))</f>
        <v>Delivered</v>
      </c>
      <c r="M1378" s="2">
        <f>logistics_data[[#This Row],[Cost]]/logistics_data[[#This Row],[Distance_miles]]</f>
        <v>0.13518025751072962</v>
      </c>
      <c r="N1378" t="str">
        <f>IF(logistics_data[[#This Row],[Orginal staus of shipment]]&lt;&gt;"Delivered","not applicabel", IF(logistics_data[[#This Row],[Transit_Days]]&gt;=5,"slow","fast"))</f>
        <v>slow</v>
      </c>
    </row>
    <row r="1379" spans="1:14" x14ac:dyDescent="0.3">
      <c r="A1379" t="s">
        <v>1425</v>
      </c>
      <c r="B1379" t="s">
        <v>30</v>
      </c>
      <c r="C1379" t="s">
        <v>46</v>
      </c>
      <c r="D1379" t="s">
        <v>32</v>
      </c>
      <c r="E1379" s="1">
        <v>45289</v>
      </c>
      <c r="F1379" s="1">
        <v>45292</v>
      </c>
      <c r="G1379">
        <v>26.8</v>
      </c>
      <c r="H1379">
        <v>120.06</v>
      </c>
      <c r="I1379" t="s">
        <v>15</v>
      </c>
      <c r="J1379">
        <v>505</v>
      </c>
      <c r="K1379">
        <v>3</v>
      </c>
      <c r="L1379" t="str">
        <f>IF(logistics_data[[#This Row],[Delivery_Date]]="","In Transit",
 IF(logistics_data[[#This Row],[Status]]="Lost","Lost",
 IF(logistics_data[[#This Row],[Status]]="Returned","Returned",
 IF(logistics_data[[#This Row],[Status]]="Delayed","Delayed",
 "Delivered"))))</f>
        <v>Delivered</v>
      </c>
      <c r="M1379" s="2">
        <f>logistics_data[[#This Row],[Cost]]/logistics_data[[#This Row],[Distance_miles]]</f>
        <v>0.23774257425742576</v>
      </c>
      <c r="N1379" t="str">
        <f>IF(logistics_data[[#This Row],[Orginal staus of shipment]]&lt;&gt;"Delivered","not applicabel", IF(logistics_data[[#This Row],[Transit_Days]]&gt;=5,"slow","fast"))</f>
        <v>fast</v>
      </c>
    </row>
    <row r="1380" spans="1:14" x14ac:dyDescent="0.3">
      <c r="A1380" t="s">
        <v>1426</v>
      </c>
      <c r="B1380" t="s">
        <v>12</v>
      </c>
      <c r="C1380" t="s">
        <v>46</v>
      </c>
      <c r="D1380" t="s">
        <v>25</v>
      </c>
      <c r="E1380" s="1">
        <v>45154</v>
      </c>
      <c r="F1380" s="1">
        <v>45159</v>
      </c>
      <c r="G1380">
        <v>12</v>
      </c>
      <c r="H1380">
        <v>190.22</v>
      </c>
      <c r="I1380" t="s">
        <v>67</v>
      </c>
      <c r="J1380">
        <v>1617</v>
      </c>
      <c r="K1380">
        <v>5</v>
      </c>
      <c r="L1380" t="str">
        <f>IF(logistics_data[[#This Row],[Delivery_Date]]="","In Transit",
 IF(logistics_data[[#This Row],[Status]]="Lost","Lost",
 IF(logistics_data[[#This Row],[Status]]="Returned","Returned",
 IF(logistics_data[[#This Row],[Status]]="Delayed","Delayed",
 "Delivered"))))</f>
        <v>Returned</v>
      </c>
      <c r="M1380" s="2">
        <f>logistics_data[[#This Row],[Cost]]/logistics_data[[#This Row],[Distance_miles]]</f>
        <v>0.11763760049474335</v>
      </c>
      <c r="N1380" t="str">
        <f>IF(logistics_data[[#This Row],[Orginal staus of shipment]]&lt;&gt;"Delivered","not applicabel", IF(logistics_data[[#This Row],[Transit_Days]]&gt;=5,"slow","fast"))</f>
        <v>not applicabel</v>
      </c>
    </row>
    <row r="1381" spans="1:14" x14ac:dyDescent="0.3">
      <c r="A1381" t="s">
        <v>1427</v>
      </c>
      <c r="B1381" t="s">
        <v>56</v>
      </c>
      <c r="C1381" t="s">
        <v>31</v>
      </c>
      <c r="D1381" t="s">
        <v>14</v>
      </c>
      <c r="E1381" s="1">
        <v>45195</v>
      </c>
      <c r="F1381" s="1">
        <v>45199</v>
      </c>
      <c r="G1381">
        <v>54.5</v>
      </c>
      <c r="H1381">
        <v>215.64</v>
      </c>
      <c r="I1381" t="s">
        <v>15</v>
      </c>
      <c r="J1381">
        <v>1270</v>
      </c>
      <c r="K1381">
        <v>4</v>
      </c>
      <c r="L1381" t="str">
        <f>IF(logistics_data[[#This Row],[Delivery_Date]]="","In Transit",
 IF(logistics_data[[#This Row],[Status]]="Lost","Lost",
 IF(logistics_data[[#This Row],[Status]]="Returned","Returned",
 IF(logistics_data[[#This Row],[Status]]="Delayed","Delayed",
 "Delivered"))))</f>
        <v>Delivered</v>
      </c>
      <c r="M1381" s="2">
        <f>logistics_data[[#This Row],[Cost]]/logistics_data[[#This Row],[Distance_miles]]</f>
        <v>0.16979527559055116</v>
      </c>
      <c r="N1381" t="str">
        <f>IF(logistics_data[[#This Row],[Orginal staus of shipment]]&lt;&gt;"Delivered","not applicabel", IF(logistics_data[[#This Row],[Transit_Days]]&gt;=5,"slow","fast"))</f>
        <v>fast</v>
      </c>
    </row>
    <row r="1382" spans="1:14" x14ac:dyDescent="0.3">
      <c r="A1382" t="s">
        <v>1428</v>
      </c>
      <c r="B1382" t="s">
        <v>56</v>
      </c>
      <c r="C1382" t="s">
        <v>17</v>
      </c>
      <c r="D1382" t="s">
        <v>37</v>
      </c>
      <c r="E1382" s="1">
        <v>45019</v>
      </c>
      <c r="F1382" s="1">
        <v>45023</v>
      </c>
      <c r="G1382">
        <v>43.5</v>
      </c>
      <c r="H1382">
        <v>288.61</v>
      </c>
      <c r="I1382" t="s">
        <v>15</v>
      </c>
      <c r="J1382">
        <v>2007</v>
      </c>
      <c r="K1382">
        <v>4</v>
      </c>
      <c r="L1382" t="str">
        <f>IF(logistics_data[[#This Row],[Delivery_Date]]="","In Transit",
 IF(logistics_data[[#This Row],[Status]]="Lost","Lost",
 IF(logistics_data[[#This Row],[Status]]="Returned","Returned",
 IF(logistics_data[[#This Row],[Status]]="Delayed","Delayed",
 "Delivered"))))</f>
        <v>Delivered</v>
      </c>
      <c r="M1382" s="2">
        <f>logistics_data[[#This Row],[Cost]]/logistics_data[[#This Row],[Distance_miles]]</f>
        <v>0.14380169407075238</v>
      </c>
      <c r="N1382" t="str">
        <f>IF(logistics_data[[#This Row],[Orginal staus of shipment]]&lt;&gt;"Delivered","not applicabel", IF(logistics_data[[#This Row],[Transit_Days]]&gt;=5,"slow","fast"))</f>
        <v>fast</v>
      </c>
    </row>
    <row r="1383" spans="1:14" x14ac:dyDescent="0.3">
      <c r="A1383" t="s">
        <v>1429</v>
      </c>
      <c r="B1383" t="s">
        <v>35</v>
      </c>
      <c r="C1383" t="s">
        <v>81</v>
      </c>
      <c r="D1383" t="s">
        <v>59</v>
      </c>
      <c r="E1383" s="1">
        <v>45247</v>
      </c>
      <c r="F1383" s="1">
        <v>45251</v>
      </c>
      <c r="G1383">
        <v>12.5</v>
      </c>
      <c r="H1383">
        <v>159.22999999999999</v>
      </c>
      <c r="I1383" t="s">
        <v>15</v>
      </c>
      <c r="J1383">
        <v>1000</v>
      </c>
      <c r="K1383">
        <v>4</v>
      </c>
      <c r="L1383" t="str">
        <f>IF(logistics_data[[#This Row],[Delivery_Date]]="","In Transit",
 IF(logistics_data[[#This Row],[Status]]="Lost","Lost",
 IF(logistics_data[[#This Row],[Status]]="Returned","Returned",
 IF(logistics_data[[#This Row],[Status]]="Delayed","Delayed",
 "Delivered"))))</f>
        <v>Delivered</v>
      </c>
      <c r="M1383" s="2">
        <f>logistics_data[[#This Row],[Cost]]/logistics_data[[#This Row],[Distance_miles]]</f>
        <v>0.15922999999999998</v>
      </c>
      <c r="N1383" t="str">
        <f>IF(logistics_data[[#This Row],[Orginal staus of shipment]]&lt;&gt;"Delivered","not applicabel", IF(logistics_data[[#This Row],[Transit_Days]]&gt;=5,"slow","fast"))</f>
        <v>fast</v>
      </c>
    </row>
    <row r="1384" spans="1:14" x14ac:dyDescent="0.3">
      <c r="A1384" t="s">
        <v>1430</v>
      </c>
      <c r="B1384" t="s">
        <v>20</v>
      </c>
      <c r="C1384" t="s">
        <v>31</v>
      </c>
      <c r="D1384" t="s">
        <v>59</v>
      </c>
      <c r="E1384" s="1">
        <v>45132</v>
      </c>
      <c r="F1384" s="1">
        <v>45141</v>
      </c>
      <c r="G1384">
        <v>4.3</v>
      </c>
      <c r="H1384">
        <v>17.89</v>
      </c>
      <c r="I1384" t="s">
        <v>47</v>
      </c>
      <c r="J1384">
        <v>105</v>
      </c>
      <c r="K1384">
        <v>4</v>
      </c>
      <c r="L1384" t="str">
        <f>IF(logistics_data[[#This Row],[Delivery_Date]]="","In Transit",
 IF(logistics_data[[#This Row],[Status]]="Lost","Lost",
 IF(logistics_data[[#This Row],[Status]]="Returned","Returned",
 IF(logistics_data[[#This Row],[Status]]="Delayed","Delayed",
 "Delivered"))))</f>
        <v>Delayed</v>
      </c>
      <c r="M1384" s="2">
        <f>logistics_data[[#This Row],[Cost]]/logistics_data[[#This Row],[Distance_miles]]</f>
        <v>0.17038095238095238</v>
      </c>
      <c r="N1384" t="str">
        <f>IF(logistics_data[[#This Row],[Orginal staus of shipment]]&lt;&gt;"Delivered","not applicabel", IF(logistics_data[[#This Row],[Transit_Days]]&gt;=5,"slow","fast"))</f>
        <v>not applicabel</v>
      </c>
    </row>
    <row r="1385" spans="1:14" x14ac:dyDescent="0.3">
      <c r="A1385" t="s">
        <v>1431</v>
      </c>
      <c r="B1385" t="s">
        <v>23</v>
      </c>
      <c r="C1385" t="s">
        <v>70</v>
      </c>
      <c r="D1385" t="s">
        <v>37</v>
      </c>
      <c r="E1385" s="1">
        <v>45046</v>
      </c>
      <c r="F1385" s="1">
        <v>45050</v>
      </c>
      <c r="G1385">
        <v>41.2</v>
      </c>
      <c r="H1385">
        <v>137.96</v>
      </c>
      <c r="I1385" t="s">
        <v>15</v>
      </c>
      <c r="J1385">
        <v>813</v>
      </c>
      <c r="K1385">
        <v>4</v>
      </c>
      <c r="L1385" t="str">
        <f>IF(logistics_data[[#This Row],[Delivery_Date]]="","In Transit",
 IF(logistics_data[[#This Row],[Status]]="Lost","Lost",
 IF(logistics_data[[#This Row],[Status]]="Returned","Returned",
 IF(logistics_data[[#This Row],[Status]]="Delayed","Delayed",
 "Delivered"))))</f>
        <v>Delivered</v>
      </c>
      <c r="M1385" s="2">
        <f>logistics_data[[#This Row],[Cost]]/logistics_data[[#This Row],[Distance_miles]]</f>
        <v>0.16969249692496927</v>
      </c>
      <c r="N1385" t="str">
        <f>IF(logistics_data[[#This Row],[Orginal staus of shipment]]&lt;&gt;"Delivered","not applicabel", IF(logistics_data[[#This Row],[Transit_Days]]&gt;=5,"slow","fast"))</f>
        <v>fast</v>
      </c>
    </row>
    <row r="1386" spans="1:14" x14ac:dyDescent="0.3">
      <c r="A1386" t="s">
        <v>1432</v>
      </c>
      <c r="B1386" t="s">
        <v>23</v>
      </c>
      <c r="C1386" t="s">
        <v>44</v>
      </c>
      <c r="D1386" t="s">
        <v>42</v>
      </c>
      <c r="E1386" s="1">
        <v>44993</v>
      </c>
      <c r="F1386" s="1">
        <v>44999</v>
      </c>
      <c r="G1386">
        <v>18.3</v>
      </c>
      <c r="H1386">
        <v>232.16</v>
      </c>
      <c r="I1386" t="s">
        <v>15</v>
      </c>
      <c r="J1386">
        <v>1746</v>
      </c>
      <c r="K1386">
        <v>6</v>
      </c>
      <c r="L1386" t="str">
        <f>IF(logistics_data[[#This Row],[Delivery_Date]]="","In Transit",
 IF(logistics_data[[#This Row],[Status]]="Lost","Lost",
 IF(logistics_data[[#This Row],[Status]]="Returned","Returned",
 IF(logistics_data[[#This Row],[Status]]="Delayed","Delayed",
 "Delivered"))))</f>
        <v>Delivered</v>
      </c>
      <c r="M1386" s="2">
        <f>logistics_data[[#This Row],[Cost]]/logistics_data[[#This Row],[Distance_miles]]</f>
        <v>0.13296678121420388</v>
      </c>
      <c r="N1386" t="str">
        <f>IF(logistics_data[[#This Row],[Orginal staus of shipment]]&lt;&gt;"Delivered","not applicabel", IF(logistics_data[[#This Row],[Transit_Days]]&gt;=5,"slow","fast"))</f>
        <v>slow</v>
      </c>
    </row>
    <row r="1387" spans="1:14" x14ac:dyDescent="0.3">
      <c r="A1387" t="s">
        <v>1433</v>
      </c>
      <c r="B1387" t="s">
        <v>27</v>
      </c>
      <c r="C1387" t="s">
        <v>17</v>
      </c>
      <c r="D1387" t="s">
        <v>25</v>
      </c>
      <c r="E1387" s="1">
        <v>44966</v>
      </c>
      <c r="F1387" s="1">
        <v>44971</v>
      </c>
      <c r="G1387">
        <v>25.8</v>
      </c>
      <c r="H1387">
        <v>276.98</v>
      </c>
      <c r="I1387" t="s">
        <v>15</v>
      </c>
      <c r="J1387">
        <v>1911</v>
      </c>
      <c r="K1387">
        <v>5</v>
      </c>
      <c r="L1387" t="str">
        <f>IF(logistics_data[[#This Row],[Delivery_Date]]="","In Transit",
 IF(logistics_data[[#This Row],[Status]]="Lost","Lost",
 IF(logistics_data[[#This Row],[Status]]="Returned","Returned",
 IF(logistics_data[[#This Row],[Status]]="Delayed","Delayed",
 "Delivered"))))</f>
        <v>Delivered</v>
      </c>
      <c r="M1387" s="2">
        <f>logistics_data[[#This Row],[Cost]]/logistics_data[[#This Row],[Distance_miles]]</f>
        <v>0.14493982208267925</v>
      </c>
      <c r="N1387" t="str">
        <f>IF(logistics_data[[#This Row],[Orginal staus of shipment]]&lt;&gt;"Delivered","not applicabel", IF(logistics_data[[#This Row],[Transit_Days]]&gt;=5,"slow","fast"))</f>
        <v>slow</v>
      </c>
    </row>
    <row r="1388" spans="1:14" x14ac:dyDescent="0.3">
      <c r="A1388" t="s">
        <v>1434</v>
      </c>
      <c r="B1388" t="s">
        <v>49</v>
      </c>
      <c r="C1388" t="s">
        <v>81</v>
      </c>
      <c r="D1388" t="s">
        <v>42</v>
      </c>
      <c r="E1388" s="1">
        <v>45067</v>
      </c>
      <c r="F1388" s="1">
        <v>45073</v>
      </c>
      <c r="G1388">
        <v>6.5</v>
      </c>
      <c r="H1388">
        <v>206.26</v>
      </c>
      <c r="I1388" t="s">
        <v>15</v>
      </c>
      <c r="J1388">
        <v>1816</v>
      </c>
      <c r="K1388">
        <v>6</v>
      </c>
      <c r="L1388" t="str">
        <f>IF(logistics_data[[#This Row],[Delivery_Date]]="","In Transit",
 IF(logistics_data[[#This Row],[Status]]="Lost","Lost",
 IF(logistics_data[[#This Row],[Status]]="Returned","Returned",
 IF(logistics_data[[#This Row],[Status]]="Delayed","Delayed",
 "Delivered"))))</f>
        <v>Delivered</v>
      </c>
      <c r="M1388" s="2">
        <f>logistics_data[[#This Row],[Cost]]/logistics_data[[#This Row],[Distance_miles]]</f>
        <v>0.11357929515418502</v>
      </c>
      <c r="N1388" t="str">
        <f>IF(logistics_data[[#This Row],[Orginal staus of shipment]]&lt;&gt;"Delivered","not applicabel", IF(logistics_data[[#This Row],[Transit_Days]]&gt;=5,"slow","fast"))</f>
        <v>slow</v>
      </c>
    </row>
    <row r="1389" spans="1:14" x14ac:dyDescent="0.3">
      <c r="A1389" t="s">
        <v>1435</v>
      </c>
      <c r="B1389" t="s">
        <v>49</v>
      </c>
      <c r="C1389" t="s">
        <v>46</v>
      </c>
      <c r="D1389" t="s">
        <v>25</v>
      </c>
      <c r="E1389" s="1">
        <v>45169</v>
      </c>
      <c r="F1389" s="1">
        <v>45185</v>
      </c>
      <c r="G1389">
        <v>15.5</v>
      </c>
      <c r="H1389">
        <v>191.24</v>
      </c>
      <c r="I1389" t="s">
        <v>47</v>
      </c>
      <c r="J1389">
        <v>1482</v>
      </c>
      <c r="K1389">
        <v>4</v>
      </c>
      <c r="L1389" t="str">
        <f>IF(logistics_data[[#This Row],[Delivery_Date]]="","In Transit",
 IF(logistics_data[[#This Row],[Status]]="Lost","Lost",
 IF(logistics_data[[#This Row],[Status]]="Returned","Returned",
 IF(logistics_data[[#This Row],[Status]]="Delayed","Delayed",
 "Delivered"))))</f>
        <v>Delayed</v>
      </c>
      <c r="M1389" s="2">
        <f>logistics_data[[#This Row],[Cost]]/logistics_data[[#This Row],[Distance_miles]]</f>
        <v>0.12904183535762484</v>
      </c>
      <c r="N1389" t="str">
        <f>IF(logistics_data[[#This Row],[Orginal staus of shipment]]&lt;&gt;"Delivered","not applicabel", IF(logistics_data[[#This Row],[Transit_Days]]&gt;=5,"slow","fast"))</f>
        <v>not applicabel</v>
      </c>
    </row>
    <row r="1390" spans="1:14" x14ac:dyDescent="0.3">
      <c r="A1390" t="s">
        <v>1436</v>
      </c>
      <c r="B1390" t="s">
        <v>56</v>
      </c>
      <c r="C1390" t="s">
        <v>52</v>
      </c>
      <c r="D1390" t="s">
        <v>18</v>
      </c>
      <c r="E1390" s="1">
        <v>45079</v>
      </c>
      <c r="F1390" s="1">
        <v>45081</v>
      </c>
      <c r="G1390">
        <v>23.6</v>
      </c>
      <c r="H1390">
        <v>159.12</v>
      </c>
      <c r="I1390" t="s">
        <v>15</v>
      </c>
      <c r="J1390">
        <v>998</v>
      </c>
      <c r="K1390">
        <v>2</v>
      </c>
      <c r="L1390" t="str">
        <f>IF(logistics_data[[#This Row],[Delivery_Date]]="","In Transit",
 IF(logistics_data[[#This Row],[Status]]="Lost","Lost",
 IF(logistics_data[[#This Row],[Status]]="Returned","Returned",
 IF(logistics_data[[#This Row],[Status]]="Delayed","Delayed",
 "Delivered"))))</f>
        <v>Delivered</v>
      </c>
      <c r="M1390" s="2">
        <f>logistics_data[[#This Row],[Cost]]/logistics_data[[#This Row],[Distance_miles]]</f>
        <v>0.15943887775551102</v>
      </c>
      <c r="N1390" t="str">
        <f>IF(logistics_data[[#This Row],[Orginal staus of shipment]]&lt;&gt;"Delivered","not applicabel", IF(logistics_data[[#This Row],[Transit_Days]]&gt;=5,"slow","fast"))</f>
        <v>fast</v>
      </c>
    </row>
    <row r="1391" spans="1:14" x14ac:dyDescent="0.3">
      <c r="A1391" t="s">
        <v>1437</v>
      </c>
      <c r="B1391" t="s">
        <v>39</v>
      </c>
      <c r="C1391" t="s">
        <v>46</v>
      </c>
      <c r="D1391" t="s">
        <v>32</v>
      </c>
      <c r="E1391" s="1">
        <v>45049</v>
      </c>
      <c r="F1391" s="1">
        <v>45051</v>
      </c>
      <c r="G1391">
        <v>27.1</v>
      </c>
      <c r="H1391">
        <v>105.17</v>
      </c>
      <c r="I1391" t="s">
        <v>15</v>
      </c>
      <c r="J1391">
        <v>470</v>
      </c>
      <c r="K1391">
        <v>2</v>
      </c>
      <c r="L1391" t="str">
        <f>IF(logistics_data[[#This Row],[Delivery_Date]]="","In Transit",
 IF(logistics_data[[#This Row],[Status]]="Lost","Lost",
 IF(logistics_data[[#This Row],[Status]]="Returned","Returned",
 IF(logistics_data[[#This Row],[Status]]="Delayed","Delayed",
 "Delivered"))))</f>
        <v>Delivered</v>
      </c>
      <c r="M1391" s="2">
        <f>logistics_data[[#This Row],[Cost]]/logistics_data[[#This Row],[Distance_miles]]</f>
        <v>0.22376595744680852</v>
      </c>
      <c r="N1391" t="str">
        <f>IF(logistics_data[[#This Row],[Orginal staus of shipment]]&lt;&gt;"Delivered","not applicabel", IF(logistics_data[[#This Row],[Transit_Days]]&gt;=5,"slow","fast"))</f>
        <v>fast</v>
      </c>
    </row>
    <row r="1392" spans="1:14" x14ac:dyDescent="0.3">
      <c r="A1392" t="s">
        <v>1438</v>
      </c>
      <c r="B1392" t="s">
        <v>27</v>
      </c>
      <c r="C1392" t="s">
        <v>54</v>
      </c>
      <c r="D1392" t="s">
        <v>14</v>
      </c>
      <c r="E1392" s="1">
        <v>45197</v>
      </c>
      <c r="F1392" s="1">
        <v>45202</v>
      </c>
      <c r="G1392">
        <v>19.7</v>
      </c>
      <c r="H1392">
        <v>305.45</v>
      </c>
      <c r="I1392" t="s">
        <v>15</v>
      </c>
      <c r="J1392">
        <v>2455</v>
      </c>
      <c r="K1392">
        <v>5</v>
      </c>
      <c r="L1392" t="str">
        <f>IF(logistics_data[[#This Row],[Delivery_Date]]="","In Transit",
 IF(logistics_data[[#This Row],[Status]]="Lost","Lost",
 IF(logistics_data[[#This Row],[Status]]="Returned","Returned",
 IF(logistics_data[[#This Row],[Status]]="Delayed","Delayed",
 "Delivered"))))</f>
        <v>Delivered</v>
      </c>
      <c r="M1392" s="2">
        <f>logistics_data[[#This Row],[Cost]]/logistics_data[[#This Row],[Distance_miles]]</f>
        <v>0.12441955193482689</v>
      </c>
      <c r="N1392" t="str">
        <f>IF(logistics_data[[#This Row],[Orginal staus of shipment]]&lt;&gt;"Delivered","not applicabel", IF(logistics_data[[#This Row],[Transit_Days]]&gt;=5,"slow","fast"))</f>
        <v>slow</v>
      </c>
    </row>
    <row r="1393" spans="1:14" x14ac:dyDescent="0.3">
      <c r="A1393" t="s">
        <v>1439</v>
      </c>
      <c r="B1393" t="s">
        <v>23</v>
      </c>
      <c r="C1393" t="s">
        <v>17</v>
      </c>
      <c r="D1393" t="s">
        <v>42</v>
      </c>
      <c r="E1393" s="1">
        <v>44965</v>
      </c>
      <c r="F1393" s="1">
        <v>44968</v>
      </c>
      <c r="G1393">
        <v>31.2</v>
      </c>
      <c r="H1393">
        <v>114.2</v>
      </c>
      <c r="I1393" t="s">
        <v>15</v>
      </c>
      <c r="J1393">
        <v>559</v>
      </c>
      <c r="K1393">
        <v>3</v>
      </c>
      <c r="L1393" t="str">
        <f>IF(logistics_data[[#This Row],[Delivery_Date]]="","In Transit",
 IF(logistics_data[[#This Row],[Status]]="Lost","Lost",
 IF(logistics_data[[#This Row],[Status]]="Returned","Returned",
 IF(logistics_data[[#This Row],[Status]]="Delayed","Delayed",
 "Delivered"))))</f>
        <v>Delivered</v>
      </c>
      <c r="M1393" s="2">
        <f>logistics_data[[#This Row],[Cost]]/logistics_data[[#This Row],[Distance_miles]]</f>
        <v>0.20429338103756708</v>
      </c>
      <c r="N1393" t="str">
        <f>IF(logistics_data[[#This Row],[Orginal staus of shipment]]&lt;&gt;"Delivered","not applicabel", IF(logistics_data[[#This Row],[Transit_Days]]&gt;=5,"slow","fast"))</f>
        <v>fast</v>
      </c>
    </row>
    <row r="1394" spans="1:14" x14ac:dyDescent="0.3">
      <c r="A1394" t="s">
        <v>1440</v>
      </c>
      <c r="B1394" t="s">
        <v>23</v>
      </c>
      <c r="C1394" t="s">
        <v>52</v>
      </c>
      <c r="D1394" t="s">
        <v>25</v>
      </c>
      <c r="E1394" s="1">
        <v>45078</v>
      </c>
      <c r="F1394" s="1">
        <v>45084</v>
      </c>
      <c r="G1394">
        <v>14.8</v>
      </c>
      <c r="H1394">
        <v>319.39</v>
      </c>
      <c r="I1394" t="s">
        <v>15</v>
      </c>
      <c r="J1394">
        <v>2384</v>
      </c>
      <c r="K1394">
        <v>6</v>
      </c>
      <c r="L1394" t="str">
        <f>IF(logistics_data[[#This Row],[Delivery_Date]]="","In Transit",
 IF(logistics_data[[#This Row],[Status]]="Lost","Lost",
 IF(logistics_data[[#This Row],[Status]]="Returned","Returned",
 IF(logistics_data[[#This Row],[Status]]="Delayed","Delayed",
 "Delivered"))))</f>
        <v>Delivered</v>
      </c>
      <c r="M1394" s="2">
        <f>logistics_data[[#This Row],[Cost]]/logistics_data[[#This Row],[Distance_miles]]</f>
        <v>0.13397231543624161</v>
      </c>
      <c r="N1394" t="str">
        <f>IF(logistics_data[[#This Row],[Orginal staus of shipment]]&lt;&gt;"Delivered","not applicabel", IF(logistics_data[[#This Row],[Transit_Days]]&gt;=5,"slow","fast"))</f>
        <v>slow</v>
      </c>
    </row>
    <row r="1395" spans="1:14" x14ac:dyDescent="0.3">
      <c r="A1395" t="s">
        <v>1441</v>
      </c>
      <c r="B1395" t="s">
        <v>20</v>
      </c>
      <c r="C1395" t="s">
        <v>28</v>
      </c>
      <c r="D1395" t="s">
        <v>25</v>
      </c>
      <c r="E1395" s="1">
        <v>45291</v>
      </c>
      <c r="F1395" s="1">
        <v>45294</v>
      </c>
      <c r="G1395">
        <v>88</v>
      </c>
      <c r="H1395">
        <v>322.10000000000002</v>
      </c>
      <c r="I1395" t="s">
        <v>15</v>
      </c>
      <c r="J1395">
        <v>1435</v>
      </c>
      <c r="K1395">
        <v>3</v>
      </c>
      <c r="L1395" t="str">
        <f>IF(logistics_data[[#This Row],[Delivery_Date]]="","In Transit",
 IF(logistics_data[[#This Row],[Status]]="Lost","Lost",
 IF(logistics_data[[#This Row],[Status]]="Returned","Returned",
 IF(logistics_data[[#This Row],[Status]]="Delayed","Delayed",
 "Delivered"))))</f>
        <v>Delivered</v>
      </c>
      <c r="M1395" s="2">
        <f>logistics_data[[#This Row],[Cost]]/logistics_data[[#This Row],[Distance_miles]]</f>
        <v>0.22445993031358888</v>
      </c>
      <c r="N1395" t="str">
        <f>IF(logistics_data[[#This Row],[Orginal staus of shipment]]&lt;&gt;"Delivered","not applicabel", IF(logistics_data[[#This Row],[Transit_Days]]&gt;=5,"slow","fast"))</f>
        <v>fast</v>
      </c>
    </row>
    <row r="1396" spans="1:14" x14ac:dyDescent="0.3">
      <c r="A1396" t="s">
        <v>1442</v>
      </c>
      <c r="B1396" t="s">
        <v>12</v>
      </c>
      <c r="C1396" t="s">
        <v>46</v>
      </c>
      <c r="D1396" t="s">
        <v>32</v>
      </c>
      <c r="E1396" s="1">
        <v>45256</v>
      </c>
      <c r="F1396" s="1">
        <v>45276</v>
      </c>
      <c r="G1396">
        <v>17.899999999999999</v>
      </c>
      <c r="H1396">
        <v>247.56</v>
      </c>
      <c r="I1396" t="s">
        <v>47</v>
      </c>
      <c r="J1396">
        <v>1525</v>
      </c>
      <c r="K1396">
        <v>10</v>
      </c>
      <c r="L1396" t="str">
        <f>IF(logistics_data[[#This Row],[Delivery_Date]]="","In Transit",
 IF(logistics_data[[#This Row],[Status]]="Lost","Lost",
 IF(logistics_data[[#This Row],[Status]]="Returned","Returned",
 IF(logistics_data[[#This Row],[Status]]="Delayed","Delayed",
 "Delivered"))))</f>
        <v>Delayed</v>
      </c>
      <c r="M1396" s="2">
        <f>logistics_data[[#This Row],[Cost]]/logistics_data[[#This Row],[Distance_miles]]</f>
        <v>0.16233442622950819</v>
      </c>
      <c r="N1396" t="str">
        <f>IF(logistics_data[[#This Row],[Orginal staus of shipment]]&lt;&gt;"Delivered","not applicabel", IF(logistics_data[[#This Row],[Transit_Days]]&gt;=5,"slow","fast"))</f>
        <v>not applicabel</v>
      </c>
    </row>
    <row r="1397" spans="1:14" x14ac:dyDescent="0.3">
      <c r="A1397" t="s">
        <v>1443</v>
      </c>
      <c r="B1397" t="s">
        <v>56</v>
      </c>
      <c r="C1397" t="s">
        <v>44</v>
      </c>
      <c r="D1397" t="s">
        <v>42</v>
      </c>
      <c r="E1397" s="1">
        <v>44951</v>
      </c>
      <c r="F1397" s="1">
        <v>44955</v>
      </c>
      <c r="G1397">
        <v>11</v>
      </c>
      <c r="H1397">
        <v>98.73</v>
      </c>
      <c r="I1397" t="s">
        <v>15</v>
      </c>
      <c r="J1397">
        <v>698</v>
      </c>
      <c r="K1397">
        <v>4</v>
      </c>
      <c r="L1397" t="str">
        <f>IF(logistics_data[[#This Row],[Delivery_Date]]="","In Transit",
 IF(logistics_data[[#This Row],[Status]]="Lost","Lost",
 IF(logistics_data[[#This Row],[Status]]="Returned","Returned",
 IF(logistics_data[[#This Row],[Status]]="Delayed","Delayed",
 "Delivered"))))</f>
        <v>Delivered</v>
      </c>
      <c r="M1397" s="2">
        <f>logistics_data[[#This Row],[Cost]]/logistics_data[[#This Row],[Distance_miles]]</f>
        <v>0.14144699140401146</v>
      </c>
      <c r="N1397" t="str">
        <f>IF(logistics_data[[#This Row],[Orginal staus of shipment]]&lt;&gt;"Delivered","not applicabel", IF(logistics_data[[#This Row],[Transit_Days]]&gt;=5,"slow","fast"))</f>
        <v>fast</v>
      </c>
    </row>
    <row r="1398" spans="1:14" x14ac:dyDescent="0.3">
      <c r="A1398" t="s">
        <v>1444</v>
      </c>
      <c r="B1398" t="s">
        <v>23</v>
      </c>
      <c r="C1398" t="s">
        <v>81</v>
      </c>
      <c r="D1398" t="s">
        <v>37</v>
      </c>
      <c r="E1398" s="1">
        <v>45198</v>
      </c>
      <c r="F1398" s="1">
        <v>45207</v>
      </c>
      <c r="G1398">
        <v>16.3</v>
      </c>
      <c r="H1398">
        <v>247.24</v>
      </c>
      <c r="I1398" t="s">
        <v>47</v>
      </c>
      <c r="J1398">
        <v>1920</v>
      </c>
      <c r="K1398">
        <v>8</v>
      </c>
      <c r="L1398" t="str">
        <f>IF(logistics_data[[#This Row],[Delivery_Date]]="","In Transit",
 IF(logistics_data[[#This Row],[Status]]="Lost","Lost",
 IF(logistics_data[[#This Row],[Status]]="Returned","Returned",
 IF(logistics_data[[#This Row],[Status]]="Delayed","Delayed",
 "Delivered"))))</f>
        <v>Delayed</v>
      </c>
      <c r="M1398" s="2">
        <f>logistics_data[[#This Row],[Cost]]/logistics_data[[#This Row],[Distance_miles]]</f>
        <v>0.12877083333333333</v>
      </c>
      <c r="N1398" t="str">
        <f>IF(logistics_data[[#This Row],[Orginal staus of shipment]]&lt;&gt;"Delivered","not applicabel", IF(logistics_data[[#This Row],[Transit_Days]]&gt;=5,"slow","fast"))</f>
        <v>not applicabel</v>
      </c>
    </row>
    <row r="1399" spans="1:14" x14ac:dyDescent="0.3">
      <c r="A1399" t="s">
        <v>1445</v>
      </c>
      <c r="B1399" t="s">
        <v>23</v>
      </c>
      <c r="C1399" t="s">
        <v>36</v>
      </c>
      <c r="D1399" t="s">
        <v>42</v>
      </c>
      <c r="E1399" s="1">
        <v>45239</v>
      </c>
      <c r="F1399" s="1">
        <v>45242</v>
      </c>
      <c r="G1399">
        <v>32.700000000000003</v>
      </c>
      <c r="H1399">
        <v>180.59</v>
      </c>
      <c r="I1399" t="s">
        <v>15</v>
      </c>
      <c r="J1399">
        <v>958</v>
      </c>
      <c r="K1399">
        <v>3</v>
      </c>
      <c r="L1399" t="str">
        <f>IF(logistics_data[[#This Row],[Delivery_Date]]="","In Transit",
 IF(logistics_data[[#This Row],[Status]]="Lost","Lost",
 IF(logistics_data[[#This Row],[Status]]="Returned","Returned",
 IF(logistics_data[[#This Row],[Status]]="Delayed","Delayed",
 "Delivered"))))</f>
        <v>Delivered</v>
      </c>
      <c r="M1399" s="2">
        <f>logistics_data[[#This Row],[Cost]]/logistics_data[[#This Row],[Distance_miles]]</f>
        <v>0.18850730688935283</v>
      </c>
      <c r="N1399" t="str">
        <f>IF(logistics_data[[#This Row],[Orginal staus of shipment]]&lt;&gt;"Delivered","not applicabel", IF(logistics_data[[#This Row],[Transit_Days]]&gt;=5,"slow","fast"))</f>
        <v>fast</v>
      </c>
    </row>
    <row r="1400" spans="1:14" x14ac:dyDescent="0.3">
      <c r="A1400" t="s">
        <v>1446</v>
      </c>
      <c r="B1400" t="s">
        <v>39</v>
      </c>
      <c r="C1400" t="s">
        <v>40</v>
      </c>
      <c r="D1400" t="s">
        <v>25</v>
      </c>
      <c r="E1400" s="1">
        <v>45217</v>
      </c>
      <c r="F1400" s="1">
        <v>45221</v>
      </c>
      <c r="G1400">
        <v>16.3</v>
      </c>
      <c r="H1400">
        <v>248.97</v>
      </c>
      <c r="I1400" t="s">
        <v>15</v>
      </c>
      <c r="J1400">
        <v>2057</v>
      </c>
      <c r="K1400">
        <v>4</v>
      </c>
      <c r="L1400" t="str">
        <f>IF(logistics_data[[#This Row],[Delivery_Date]]="","In Transit",
 IF(logistics_data[[#This Row],[Status]]="Lost","Lost",
 IF(logistics_data[[#This Row],[Status]]="Returned","Returned",
 IF(logistics_data[[#This Row],[Status]]="Delayed","Delayed",
 "Delivered"))))</f>
        <v>Delivered</v>
      </c>
      <c r="M1400" s="2">
        <f>logistics_data[[#This Row],[Cost]]/logistics_data[[#This Row],[Distance_miles]]</f>
        <v>0.12103548857559553</v>
      </c>
      <c r="N1400" t="str">
        <f>IF(logistics_data[[#This Row],[Orginal staus of shipment]]&lt;&gt;"Delivered","not applicabel", IF(logistics_data[[#This Row],[Transit_Days]]&gt;=5,"slow","fast"))</f>
        <v>fast</v>
      </c>
    </row>
    <row r="1401" spans="1:14" x14ac:dyDescent="0.3">
      <c r="A1401" t="s">
        <v>1447</v>
      </c>
      <c r="B1401" t="s">
        <v>56</v>
      </c>
      <c r="C1401" t="s">
        <v>13</v>
      </c>
      <c r="D1401" t="s">
        <v>14</v>
      </c>
      <c r="E1401" s="1">
        <v>44930</v>
      </c>
      <c r="F1401" s="1">
        <v>44933</v>
      </c>
      <c r="G1401">
        <v>10.5</v>
      </c>
      <c r="H1401">
        <v>161.38</v>
      </c>
      <c r="I1401" t="s">
        <v>15</v>
      </c>
      <c r="J1401">
        <v>1148</v>
      </c>
      <c r="K1401">
        <v>3</v>
      </c>
      <c r="L1401" t="str">
        <f>IF(logistics_data[[#This Row],[Delivery_Date]]="","In Transit",
 IF(logistics_data[[#This Row],[Status]]="Lost","Lost",
 IF(logistics_data[[#This Row],[Status]]="Returned","Returned",
 IF(logistics_data[[#This Row],[Status]]="Delayed","Delayed",
 "Delivered"))))</f>
        <v>Delivered</v>
      </c>
      <c r="M1401" s="2">
        <f>logistics_data[[#This Row],[Cost]]/logistics_data[[#This Row],[Distance_miles]]</f>
        <v>0.14057491289198606</v>
      </c>
      <c r="N1401" t="str">
        <f>IF(logistics_data[[#This Row],[Orginal staus of shipment]]&lt;&gt;"Delivered","not applicabel", IF(logistics_data[[#This Row],[Transit_Days]]&gt;=5,"slow","fast"))</f>
        <v>fast</v>
      </c>
    </row>
    <row r="1402" spans="1:14" x14ac:dyDescent="0.3">
      <c r="A1402" t="s">
        <v>1448</v>
      </c>
      <c r="B1402" t="s">
        <v>23</v>
      </c>
      <c r="C1402" t="s">
        <v>46</v>
      </c>
      <c r="D1402" t="s">
        <v>18</v>
      </c>
      <c r="E1402" s="1">
        <v>45128</v>
      </c>
      <c r="F1402" s="1">
        <v>45135</v>
      </c>
      <c r="G1402">
        <v>26.5</v>
      </c>
      <c r="H1402">
        <v>373.28</v>
      </c>
      <c r="I1402" t="s">
        <v>15</v>
      </c>
      <c r="J1402">
        <v>2221</v>
      </c>
      <c r="K1402">
        <v>7</v>
      </c>
      <c r="L1402" t="str">
        <f>IF(logistics_data[[#This Row],[Delivery_Date]]="","In Transit",
 IF(logistics_data[[#This Row],[Status]]="Lost","Lost",
 IF(logistics_data[[#This Row],[Status]]="Returned","Returned",
 IF(logistics_data[[#This Row],[Status]]="Delayed","Delayed",
 "Delivered"))))</f>
        <v>Delivered</v>
      </c>
      <c r="M1402" s="2">
        <f>logistics_data[[#This Row],[Cost]]/logistics_data[[#This Row],[Distance_miles]]</f>
        <v>0.16806843764070237</v>
      </c>
      <c r="N1402" t="str">
        <f>IF(logistics_data[[#This Row],[Orginal staus of shipment]]&lt;&gt;"Delivered","not applicabel", IF(logistics_data[[#This Row],[Transit_Days]]&gt;=5,"slow","fast"))</f>
        <v>slow</v>
      </c>
    </row>
    <row r="1403" spans="1:14" x14ac:dyDescent="0.3">
      <c r="A1403" t="s">
        <v>1449</v>
      </c>
      <c r="B1403" t="s">
        <v>39</v>
      </c>
      <c r="C1403" t="s">
        <v>52</v>
      </c>
      <c r="D1403" t="s">
        <v>32</v>
      </c>
      <c r="E1403" s="1">
        <v>45109</v>
      </c>
      <c r="F1403" s="1">
        <v>45115</v>
      </c>
      <c r="G1403">
        <v>17.2</v>
      </c>
      <c r="H1403">
        <v>331.37</v>
      </c>
      <c r="I1403" t="s">
        <v>15</v>
      </c>
      <c r="J1403">
        <v>2287</v>
      </c>
      <c r="K1403">
        <v>6</v>
      </c>
      <c r="L1403" t="str">
        <f>IF(logistics_data[[#This Row],[Delivery_Date]]="","In Transit",
 IF(logistics_data[[#This Row],[Status]]="Lost","Lost",
 IF(logistics_data[[#This Row],[Status]]="Returned","Returned",
 IF(logistics_data[[#This Row],[Status]]="Delayed","Delayed",
 "Delivered"))))</f>
        <v>Delivered</v>
      </c>
      <c r="M1403" s="2">
        <f>logistics_data[[#This Row],[Cost]]/logistics_data[[#This Row],[Distance_miles]]</f>
        <v>0.14489287275907303</v>
      </c>
      <c r="N1403" t="str">
        <f>IF(logistics_data[[#This Row],[Orginal staus of shipment]]&lt;&gt;"Delivered","not applicabel", IF(logistics_data[[#This Row],[Transit_Days]]&gt;=5,"slow","fast"))</f>
        <v>slow</v>
      </c>
    </row>
    <row r="1404" spans="1:14" x14ac:dyDescent="0.3">
      <c r="A1404" t="s">
        <v>1450</v>
      </c>
      <c r="B1404" t="s">
        <v>12</v>
      </c>
      <c r="C1404" t="s">
        <v>24</v>
      </c>
      <c r="D1404" t="s">
        <v>18</v>
      </c>
      <c r="E1404" s="1">
        <v>45157</v>
      </c>
      <c r="F1404" s="1">
        <v>45161</v>
      </c>
      <c r="G1404">
        <v>24.1</v>
      </c>
      <c r="H1404">
        <v>256.70999999999998</v>
      </c>
      <c r="I1404" t="s">
        <v>15</v>
      </c>
      <c r="J1404">
        <v>1807</v>
      </c>
      <c r="K1404">
        <v>4</v>
      </c>
      <c r="L1404" t="str">
        <f>IF(logistics_data[[#This Row],[Delivery_Date]]="","In Transit",
 IF(logistics_data[[#This Row],[Status]]="Lost","Lost",
 IF(logistics_data[[#This Row],[Status]]="Returned","Returned",
 IF(logistics_data[[#This Row],[Status]]="Delayed","Delayed",
 "Delivered"))))</f>
        <v>Delivered</v>
      </c>
      <c r="M1404" s="2">
        <f>logistics_data[[#This Row],[Cost]]/logistics_data[[#This Row],[Distance_miles]]</f>
        <v>0.14206419479800775</v>
      </c>
      <c r="N1404" t="str">
        <f>IF(logistics_data[[#This Row],[Orginal staus of shipment]]&lt;&gt;"Delivered","not applicabel", IF(logistics_data[[#This Row],[Transit_Days]]&gt;=5,"slow","fast"))</f>
        <v>fast</v>
      </c>
    </row>
    <row r="1405" spans="1:14" x14ac:dyDescent="0.3">
      <c r="A1405" t="s">
        <v>1451</v>
      </c>
      <c r="B1405" t="s">
        <v>23</v>
      </c>
      <c r="C1405" t="s">
        <v>31</v>
      </c>
      <c r="D1405" t="s">
        <v>42</v>
      </c>
      <c r="E1405" s="1">
        <v>45086</v>
      </c>
      <c r="F1405" s="1">
        <v>45092</v>
      </c>
      <c r="G1405">
        <v>38.799999999999997</v>
      </c>
      <c r="H1405">
        <v>361.92</v>
      </c>
      <c r="I1405" t="s">
        <v>15</v>
      </c>
      <c r="J1405">
        <v>2362</v>
      </c>
      <c r="K1405">
        <v>6</v>
      </c>
      <c r="L1405" t="str">
        <f>IF(logistics_data[[#This Row],[Delivery_Date]]="","In Transit",
 IF(logistics_data[[#This Row],[Status]]="Lost","Lost",
 IF(logistics_data[[#This Row],[Status]]="Returned","Returned",
 IF(logistics_data[[#This Row],[Status]]="Delayed","Delayed",
 "Delivered"))))</f>
        <v>Delivered</v>
      </c>
      <c r="M1405" s="2">
        <f>logistics_data[[#This Row],[Cost]]/logistics_data[[#This Row],[Distance_miles]]</f>
        <v>0.1532260795935648</v>
      </c>
      <c r="N1405" t="str">
        <f>IF(logistics_data[[#This Row],[Orginal staus of shipment]]&lt;&gt;"Delivered","not applicabel", IF(logistics_data[[#This Row],[Transit_Days]]&gt;=5,"slow","fast"))</f>
        <v>slow</v>
      </c>
    </row>
    <row r="1406" spans="1:14" x14ac:dyDescent="0.3">
      <c r="A1406" t="s">
        <v>1452</v>
      </c>
      <c r="B1406" t="s">
        <v>20</v>
      </c>
      <c r="C1406" t="s">
        <v>52</v>
      </c>
      <c r="D1406" t="s">
        <v>37</v>
      </c>
      <c r="E1406" s="1">
        <v>44977</v>
      </c>
      <c r="F1406" s="1">
        <v>44979</v>
      </c>
      <c r="G1406">
        <v>12.9</v>
      </c>
      <c r="H1406">
        <v>61</v>
      </c>
      <c r="I1406" t="s">
        <v>15</v>
      </c>
      <c r="J1406">
        <v>373</v>
      </c>
      <c r="K1406">
        <v>2</v>
      </c>
      <c r="L1406" t="str">
        <f>IF(logistics_data[[#This Row],[Delivery_Date]]="","In Transit",
 IF(logistics_data[[#This Row],[Status]]="Lost","Lost",
 IF(logistics_data[[#This Row],[Status]]="Returned","Returned",
 IF(logistics_data[[#This Row],[Status]]="Delayed","Delayed",
 "Delivered"))))</f>
        <v>Delivered</v>
      </c>
      <c r="M1406" s="2">
        <f>logistics_data[[#This Row],[Cost]]/logistics_data[[#This Row],[Distance_miles]]</f>
        <v>0.16353887399463807</v>
      </c>
      <c r="N1406" t="str">
        <f>IF(logistics_data[[#This Row],[Orginal staus of shipment]]&lt;&gt;"Delivered","not applicabel", IF(logistics_data[[#This Row],[Transit_Days]]&gt;=5,"slow","fast"))</f>
        <v>fast</v>
      </c>
    </row>
    <row r="1407" spans="1:14" x14ac:dyDescent="0.3">
      <c r="A1407" t="s">
        <v>1453</v>
      </c>
      <c r="B1407" t="s">
        <v>49</v>
      </c>
      <c r="C1407" t="s">
        <v>52</v>
      </c>
      <c r="D1407" t="s">
        <v>37</v>
      </c>
      <c r="E1407" s="1">
        <v>45065</v>
      </c>
      <c r="F1407" s="1">
        <v>45067</v>
      </c>
      <c r="G1407">
        <v>20.3</v>
      </c>
      <c r="H1407">
        <v>86.78</v>
      </c>
      <c r="I1407" t="s">
        <v>15</v>
      </c>
      <c r="J1407">
        <v>544</v>
      </c>
      <c r="K1407">
        <v>2</v>
      </c>
      <c r="L1407" t="str">
        <f>IF(logistics_data[[#This Row],[Delivery_Date]]="","In Transit",
 IF(logistics_data[[#This Row],[Status]]="Lost","Lost",
 IF(logistics_data[[#This Row],[Status]]="Returned","Returned",
 IF(logistics_data[[#This Row],[Status]]="Delayed","Delayed",
 "Delivered"))))</f>
        <v>Delivered</v>
      </c>
      <c r="M1407" s="2">
        <f>logistics_data[[#This Row],[Cost]]/logistics_data[[#This Row],[Distance_miles]]</f>
        <v>0.15952205882352941</v>
      </c>
      <c r="N1407" t="str">
        <f>IF(logistics_data[[#This Row],[Orginal staus of shipment]]&lt;&gt;"Delivered","not applicabel", IF(logistics_data[[#This Row],[Transit_Days]]&gt;=5,"slow","fast"))</f>
        <v>fast</v>
      </c>
    </row>
    <row r="1408" spans="1:14" x14ac:dyDescent="0.3">
      <c r="A1408" t="s">
        <v>1454</v>
      </c>
      <c r="B1408" t="s">
        <v>35</v>
      </c>
      <c r="C1408" t="s">
        <v>54</v>
      </c>
      <c r="D1408" t="s">
        <v>25</v>
      </c>
      <c r="E1408" s="1">
        <v>45152</v>
      </c>
      <c r="F1408" s="1">
        <v>45156</v>
      </c>
      <c r="G1408">
        <v>39.9</v>
      </c>
      <c r="H1408">
        <v>220.09</v>
      </c>
      <c r="I1408" t="s">
        <v>15</v>
      </c>
      <c r="J1408">
        <v>1350</v>
      </c>
      <c r="K1408">
        <v>4</v>
      </c>
      <c r="L1408" t="str">
        <f>IF(logistics_data[[#This Row],[Delivery_Date]]="","In Transit",
 IF(logistics_data[[#This Row],[Status]]="Lost","Lost",
 IF(logistics_data[[#This Row],[Status]]="Returned","Returned",
 IF(logistics_data[[#This Row],[Status]]="Delayed","Delayed",
 "Delivered"))))</f>
        <v>Delivered</v>
      </c>
      <c r="M1408" s="2">
        <f>logistics_data[[#This Row],[Cost]]/logistics_data[[#This Row],[Distance_miles]]</f>
        <v>0.16302962962962964</v>
      </c>
      <c r="N1408" t="str">
        <f>IF(logistics_data[[#This Row],[Orginal staus of shipment]]&lt;&gt;"Delivered","not applicabel", IF(logistics_data[[#This Row],[Transit_Days]]&gt;=5,"slow","fast"))</f>
        <v>fast</v>
      </c>
    </row>
    <row r="1409" spans="1:14" x14ac:dyDescent="0.3">
      <c r="A1409" t="s">
        <v>1455</v>
      </c>
      <c r="B1409" t="s">
        <v>35</v>
      </c>
      <c r="C1409" t="s">
        <v>70</v>
      </c>
      <c r="D1409" t="s">
        <v>37</v>
      </c>
      <c r="E1409" s="1">
        <v>45214</v>
      </c>
      <c r="F1409" s="1">
        <v>45218</v>
      </c>
      <c r="G1409">
        <v>22</v>
      </c>
      <c r="H1409">
        <v>86.67</v>
      </c>
      <c r="I1409" t="s">
        <v>15</v>
      </c>
      <c r="J1409">
        <v>544</v>
      </c>
      <c r="K1409">
        <v>4</v>
      </c>
      <c r="L1409" t="str">
        <f>IF(logistics_data[[#This Row],[Delivery_Date]]="","In Transit",
 IF(logistics_data[[#This Row],[Status]]="Lost","Lost",
 IF(logistics_data[[#This Row],[Status]]="Returned","Returned",
 IF(logistics_data[[#This Row],[Status]]="Delayed","Delayed",
 "Delivered"))))</f>
        <v>Delivered</v>
      </c>
      <c r="M1409" s="2">
        <f>logistics_data[[#This Row],[Cost]]/logistics_data[[#This Row],[Distance_miles]]</f>
        <v>0.15931985294117648</v>
      </c>
      <c r="N1409" t="str">
        <f>IF(logistics_data[[#This Row],[Orginal staus of shipment]]&lt;&gt;"Delivered","not applicabel", IF(logistics_data[[#This Row],[Transit_Days]]&gt;=5,"slow","fast"))</f>
        <v>fast</v>
      </c>
    </row>
    <row r="1410" spans="1:14" x14ac:dyDescent="0.3">
      <c r="A1410" t="s">
        <v>1456</v>
      </c>
      <c r="B1410" t="s">
        <v>56</v>
      </c>
      <c r="C1410" t="s">
        <v>70</v>
      </c>
      <c r="D1410" t="s">
        <v>37</v>
      </c>
      <c r="E1410" s="1">
        <v>45139</v>
      </c>
      <c r="F1410" s="1">
        <v>45141</v>
      </c>
      <c r="G1410">
        <v>20.8</v>
      </c>
      <c r="H1410">
        <v>99.54</v>
      </c>
      <c r="I1410" t="s">
        <v>15</v>
      </c>
      <c r="J1410">
        <v>637</v>
      </c>
      <c r="K1410">
        <v>2</v>
      </c>
      <c r="L1410" t="str">
        <f>IF(logistics_data[[#This Row],[Delivery_Date]]="","In Transit",
 IF(logistics_data[[#This Row],[Status]]="Lost","Lost",
 IF(logistics_data[[#This Row],[Status]]="Returned","Returned",
 IF(logistics_data[[#This Row],[Status]]="Delayed","Delayed",
 "Delivered"))))</f>
        <v>Delivered</v>
      </c>
      <c r="M1410" s="2">
        <f>logistics_data[[#This Row],[Cost]]/logistics_data[[#This Row],[Distance_miles]]</f>
        <v>0.15626373626373627</v>
      </c>
      <c r="N1410" t="str">
        <f>IF(logistics_data[[#This Row],[Orginal staus of shipment]]&lt;&gt;"Delivered","not applicabel", IF(logistics_data[[#This Row],[Transit_Days]]&gt;=5,"slow","fast"))</f>
        <v>fast</v>
      </c>
    </row>
    <row r="1411" spans="1:14" x14ac:dyDescent="0.3">
      <c r="A1411" t="s">
        <v>1457</v>
      </c>
      <c r="B1411" t="s">
        <v>30</v>
      </c>
      <c r="C1411" t="s">
        <v>57</v>
      </c>
      <c r="D1411" t="s">
        <v>42</v>
      </c>
      <c r="E1411" s="1">
        <v>44948</v>
      </c>
      <c r="F1411" s="1">
        <v>44950</v>
      </c>
      <c r="G1411">
        <v>5.5</v>
      </c>
      <c r="H1411">
        <v>70.39</v>
      </c>
      <c r="I1411" t="s">
        <v>15</v>
      </c>
      <c r="J1411">
        <v>507</v>
      </c>
      <c r="K1411">
        <v>2</v>
      </c>
      <c r="L1411" t="str">
        <f>IF(logistics_data[[#This Row],[Delivery_Date]]="","In Transit",
 IF(logistics_data[[#This Row],[Status]]="Lost","Lost",
 IF(logistics_data[[#This Row],[Status]]="Returned","Returned",
 IF(logistics_data[[#This Row],[Status]]="Delayed","Delayed",
 "Delivered"))))</f>
        <v>Delivered</v>
      </c>
      <c r="M1411" s="2">
        <f>logistics_data[[#This Row],[Cost]]/logistics_data[[#This Row],[Distance_miles]]</f>
        <v>0.138836291913215</v>
      </c>
      <c r="N1411" t="str">
        <f>IF(logistics_data[[#This Row],[Orginal staus of shipment]]&lt;&gt;"Delivered","not applicabel", IF(logistics_data[[#This Row],[Transit_Days]]&gt;=5,"slow","fast"))</f>
        <v>fast</v>
      </c>
    </row>
    <row r="1412" spans="1:14" x14ac:dyDescent="0.3">
      <c r="A1412" t="s">
        <v>1458</v>
      </c>
      <c r="B1412" t="s">
        <v>56</v>
      </c>
      <c r="C1412" t="s">
        <v>17</v>
      </c>
      <c r="D1412" t="s">
        <v>14</v>
      </c>
      <c r="E1412" s="1">
        <v>45110</v>
      </c>
      <c r="F1412" s="1">
        <v>45117</v>
      </c>
      <c r="G1412">
        <v>14</v>
      </c>
      <c r="H1412">
        <v>260.56</v>
      </c>
      <c r="I1412" t="s">
        <v>15</v>
      </c>
      <c r="J1412">
        <v>2009</v>
      </c>
      <c r="K1412">
        <v>7</v>
      </c>
      <c r="L1412" t="str">
        <f>IF(logistics_data[[#This Row],[Delivery_Date]]="","In Transit",
 IF(logistics_data[[#This Row],[Status]]="Lost","Lost",
 IF(logistics_data[[#This Row],[Status]]="Returned","Returned",
 IF(logistics_data[[#This Row],[Status]]="Delayed","Delayed",
 "Delivered"))))</f>
        <v>Delivered</v>
      </c>
      <c r="M1412" s="2">
        <f>logistics_data[[#This Row],[Cost]]/logistics_data[[#This Row],[Distance_miles]]</f>
        <v>0.12969636635141862</v>
      </c>
      <c r="N1412" t="str">
        <f>IF(logistics_data[[#This Row],[Orginal staus of shipment]]&lt;&gt;"Delivered","not applicabel", IF(logistics_data[[#This Row],[Transit_Days]]&gt;=5,"slow","fast"))</f>
        <v>slow</v>
      </c>
    </row>
    <row r="1413" spans="1:14" x14ac:dyDescent="0.3">
      <c r="A1413" t="s">
        <v>1459</v>
      </c>
      <c r="B1413" t="s">
        <v>56</v>
      </c>
      <c r="C1413" t="s">
        <v>31</v>
      </c>
      <c r="D1413" t="s">
        <v>42</v>
      </c>
      <c r="E1413" s="1">
        <v>45102</v>
      </c>
      <c r="F1413" s="1">
        <v>45112</v>
      </c>
      <c r="G1413">
        <v>12</v>
      </c>
      <c r="H1413">
        <v>113.5</v>
      </c>
      <c r="I1413" t="s">
        <v>47</v>
      </c>
      <c r="J1413">
        <v>852</v>
      </c>
      <c r="K1413">
        <v>3</v>
      </c>
      <c r="L1413" t="str">
        <f>IF(logistics_data[[#This Row],[Delivery_Date]]="","In Transit",
 IF(logistics_data[[#This Row],[Status]]="Lost","Lost",
 IF(logistics_data[[#This Row],[Status]]="Returned","Returned",
 IF(logistics_data[[#This Row],[Status]]="Delayed","Delayed",
 "Delivered"))))</f>
        <v>Delayed</v>
      </c>
      <c r="M1413" s="2">
        <f>logistics_data[[#This Row],[Cost]]/logistics_data[[#This Row],[Distance_miles]]</f>
        <v>0.13321596244131456</v>
      </c>
      <c r="N1413" t="str">
        <f>IF(logistics_data[[#This Row],[Orginal staus of shipment]]&lt;&gt;"Delivered","not applicabel", IF(logistics_data[[#This Row],[Transit_Days]]&gt;=5,"slow","fast"))</f>
        <v>not applicabel</v>
      </c>
    </row>
    <row r="1414" spans="1:14" x14ac:dyDescent="0.3">
      <c r="A1414" t="s">
        <v>1460</v>
      </c>
      <c r="B1414" t="s">
        <v>30</v>
      </c>
      <c r="C1414" t="s">
        <v>31</v>
      </c>
      <c r="D1414" t="s">
        <v>18</v>
      </c>
      <c r="E1414" s="1">
        <v>45032</v>
      </c>
      <c r="F1414" s="1">
        <v>45038</v>
      </c>
      <c r="G1414">
        <v>24.9</v>
      </c>
      <c r="H1414">
        <v>297.44</v>
      </c>
      <c r="I1414" t="s">
        <v>15</v>
      </c>
      <c r="J1414">
        <v>2010</v>
      </c>
      <c r="K1414">
        <v>6</v>
      </c>
      <c r="L1414" t="str">
        <f>IF(logistics_data[[#This Row],[Delivery_Date]]="","In Transit",
 IF(logistics_data[[#This Row],[Status]]="Lost","Lost",
 IF(logistics_data[[#This Row],[Status]]="Returned","Returned",
 IF(logistics_data[[#This Row],[Status]]="Delayed","Delayed",
 "Delivered"))))</f>
        <v>Delivered</v>
      </c>
      <c r="M1414" s="2">
        <f>logistics_data[[#This Row],[Cost]]/logistics_data[[#This Row],[Distance_miles]]</f>
        <v>0.14798009950248756</v>
      </c>
      <c r="N1414" t="str">
        <f>IF(logistics_data[[#This Row],[Orginal staus of shipment]]&lt;&gt;"Delivered","not applicabel", IF(logistics_data[[#This Row],[Transit_Days]]&gt;=5,"slow","fast"))</f>
        <v>slow</v>
      </c>
    </row>
    <row r="1415" spans="1:14" x14ac:dyDescent="0.3">
      <c r="A1415" t="s">
        <v>1461</v>
      </c>
      <c r="B1415" t="s">
        <v>35</v>
      </c>
      <c r="C1415" t="s">
        <v>44</v>
      </c>
      <c r="D1415" t="s">
        <v>18</v>
      </c>
      <c r="E1415" s="1">
        <v>45044</v>
      </c>
      <c r="F1415" s="1">
        <v>45046</v>
      </c>
      <c r="G1415">
        <v>5.8</v>
      </c>
      <c r="H1415">
        <v>71.349999999999994</v>
      </c>
      <c r="I1415" t="s">
        <v>15</v>
      </c>
      <c r="J1415">
        <v>487</v>
      </c>
      <c r="K1415">
        <v>2</v>
      </c>
      <c r="L1415" t="str">
        <f>IF(logistics_data[[#This Row],[Delivery_Date]]="","In Transit",
 IF(logistics_data[[#This Row],[Status]]="Lost","Lost",
 IF(logistics_data[[#This Row],[Status]]="Returned","Returned",
 IF(logistics_data[[#This Row],[Status]]="Delayed","Delayed",
 "Delivered"))))</f>
        <v>Delivered</v>
      </c>
      <c r="M1415" s="2">
        <f>logistics_data[[#This Row],[Cost]]/logistics_data[[#This Row],[Distance_miles]]</f>
        <v>0.14650924024640655</v>
      </c>
      <c r="N1415" t="str">
        <f>IF(logistics_data[[#This Row],[Orginal staus of shipment]]&lt;&gt;"Delivered","not applicabel", IF(logistics_data[[#This Row],[Transit_Days]]&gt;=5,"slow","fast"))</f>
        <v>fast</v>
      </c>
    </row>
    <row r="1416" spans="1:14" x14ac:dyDescent="0.3">
      <c r="A1416" t="s">
        <v>1462</v>
      </c>
      <c r="B1416" t="s">
        <v>12</v>
      </c>
      <c r="C1416" t="s">
        <v>36</v>
      </c>
      <c r="D1416" t="s">
        <v>32</v>
      </c>
      <c r="E1416" s="1">
        <v>45096</v>
      </c>
      <c r="F1416" s="1">
        <v>45100</v>
      </c>
      <c r="G1416">
        <v>20.399999999999999</v>
      </c>
      <c r="H1416">
        <v>211.34</v>
      </c>
      <c r="I1416" t="s">
        <v>15</v>
      </c>
      <c r="J1416">
        <v>1369</v>
      </c>
      <c r="K1416">
        <v>4</v>
      </c>
      <c r="L1416" t="str">
        <f>IF(logistics_data[[#This Row],[Delivery_Date]]="","In Transit",
 IF(logistics_data[[#This Row],[Status]]="Lost","Lost",
 IF(logistics_data[[#This Row],[Status]]="Returned","Returned",
 IF(logistics_data[[#This Row],[Status]]="Delayed","Delayed",
 "Delivered"))))</f>
        <v>Delivered</v>
      </c>
      <c r="M1416" s="2">
        <f>logistics_data[[#This Row],[Cost]]/logistics_data[[#This Row],[Distance_miles]]</f>
        <v>0.15437545653761869</v>
      </c>
      <c r="N1416" t="str">
        <f>IF(logistics_data[[#This Row],[Orginal staus of shipment]]&lt;&gt;"Delivered","not applicabel", IF(logistics_data[[#This Row],[Transit_Days]]&gt;=5,"slow","fast"))</f>
        <v>fast</v>
      </c>
    </row>
    <row r="1417" spans="1:14" x14ac:dyDescent="0.3">
      <c r="A1417" t="s">
        <v>1463</v>
      </c>
      <c r="B1417" t="s">
        <v>27</v>
      </c>
      <c r="C1417" t="s">
        <v>44</v>
      </c>
      <c r="D1417" t="s">
        <v>18</v>
      </c>
      <c r="E1417" s="1">
        <v>45260</v>
      </c>
      <c r="F1417" s="1">
        <v>45267</v>
      </c>
      <c r="G1417">
        <v>38</v>
      </c>
      <c r="H1417">
        <v>286.58</v>
      </c>
      <c r="I1417" t="s">
        <v>15</v>
      </c>
      <c r="J1417">
        <v>1542</v>
      </c>
      <c r="K1417">
        <v>7</v>
      </c>
      <c r="L1417" t="str">
        <f>IF(logistics_data[[#This Row],[Delivery_Date]]="","In Transit",
 IF(logistics_data[[#This Row],[Status]]="Lost","Lost",
 IF(logistics_data[[#This Row],[Status]]="Returned","Returned",
 IF(logistics_data[[#This Row],[Status]]="Delayed","Delayed",
 "Delivered"))))</f>
        <v>Delivered</v>
      </c>
      <c r="M1417" s="2">
        <f>logistics_data[[#This Row],[Cost]]/logistics_data[[#This Row],[Distance_miles]]</f>
        <v>0.18584954604409856</v>
      </c>
      <c r="N1417" t="str">
        <f>IF(logistics_data[[#This Row],[Orginal staus of shipment]]&lt;&gt;"Delivered","not applicabel", IF(logistics_data[[#This Row],[Transit_Days]]&gt;=5,"slow","fast"))</f>
        <v>slow</v>
      </c>
    </row>
    <row r="1418" spans="1:14" x14ac:dyDescent="0.3">
      <c r="A1418" t="s">
        <v>1464</v>
      </c>
      <c r="B1418" t="s">
        <v>39</v>
      </c>
      <c r="C1418" t="s">
        <v>36</v>
      </c>
      <c r="D1418" t="s">
        <v>18</v>
      </c>
      <c r="E1418" s="1">
        <v>45258</v>
      </c>
      <c r="F1418" s="1">
        <v>45264</v>
      </c>
      <c r="G1418">
        <v>18.7</v>
      </c>
      <c r="H1418">
        <v>326.89999999999998</v>
      </c>
      <c r="I1418" t="s">
        <v>15</v>
      </c>
      <c r="J1418">
        <v>1838</v>
      </c>
      <c r="K1418">
        <v>6</v>
      </c>
      <c r="L1418" t="str">
        <f>IF(logistics_data[[#This Row],[Delivery_Date]]="","In Transit",
 IF(logistics_data[[#This Row],[Status]]="Lost","Lost",
 IF(logistics_data[[#This Row],[Status]]="Returned","Returned",
 IF(logistics_data[[#This Row],[Status]]="Delayed","Delayed",
 "Delivered"))))</f>
        <v>Delivered</v>
      </c>
      <c r="M1418" s="2">
        <f>logistics_data[[#This Row],[Cost]]/logistics_data[[#This Row],[Distance_miles]]</f>
        <v>0.17785636561479867</v>
      </c>
      <c r="N1418" t="str">
        <f>IF(logistics_data[[#This Row],[Orginal staus of shipment]]&lt;&gt;"Delivered","not applicabel", IF(logistics_data[[#This Row],[Transit_Days]]&gt;=5,"slow","fast"))</f>
        <v>slow</v>
      </c>
    </row>
    <row r="1419" spans="1:14" x14ac:dyDescent="0.3">
      <c r="A1419" t="s">
        <v>1465</v>
      </c>
      <c r="B1419" t="s">
        <v>20</v>
      </c>
      <c r="C1419" t="s">
        <v>81</v>
      </c>
      <c r="D1419" t="s">
        <v>25</v>
      </c>
      <c r="E1419" s="1">
        <v>45013</v>
      </c>
      <c r="F1419" s="1">
        <v>45016</v>
      </c>
      <c r="G1419">
        <v>13.7</v>
      </c>
      <c r="H1419">
        <v>175.73</v>
      </c>
      <c r="I1419" t="s">
        <v>15</v>
      </c>
      <c r="J1419">
        <v>1364</v>
      </c>
      <c r="K1419">
        <v>3</v>
      </c>
      <c r="L1419" t="str">
        <f>IF(logistics_data[[#This Row],[Delivery_Date]]="","In Transit",
 IF(logistics_data[[#This Row],[Status]]="Lost","Lost",
 IF(logistics_data[[#This Row],[Status]]="Returned","Returned",
 IF(logistics_data[[#This Row],[Status]]="Delayed","Delayed",
 "Delivered"))))</f>
        <v>Delivered</v>
      </c>
      <c r="M1419" s="2">
        <f>logistics_data[[#This Row],[Cost]]/logistics_data[[#This Row],[Distance_miles]]</f>
        <v>0.12883431085043986</v>
      </c>
      <c r="N1419" t="str">
        <f>IF(logistics_data[[#This Row],[Orginal staus of shipment]]&lt;&gt;"Delivered","not applicabel", IF(logistics_data[[#This Row],[Transit_Days]]&gt;=5,"slow","fast"))</f>
        <v>fast</v>
      </c>
    </row>
    <row r="1420" spans="1:14" x14ac:dyDescent="0.3">
      <c r="A1420" t="s">
        <v>1466</v>
      </c>
      <c r="B1420" t="s">
        <v>49</v>
      </c>
      <c r="C1420" t="s">
        <v>17</v>
      </c>
      <c r="D1420" t="s">
        <v>18</v>
      </c>
      <c r="E1420" s="1">
        <v>45011</v>
      </c>
      <c r="F1420" s="1">
        <v>45014</v>
      </c>
      <c r="G1420">
        <v>38.700000000000003</v>
      </c>
      <c r="H1420">
        <v>77.84</v>
      </c>
      <c r="I1420" t="s">
        <v>15</v>
      </c>
      <c r="J1420">
        <v>173</v>
      </c>
      <c r="K1420">
        <v>3</v>
      </c>
      <c r="L1420" t="str">
        <f>IF(logistics_data[[#This Row],[Delivery_Date]]="","In Transit",
 IF(logistics_data[[#This Row],[Status]]="Lost","Lost",
 IF(logistics_data[[#This Row],[Status]]="Returned","Returned",
 IF(logistics_data[[#This Row],[Status]]="Delayed","Delayed",
 "Delivered"))))</f>
        <v>Delivered</v>
      </c>
      <c r="M1420" s="2">
        <f>logistics_data[[#This Row],[Cost]]/logistics_data[[#This Row],[Distance_miles]]</f>
        <v>0.4499421965317919</v>
      </c>
      <c r="N1420" t="str">
        <f>IF(logistics_data[[#This Row],[Orginal staus of shipment]]&lt;&gt;"Delivered","not applicabel", IF(logistics_data[[#This Row],[Transit_Days]]&gt;=5,"slow","fast"))</f>
        <v>fast</v>
      </c>
    </row>
    <row r="1421" spans="1:14" x14ac:dyDescent="0.3">
      <c r="A1421" t="s">
        <v>1467</v>
      </c>
      <c r="B1421" t="s">
        <v>51</v>
      </c>
      <c r="C1421" t="s">
        <v>54</v>
      </c>
      <c r="D1421" t="s">
        <v>18</v>
      </c>
      <c r="E1421" s="1">
        <v>45213</v>
      </c>
      <c r="F1421" s="1">
        <v>45219</v>
      </c>
      <c r="G1421">
        <v>23.4</v>
      </c>
      <c r="H1421">
        <v>356.56</v>
      </c>
      <c r="I1421" t="s">
        <v>15</v>
      </c>
      <c r="J1421">
        <v>2343</v>
      </c>
      <c r="K1421">
        <v>6</v>
      </c>
      <c r="L1421" t="str">
        <f>IF(logistics_data[[#This Row],[Delivery_Date]]="","In Transit",
 IF(logistics_data[[#This Row],[Status]]="Lost","Lost",
 IF(logistics_data[[#This Row],[Status]]="Returned","Returned",
 IF(logistics_data[[#This Row],[Status]]="Delayed","Delayed",
 "Delivered"))))</f>
        <v>Delivered</v>
      </c>
      <c r="M1421" s="2">
        <f>logistics_data[[#This Row],[Cost]]/logistics_data[[#This Row],[Distance_miles]]</f>
        <v>0.15218096457533078</v>
      </c>
      <c r="N1421" t="str">
        <f>IF(logistics_data[[#This Row],[Orginal staus of shipment]]&lt;&gt;"Delivered","not applicabel", IF(logistics_data[[#This Row],[Transit_Days]]&gt;=5,"slow","fast"))</f>
        <v>slow</v>
      </c>
    </row>
    <row r="1422" spans="1:14" x14ac:dyDescent="0.3">
      <c r="A1422" t="s">
        <v>1468</v>
      </c>
      <c r="B1422" t="s">
        <v>30</v>
      </c>
      <c r="C1422" t="s">
        <v>40</v>
      </c>
      <c r="D1422" t="s">
        <v>18</v>
      </c>
      <c r="E1422" s="1">
        <v>45254</v>
      </c>
      <c r="F1422" s="1">
        <v>45256</v>
      </c>
      <c r="G1422">
        <v>11.1</v>
      </c>
      <c r="H1422">
        <v>109.93</v>
      </c>
      <c r="I1422" t="s">
        <v>15</v>
      </c>
      <c r="J1422">
        <v>505</v>
      </c>
      <c r="K1422">
        <v>2</v>
      </c>
      <c r="L1422" t="str">
        <f>IF(logistics_data[[#This Row],[Delivery_Date]]="","In Transit",
 IF(logistics_data[[#This Row],[Status]]="Lost","Lost",
 IF(logistics_data[[#This Row],[Status]]="Returned","Returned",
 IF(logistics_data[[#This Row],[Status]]="Delayed","Delayed",
 "Delivered"))))</f>
        <v>Delivered</v>
      </c>
      <c r="M1422" s="2">
        <f>logistics_data[[#This Row],[Cost]]/logistics_data[[#This Row],[Distance_miles]]</f>
        <v>0.21768316831683171</v>
      </c>
      <c r="N1422" t="str">
        <f>IF(logistics_data[[#This Row],[Orginal staus of shipment]]&lt;&gt;"Delivered","not applicabel", IF(logistics_data[[#This Row],[Transit_Days]]&gt;=5,"slow","fast"))</f>
        <v>fast</v>
      </c>
    </row>
    <row r="1423" spans="1:14" x14ac:dyDescent="0.3">
      <c r="A1423" t="s">
        <v>1469</v>
      </c>
      <c r="B1423" t="s">
        <v>49</v>
      </c>
      <c r="C1423" t="s">
        <v>57</v>
      </c>
      <c r="D1423" t="s">
        <v>42</v>
      </c>
      <c r="E1423" s="1">
        <v>45207</v>
      </c>
      <c r="F1423" s="1">
        <v>45208</v>
      </c>
      <c r="G1423">
        <v>30.6</v>
      </c>
      <c r="H1423">
        <v>62.81</v>
      </c>
      <c r="I1423" t="s">
        <v>15</v>
      </c>
      <c r="J1423">
        <v>206</v>
      </c>
      <c r="K1423">
        <v>1</v>
      </c>
      <c r="L1423" t="str">
        <f>IF(logistics_data[[#This Row],[Delivery_Date]]="","In Transit",
 IF(logistics_data[[#This Row],[Status]]="Lost","Lost",
 IF(logistics_data[[#This Row],[Status]]="Returned","Returned",
 IF(logistics_data[[#This Row],[Status]]="Delayed","Delayed",
 "Delivered"))))</f>
        <v>Delivered</v>
      </c>
      <c r="M1423" s="2">
        <f>logistics_data[[#This Row],[Cost]]/logistics_data[[#This Row],[Distance_miles]]</f>
        <v>0.30490291262135921</v>
      </c>
      <c r="N1423" t="str">
        <f>IF(logistics_data[[#This Row],[Orginal staus of shipment]]&lt;&gt;"Delivered","not applicabel", IF(logistics_data[[#This Row],[Transit_Days]]&gt;=5,"slow","fast"))</f>
        <v>fast</v>
      </c>
    </row>
    <row r="1424" spans="1:14" x14ac:dyDescent="0.3">
      <c r="A1424" t="s">
        <v>1470</v>
      </c>
      <c r="B1424" t="s">
        <v>49</v>
      </c>
      <c r="C1424" t="s">
        <v>31</v>
      </c>
      <c r="D1424" t="s">
        <v>18</v>
      </c>
      <c r="E1424" s="1">
        <v>45280</v>
      </c>
      <c r="F1424" s="1">
        <v>45286</v>
      </c>
      <c r="G1424">
        <v>6.6</v>
      </c>
      <c r="H1424">
        <v>289.77</v>
      </c>
      <c r="I1424" t="s">
        <v>15</v>
      </c>
      <c r="J1424">
        <v>1656</v>
      </c>
      <c r="K1424">
        <v>6</v>
      </c>
      <c r="L1424" t="str">
        <f>IF(logistics_data[[#This Row],[Delivery_Date]]="","In Transit",
 IF(logistics_data[[#This Row],[Status]]="Lost","Lost",
 IF(logistics_data[[#This Row],[Status]]="Returned","Returned",
 IF(logistics_data[[#This Row],[Status]]="Delayed","Delayed",
 "Delivered"))))</f>
        <v>Delivered</v>
      </c>
      <c r="M1424" s="2">
        <f>logistics_data[[#This Row],[Cost]]/logistics_data[[#This Row],[Distance_miles]]</f>
        <v>0.17498188405797099</v>
      </c>
      <c r="N1424" t="str">
        <f>IF(logistics_data[[#This Row],[Orginal staus of shipment]]&lt;&gt;"Delivered","not applicabel", IF(logistics_data[[#This Row],[Transit_Days]]&gt;=5,"slow","fast"))</f>
        <v>slow</v>
      </c>
    </row>
    <row r="1425" spans="1:14" x14ac:dyDescent="0.3">
      <c r="A1425" t="s">
        <v>1471</v>
      </c>
      <c r="B1425" t="s">
        <v>39</v>
      </c>
      <c r="C1425" t="s">
        <v>13</v>
      </c>
      <c r="D1425" t="s">
        <v>59</v>
      </c>
      <c r="E1425" s="1">
        <v>44955</v>
      </c>
      <c r="F1425" s="1">
        <v>44957</v>
      </c>
      <c r="G1425">
        <v>13.2</v>
      </c>
      <c r="H1425">
        <v>57.43</v>
      </c>
      <c r="I1425" t="s">
        <v>15</v>
      </c>
      <c r="J1425">
        <v>377</v>
      </c>
      <c r="K1425">
        <v>2</v>
      </c>
      <c r="L1425" t="str">
        <f>IF(logistics_data[[#This Row],[Delivery_Date]]="","In Transit",
 IF(logistics_data[[#This Row],[Status]]="Lost","Lost",
 IF(logistics_data[[#This Row],[Status]]="Returned","Returned",
 IF(logistics_data[[#This Row],[Status]]="Delayed","Delayed",
 "Delivered"))))</f>
        <v>Delivered</v>
      </c>
      <c r="M1425" s="2">
        <f>logistics_data[[#This Row],[Cost]]/logistics_data[[#This Row],[Distance_miles]]</f>
        <v>0.15233421750663129</v>
      </c>
      <c r="N1425" t="str">
        <f>IF(logistics_data[[#This Row],[Orginal staus of shipment]]&lt;&gt;"Delivered","not applicabel", IF(logistics_data[[#This Row],[Transit_Days]]&gt;=5,"slow","fast"))</f>
        <v>fast</v>
      </c>
    </row>
    <row r="1426" spans="1:14" x14ac:dyDescent="0.3">
      <c r="A1426" t="s">
        <v>1472</v>
      </c>
      <c r="B1426" t="s">
        <v>27</v>
      </c>
      <c r="C1426" t="s">
        <v>28</v>
      </c>
      <c r="D1426" t="s">
        <v>25</v>
      </c>
      <c r="E1426" s="1">
        <v>45170</v>
      </c>
      <c r="F1426" s="1">
        <v>45175</v>
      </c>
      <c r="G1426">
        <v>34</v>
      </c>
      <c r="H1426">
        <v>255.91</v>
      </c>
      <c r="I1426" t="s">
        <v>15</v>
      </c>
      <c r="J1426">
        <v>1631</v>
      </c>
      <c r="K1426">
        <v>5</v>
      </c>
      <c r="L1426" t="str">
        <f>IF(logistics_data[[#This Row],[Delivery_Date]]="","In Transit",
 IF(logistics_data[[#This Row],[Status]]="Lost","Lost",
 IF(logistics_data[[#This Row],[Status]]="Returned","Returned",
 IF(logistics_data[[#This Row],[Status]]="Delayed","Delayed",
 "Delivered"))))</f>
        <v>Delivered</v>
      </c>
      <c r="M1426" s="2">
        <f>logistics_data[[#This Row],[Cost]]/logistics_data[[#This Row],[Distance_miles]]</f>
        <v>0.15690374003678725</v>
      </c>
      <c r="N1426" t="str">
        <f>IF(logistics_data[[#This Row],[Orginal staus of shipment]]&lt;&gt;"Delivered","not applicabel", IF(logistics_data[[#This Row],[Transit_Days]]&gt;=5,"slow","fast"))</f>
        <v>slow</v>
      </c>
    </row>
    <row r="1427" spans="1:14" x14ac:dyDescent="0.3">
      <c r="A1427" t="s">
        <v>1473</v>
      </c>
      <c r="B1427" t="s">
        <v>30</v>
      </c>
      <c r="C1427" t="s">
        <v>81</v>
      </c>
      <c r="D1427" t="s">
        <v>32</v>
      </c>
      <c r="E1427" s="1">
        <v>45216</v>
      </c>
      <c r="F1427" s="1">
        <v>45218</v>
      </c>
      <c r="G1427">
        <v>11</v>
      </c>
      <c r="H1427">
        <v>68.25</v>
      </c>
      <c r="I1427" t="s">
        <v>67</v>
      </c>
      <c r="J1427">
        <v>403</v>
      </c>
      <c r="K1427">
        <v>2</v>
      </c>
      <c r="L1427" t="str">
        <f>IF(logistics_data[[#This Row],[Delivery_Date]]="","In Transit",
 IF(logistics_data[[#This Row],[Status]]="Lost","Lost",
 IF(logistics_data[[#This Row],[Status]]="Returned","Returned",
 IF(logistics_data[[#This Row],[Status]]="Delayed","Delayed",
 "Delivered"))))</f>
        <v>Returned</v>
      </c>
      <c r="M1427" s="2">
        <f>logistics_data[[#This Row],[Cost]]/logistics_data[[#This Row],[Distance_miles]]</f>
        <v>0.16935483870967741</v>
      </c>
      <c r="N1427" t="str">
        <f>IF(logistics_data[[#This Row],[Orginal staus of shipment]]&lt;&gt;"Delivered","not applicabel", IF(logistics_data[[#This Row],[Transit_Days]]&gt;=5,"slow","fast"))</f>
        <v>not applicabel</v>
      </c>
    </row>
    <row r="1428" spans="1:14" x14ac:dyDescent="0.3">
      <c r="A1428" t="s">
        <v>1474</v>
      </c>
      <c r="B1428" t="s">
        <v>30</v>
      </c>
      <c r="C1428" t="s">
        <v>13</v>
      </c>
      <c r="D1428" t="s">
        <v>14</v>
      </c>
      <c r="E1428" s="1">
        <v>45148</v>
      </c>
      <c r="F1428" s="1">
        <v>45152</v>
      </c>
      <c r="G1428">
        <v>4.9000000000000004</v>
      </c>
      <c r="I1428" t="s">
        <v>15</v>
      </c>
      <c r="J1428">
        <v>1591</v>
      </c>
      <c r="K1428">
        <v>4</v>
      </c>
      <c r="L1428" t="str">
        <f>IF(logistics_data[[#This Row],[Delivery_Date]]="","In Transit",
 IF(logistics_data[[#This Row],[Status]]="Lost","Lost",
 IF(logistics_data[[#This Row],[Status]]="Returned","Returned",
 IF(logistics_data[[#This Row],[Status]]="Delayed","Delayed",
 "Delivered"))))</f>
        <v>Delivered</v>
      </c>
      <c r="M1428" s="2">
        <f>logistics_data[[#This Row],[Cost]]/logistics_data[[#This Row],[Distance_miles]]</f>
        <v>0</v>
      </c>
      <c r="N1428" t="str">
        <f>IF(logistics_data[[#This Row],[Orginal staus of shipment]]&lt;&gt;"Delivered","not applicabel", IF(logistics_data[[#This Row],[Transit_Days]]&gt;=5,"slow","fast"))</f>
        <v>fast</v>
      </c>
    </row>
    <row r="1429" spans="1:14" x14ac:dyDescent="0.3">
      <c r="A1429" t="s">
        <v>1475</v>
      </c>
      <c r="B1429" t="s">
        <v>35</v>
      </c>
      <c r="C1429" t="s">
        <v>17</v>
      </c>
      <c r="D1429" t="s">
        <v>18</v>
      </c>
      <c r="E1429" s="1">
        <v>44947</v>
      </c>
      <c r="F1429" s="1">
        <v>44950</v>
      </c>
      <c r="G1429">
        <v>19.8</v>
      </c>
      <c r="H1429">
        <v>117.68</v>
      </c>
      <c r="I1429" t="s">
        <v>15</v>
      </c>
      <c r="J1429">
        <v>611</v>
      </c>
      <c r="K1429">
        <v>3</v>
      </c>
      <c r="L1429" t="str">
        <f>IF(logistics_data[[#This Row],[Delivery_Date]]="","In Transit",
 IF(logistics_data[[#This Row],[Status]]="Lost","Lost",
 IF(logistics_data[[#This Row],[Status]]="Returned","Returned",
 IF(logistics_data[[#This Row],[Status]]="Delayed","Delayed",
 "Delivered"))))</f>
        <v>Delivered</v>
      </c>
      <c r="M1429" s="2">
        <f>logistics_data[[#This Row],[Cost]]/logistics_data[[#This Row],[Distance_miles]]</f>
        <v>0.19260229132569559</v>
      </c>
      <c r="N1429" t="str">
        <f>IF(logistics_data[[#This Row],[Orginal staus of shipment]]&lt;&gt;"Delivered","not applicabel", IF(logistics_data[[#This Row],[Transit_Days]]&gt;=5,"slow","fast"))</f>
        <v>fast</v>
      </c>
    </row>
    <row r="1430" spans="1:14" x14ac:dyDescent="0.3">
      <c r="A1430" t="s">
        <v>1476</v>
      </c>
      <c r="B1430" t="s">
        <v>35</v>
      </c>
      <c r="C1430" t="s">
        <v>24</v>
      </c>
      <c r="D1430" t="s">
        <v>14</v>
      </c>
      <c r="E1430" s="1">
        <v>45082</v>
      </c>
      <c r="G1430">
        <v>17.7</v>
      </c>
      <c r="H1430">
        <v>258.44</v>
      </c>
      <c r="I1430" t="s">
        <v>15</v>
      </c>
      <c r="J1430">
        <v>1911</v>
      </c>
      <c r="K1430">
        <v>9</v>
      </c>
      <c r="L1430" t="str">
        <f>IF(logistics_data[[#This Row],[Delivery_Date]]="","In Transit",
 IF(logistics_data[[#This Row],[Status]]="Lost","Lost",
 IF(logistics_data[[#This Row],[Status]]="Returned","Returned",
 IF(logistics_data[[#This Row],[Status]]="Delayed","Delayed",
 "Delivered"))))</f>
        <v>In Transit</v>
      </c>
      <c r="M1430" s="2">
        <f>logistics_data[[#This Row],[Cost]]/logistics_data[[#This Row],[Distance_miles]]</f>
        <v>0.13523809523809524</v>
      </c>
      <c r="N1430" t="str">
        <f>IF(logistics_data[[#This Row],[Orginal staus of shipment]]&lt;&gt;"Delivered","not applicabel", IF(logistics_data[[#This Row],[Transit_Days]]&gt;=5,"slow","fast"))</f>
        <v>not applicabel</v>
      </c>
    </row>
    <row r="1431" spans="1:14" x14ac:dyDescent="0.3">
      <c r="A1431" t="s">
        <v>1477</v>
      </c>
      <c r="B1431" t="s">
        <v>27</v>
      </c>
      <c r="C1431" t="s">
        <v>44</v>
      </c>
      <c r="D1431" t="s">
        <v>42</v>
      </c>
      <c r="E1431" s="1">
        <v>45005</v>
      </c>
      <c r="F1431" s="1">
        <v>45009</v>
      </c>
      <c r="G1431">
        <v>42.4</v>
      </c>
      <c r="H1431">
        <v>171.56</v>
      </c>
      <c r="I1431" t="s">
        <v>15</v>
      </c>
      <c r="J1431">
        <v>1111</v>
      </c>
      <c r="K1431">
        <v>4</v>
      </c>
      <c r="L1431" t="str">
        <f>IF(logistics_data[[#This Row],[Delivery_Date]]="","In Transit",
 IF(logistics_data[[#This Row],[Status]]="Lost","Lost",
 IF(logistics_data[[#This Row],[Status]]="Returned","Returned",
 IF(logistics_data[[#This Row],[Status]]="Delayed","Delayed",
 "Delivered"))))</f>
        <v>Delivered</v>
      </c>
      <c r="M1431" s="2">
        <f>logistics_data[[#This Row],[Cost]]/logistics_data[[#This Row],[Distance_miles]]</f>
        <v>0.15441944194419441</v>
      </c>
      <c r="N1431" t="str">
        <f>IF(logistics_data[[#This Row],[Orginal staus of shipment]]&lt;&gt;"Delivered","not applicabel", IF(logistics_data[[#This Row],[Transit_Days]]&gt;=5,"slow","fast"))</f>
        <v>fast</v>
      </c>
    </row>
    <row r="1432" spans="1:14" x14ac:dyDescent="0.3">
      <c r="A1432" t="s">
        <v>1478</v>
      </c>
      <c r="B1432" t="s">
        <v>35</v>
      </c>
      <c r="C1432" t="s">
        <v>24</v>
      </c>
      <c r="D1432" t="s">
        <v>42</v>
      </c>
      <c r="E1432" s="1">
        <v>45136</v>
      </c>
      <c r="F1432" s="1">
        <v>45139</v>
      </c>
      <c r="G1432">
        <v>14.5</v>
      </c>
      <c r="H1432">
        <v>160.16999999999999</v>
      </c>
      <c r="I1432" t="s">
        <v>15</v>
      </c>
      <c r="J1432">
        <v>1162</v>
      </c>
      <c r="K1432">
        <v>3</v>
      </c>
      <c r="L1432" t="str">
        <f>IF(logistics_data[[#This Row],[Delivery_Date]]="","In Transit",
 IF(logistics_data[[#This Row],[Status]]="Lost","Lost",
 IF(logistics_data[[#This Row],[Status]]="Returned","Returned",
 IF(logistics_data[[#This Row],[Status]]="Delayed","Delayed",
 "Delivered"))))</f>
        <v>Delivered</v>
      </c>
      <c r="M1432" s="2">
        <f>logistics_data[[#This Row],[Cost]]/logistics_data[[#This Row],[Distance_miles]]</f>
        <v>0.13783993115318416</v>
      </c>
      <c r="N1432" t="str">
        <f>IF(logistics_data[[#This Row],[Orginal staus of shipment]]&lt;&gt;"Delivered","not applicabel", IF(logistics_data[[#This Row],[Transit_Days]]&gt;=5,"slow","fast"))</f>
        <v>fast</v>
      </c>
    </row>
    <row r="1433" spans="1:14" x14ac:dyDescent="0.3">
      <c r="A1433" t="s">
        <v>1479</v>
      </c>
      <c r="B1433" t="s">
        <v>20</v>
      </c>
      <c r="C1433" t="s">
        <v>21</v>
      </c>
      <c r="D1433" t="s">
        <v>25</v>
      </c>
      <c r="E1433" s="1">
        <v>45071</v>
      </c>
      <c r="F1433" s="1">
        <v>45072</v>
      </c>
      <c r="G1433">
        <v>30.6</v>
      </c>
      <c r="H1433">
        <v>48.89</v>
      </c>
      <c r="I1433" t="s">
        <v>15</v>
      </c>
      <c r="J1433">
        <v>146</v>
      </c>
      <c r="K1433">
        <v>1</v>
      </c>
      <c r="L1433" t="str">
        <f>IF(logistics_data[[#This Row],[Delivery_Date]]="","In Transit",
 IF(logistics_data[[#This Row],[Status]]="Lost","Lost",
 IF(logistics_data[[#This Row],[Status]]="Returned","Returned",
 IF(logistics_data[[#This Row],[Status]]="Delayed","Delayed",
 "Delivered"))))</f>
        <v>Delivered</v>
      </c>
      <c r="M1433" s="2">
        <f>logistics_data[[#This Row],[Cost]]/logistics_data[[#This Row],[Distance_miles]]</f>
        <v>0.33486301369863014</v>
      </c>
      <c r="N1433" t="str">
        <f>IF(logistics_data[[#This Row],[Orginal staus of shipment]]&lt;&gt;"Delivered","not applicabel", IF(logistics_data[[#This Row],[Transit_Days]]&gt;=5,"slow","fast"))</f>
        <v>fast</v>
      </c>
    </row>
    <row r="1434" spans="1:14" x14ac:dyDescent="0.3">
      <c r="A1434" t="s">
        <v>1480</v>
      </c>
      <c r="B1434" t="s">
        <v>39</v>
      </c>
      <c r="C1434" t="s">
        <v>21</v>
      </c>
      <c r="D1434" t="s">
        <v>42</v>
      </c>
      <c r="E1434" s="1">
        <v>45143</v>
      </c>
      <c r="F1434" s="1">
        <v>45147</v>
      </c>
      <c r="G1434">
        <v>11.3</v>
      </c>
      <c r="H1434">
        <v>181.83</v>
      </c>
      <c r="I1434" t="s">
        <v>62</v>
      </c>
      <c r="J1434">
        <v>1541</v>
      </c>
      <c r="K1434">
        <v>4</v>
      </c>
      <c r="L1434" t="str">
        <f>IF(logistics_data[[#This Row],[Delivery_Date]]="","In Transit",
 IF(logistics_data[[#This Row],[Status]]="Lost","Lost",
 IF(logistics_data[[#This Row],[Status]]="Returned","Returned",
 IF(logistics_data[[#This Row],[Status]]="Delayed","Delayed",
 "Delivered"))))</f>
        <v>Delivered</v>
      </c>
      <c r="M1434" s="2">
        <f>logistics_data[[#This Row],[Cost]]/logistics_data[[#This Row],[Distance_miles]]</f>
        <v>0.11799480856586633</v>
      </c>
      <c r="N1434" t="str">
        <f>IF(logistics_data[[#This Row],[Orginal staus of shipment]]&lt;&gt;"Delivered","not applicabel", IF(logistics_data[[#This Row],[Transit_Days]]&gt;=5,"slow","fast"))</f>
        <v>fast</v>
      </c>
    </row>
    <row r="1435" spans="1:14" x14ac:dyDescent="0.3">
      <c r="A1435" t="s">
        <v>1481</v>
      </c>
      <c r="B1435" t="s">
        <v>35</v>
      </c>
      <c r="C1435" t="s">
        <v>17</v>
      </c>
      <c r="D1435" t="s">
        <v>42</v>
      </c>
      <c r="E1435" s="1">
        <v>44971</v>
      </c>
      <c r="F1435" s="1">
        <v>44975</v>
      </c>
      <c r="G1435">
        <v>12.1</v>
      </c>
      <c r="H1435">
        <v>228.01</v>
      </c>
      <c r="I1435" t="s">
        <v>67</v>
      </c>
      <c r="J1435">
        <v>1865</v>
      </c>
      <c r="K1435">
        <v>4</v>
      </c>
      <c r="L1435" t="str">
        <f>IF(logistics_data[[#This Row],[Delivery_Date]]="","In Transit",
 IF(logistics_data[[#This Row],[Status]]="Lost","Lost",
 IF(logistics_data[[#This Row],[Status]]="Returned","Returned",
 IF(logistics_data[[#This Row],[Status]]="Delayed","Delayed",
 "Delivered"))))</f>
        <v>Returned</v>
      </c>
      <c r="M1435" s="2">
        <f>logistics_data[[#This Row],[Cost]]/logistics_data[[#This Row],[Distance_miles]]</f>
        <v>0.1222573726541555</v>
      </c>
      <c r="N1435" t="str">
        <f>IF(logistics_data[[#This Row],[Orginal staus of shipment]]&lt;&gt;"Delivered","not applicabel", IF(logistics_data[[#This Row],[Transit_Days]]&gt;=5,"slow","fast"))</f>
        <v>not applicabel</v>
      </c>
    </row>
    <row r="1436" spans="1:14" x14ac:dyDescent="0.3">
      <c r="A1436" t="s">
        <v>1482</v>
      </c>
      <c r="B1436" t="s">
        <v>56</v>
      </c>
      <c r="C1436" t="s">
        <v>70</v>
      </c>
      <c r="D1436" t="s">
        <v>25</v>
      </c>
      <c r="E1436" s="1">
        <v>45035</v>
      </c>
      <c r="F1436" s="1">
        <v>45050</v>
      </c>
      <c r="G1436">
        <v>10.199999999999999</v>
      </c>
      <c r="H1436">
        <v>201.85</v>
      </c>
      <c r="I1436" t="s">
        <v>47</v>
      </c>
      <c r="J1436">
        <v>1659</v>
      </c>
      <c r="K1436">
        <v>5</v>
      </c>
      <c r="L1436" t="str">
        <f>IF(logistics_data[[#This Row],[Delivery_Date]]="","In Transit",
 IF(logistics_data[[#This Row],[Status]]="Lost","Lost",
 IF(logistics_data[[#This Row],[Status]]="Returned","Returned",
 IF(logistics_data[[#This Row],[Status]]="Delayed","Delayed",
 "Delivered"))))</f>
        <v>Delayed</v>
      </c>
      <c r="M1436" s="2">
        <f>logistics_data[[#This Row],[Cost]]/logistics_data[[#This Row],[Distance_miles]]</f>
        <v>0.12166968053044003</v>
      </c>
      <c r="N1436" t="str">
        <f>IF(logistics_data[[#This Row],[Orginal staus of shipment]]&lt;&gt;"Delivered","not applicabel", IF(logistics_data[[#This Row],[Transit_Days]]&gt;=5,"slow","fast"))</f>
        <v>not applicabel</v>
      </c>
    </row>
    <row r="1437" spans="1:14" x14ac:dyDescent="0.3">
      <c r="A1437" t="s">
        <v>1483</v>
      </c>
      <c r="B1437" t="s">
        <v>56</v>
      </c>
      <c r="C1437" t="s">
        <v>46</v>
      </c>
      <c r="D1437" t="s">
        <v>18</v>
      </c>
      <c r="E1437" s="1">
        <v>45034</v>
      </c>
      <c r="F1437" s="1">
        <v>45038</v>
      </c>
      <c r="G1437">
        <v>10.4</v>
      </c>
      <c r="H1437">
        <v>266.13</v>
      </c>
      <c r="I1437" t="s">
        <v>15</v>
      </c>
      <c r="J1437">
        <v>1924</v>
      </c>
      <c r="K1437">
        <v>4</v>
      </c>
      <c r="L1437" t="str">
        <f>IF(logistics_data[[#This Row],[Delivery_Date]]="","In Transit",
 IF(logistics_data[[#This Row],[Status]]="Lost","Lost",
 IF(logistics_data[[#This Row],[Status]]="Returned","Returned",
 IF(logistics_data[[#This Row],[Status]]="Delayed","Delayed",
 "Delivered"))))</f>
        <v>Delivered</v>
      </c>
      <c r="M1437" s="2">
        <f>logistics_data[[#This Row],[Cost]]/logistics_data[[#This Row],[Distance_miles]]</f>
        <v>0.13832120582120583</v>
      </c>
      <c r="N1437" t="str">
        <f>IF(logistics_data[[#This Row],[Orginal staus of shipment]]&lt;&gt;"Delivered","not applicabel", IF(logistics_data[[#This Row],[Transit_Days]]&gt;=5,"slow","fast"))</f>
        <v>fast</v>
      </c>
    </row>
    <row r="1438" spans="1:14" x14ac:dyDescent="0.3">
      <c r="A1438" t="s">
        <v>1484</v>
      </c>
      <c r="B1438" t="s">
        <v>23</v>
      </c>
      <c r="C1438" t="s">
        <v>57</v>
      </c>
      <c r="D1438" t="s">
        <v>18</v>
      </c>
      <c r="E1438" s="1">
        <v>44975</v>
      </c>
      <c r="F1438" s="1">
        <v>44985</v>
      </c>
      <c r="G1438">
        <v>19.100000000000001</v>
      </c>
      <c r="H1438">
        <v>70.45</v>
      </c>
      <c r="I1438" t="s">
        <v>47</v>
      </c>
      <c r="J1438">
        <v>302</v>
      </c>
      <c r="K1438">
        <v>2</v>
      </c>
      <c r="L1438" t="str">
        <f>IF(logistics_data[[#This Row],[Delivery_Date]]="","In Transit",
 IF(logistics_data[[#This Row],[Status]]="Lost","Lost",
 IF(logistics_data[[#This Row],[Status]]="Returned","Returned",
 IF(logistics_data[[#This Row],[Status]]="Delayed","Delayed",
 "Delivered"))))</f>
        <v>Delayed</v>
      </c>
      <c r="M1438" s="2">
        <f>logistics_data[[#This Row],[Cost]]/logistics_data[[#This Row],[Distance_miles]]</f>
        <v>0.23327814569536426</v>
      </c>
      <c r="N1438" t="str">
        <f>IF(logistics_data[[#This Row],[Orginal staus of shipment]]&lt;&gt;"Delivered","not applicabel", IF(logistics_data[[#This Row],[Transit_Days]]&gt;=5,"slow","fast"))</f>
        <v>not applicabel</v>
      </c>
    </row>
    <row r="1439" spans="1:14" x14ac:dyDescent="0.3">
      <c r="A1439" t="s">
        <v>1485</v>
      </c>
      <c r="B1439" t="s">
        <v>23</v>
      </c>
      <c r="C1439" t="s">
        <v>46</v>
      </c>
      <c r="D1439" t="s">
        <v>59</v>
      </c>
      <c r="E1439" s="1">
        <v>44931</v>
      </c>
      <c r="F1439" s="1">
        <v>44935</v>
      </c>
      <c r="G1439">
        <v>111</v>
      </c>
      <c r="H1439">
        <v>301.2</v>
      </c>
      <c r="I1439" t="s">
        <v>15</v>
      </c>
      <c r="J1439">
        <v>1782</v>
      </c>
      <c r="K1439">
        <v>4</v>
      </c>
      <c r="L1439" t="str">
        <f>IF(logistics_data[[#This Row],[Delivery_Date]]="","In Transit",
 IF(logistics_data[[#This Row],[Status]]="Lost","Lost",
 IF(logistics_data[[#This Row],[Status]]="Returned","Returned",
 IF(logistics_data[[#This Row],[Status]]="Delayed","Delayed",
 "Delivered"))))</f>
        <v>Delivered</v>
      </c>
      <c r="M1439" s="2">
        <f>logistics_data[[#This Row],[Cost]]/logistics_data[[#This Row],[Distance_miles]]</f>
        <v>0.16902356902356902</v>
      </c>
      <c r="N1439" t="str">
        <f>IF(logistics_data[[#This Row],[Orginal staus of shipment]]&lt;&gt;"Delivered","not applicabel", IF(logistics_data[[#This Row],[Transit_Days]]&gt;=5,"slow","fast"))</f>
        <v>fast</v>
      </c>
    </row>
    <row r="1440" spans="1:14" x14ac:dyDescent="0.3">
      <c r="A1440" t="s">
        <v>1486</v>
      </c>
      <c r="B1440" t="s">
        <v>39</v>
      </c>
      <c r="C1440" t="s">
        <v>13</v>
      </c>
      <c r="D1440" t="s">
        <v>37</v>
      </c>
      <c r="E1440" s="1">
        <v>45065</v>
      </c>
      <c r="F1440" s="1">
        <v>45068</v>
      </c>
      <c r="G1440">
        <v>47.3</v>
      </c>
      <c r="H1440">
        <v>144.28</v>
      </c>
      <c r="I1440" t="s">
        <v>60</v>
      </c>
      <c r="J1440">
        <v>854</v>
      </c>
      <c r="K1440">
        <v>3</v>
      </c>
      <c r="L1440" t="str">
        <f>IF(logistics_data[[#This Row],[Delivery_Date]]="","In Transit",
 IF(logistics_data[[#This Row],[Status]]="Lost","Lost",
 IF(logistics_data[[#This Row],[Status]]="Returned","Returned",
 IF(logistics_data[[#This Row],[Status]]="Delayed","Delayed",
 "Delivered"))))</f>
        <v>Lost</v>
      </c>
      <c r="M1440" s="2">
        <f>logistics_data[[#This Row],[Cost]]/logistics_data[[#This Row],[Distance_miles]]</f>
        <v>0.16894613583138174</v>
      </c>
      <c r="N1440" t="str">
        <f>IF(logistics_data[[#This Row],[Orginal staus of shipment]]&lt;&gt;"Delivered","not applicabel", IF(logistics_data[[#This Row],[Transit_Days]]&gt;=5,"slow","fast"))</f>
        <v>not applicabel</v>
      </c>
    </row>
    <row r="1441" spans="1:14" x14ac:dyDescent="0.3">
      <c r="A1441" t="s">
        <v>1487</v>
      </c>
      <c r="B1441" t="s">
        <v>35</v>
      </c>
      <c r="C1441" t="s">
        <v>36</v>
      </c>
      <c r="D1441" t="s">
        <v>42</v>
      </c>
      <c r="E1441" s="1">
        <v>44937</v>
      </c>
      <c r="F1441" s="1">
        <v>44943</v>
      </c>
      <c r="G1441">
        <v>24.2</v>
      </c>
      <c r="H1441">
        <v>314.11</v>
      </c>
      <c r="I1441" t="s">
        <v>15</v>
      </c>
      <c r="J1441">
        <v>2469</v>
      </c>
      <c r="K1441">
        <v>6</v>
      </c>
      <c r="L1441" t="str">
        <f>IF(logistics_data[[#This Row],[Delivery_Date]]="","In Transit",
 IF(logistics_data[[#This Row],[Status]]="Lost","Lost",
 IF(logistics_data[[#This Row],[Status]]="Returned","Returned",
 IF(logistics_data[[#This Row],[Status]]="Delayed","Delayed",
 "Delivered"))))</f>
        <v>Delivered</v>
      </c>
      <c r="M1441" s="2">
        <f>logistics_data[[#This Row],[Cost]]/logistics_data[[#This Row],[Distance_miles]]</f>
        <v>0.12722154718509518</v>
      </c>
      <c r="N1441" t="str">
        <f>IF(logistics_data[[#This Row],[Orginal staus of shipment]]&lt;&gt;"Delivered","not applicabel", IF(logistics_data[[#This Row],[Transit_Days]]&gt;=5,"slow","fast"))</f>
        <v>slow</v>
      </c>
    </row>
    <row r="1442" spans="1:14" x14ac:dyDescent="0.3">
      <c r="A1442" t="s">
        <v>1488</v>
      </c>
      <c r="B1442" t="s">
        <v>49</v>
      </c>
      <c r="C1442" t="s">
        <v>28</v>
      </c>
      <c r="D1442" t="s">
        <v>14</v>
      </c>
      <c r="E1442" s="1">
        <v>44954</v>
      </c>
      <c r="F1442" s="1">
        <v>44955</v>
      </c>
      <c r="G1442">
        <v>7.7</v>
      </c>
      <c r="H1442">
        <v>30.59</v>
      </c>
      <c r="I1442" t="s">
        <v>62</v>
      </c>
      <c r="J1442">
        <v>166</v>
      </c>
      <c r="K1442">
        <v>1</v>
      </c>
      <c r="L1442" t="str">
        <f>IF(logistics_data[[#This Row],[Delivery_Date]]="","In Transit",
 IF(logistics_data[[#This Row],[Status]]="Lost","Lost",
 IF(logistics_data[[#This Row],[Status]]="Returned","Returned",
 IF(logistics_data[[#This Row],[Status]]="Delayed","Delayed",
 "Delivered"))))</f>
        <v>Delivered</v>
      </c>
      <c r="M1442" s="2">
        <f>logistics_data[[#This Row],[Cost]]/logistics_data[[#This Row],[Distance_miles]]</f>
        <v>0.18427710843373493</v>
      </c>
      <c r="N1442" t="str">
        <f>IF(logistics_data[[#This Row],[Orginal staus of shipment]]&lt;&gt;"Delivered","not applicabel", IF(logistics_data[[#This Row],[Transit_Days]]&gt;=5,"slow","fast"))</f>
        <v>fast</v>
      </c>
    </row>
    <row r="1443" spans="1:14" x14ac:dyDescent="0.3">
      <c r="A1443" t="s">
        <v>1489</v>
      </c>
      <c r="B1443" t="s">
        <v>35</v>
      </c>
      <c r="C1443" t="s">
        <v>13</v>
      </c>
      <c r="D1443" t="s">
        <v>37</v>
      </c>
      <c r="E1443" s="1">
        <v>45219</v>
      </c>
      <c r="F1443" s="1">
        <v>45224</v>
      </c>
      <c r="G1443">
        <v>67.2</v>
      </c>
      <c r="H1443">
        <v>183.1</v>
      </c>
      <c r="I1443" t="s">
        <v>15</v>
      </c>
      <c r="J1443">
        <v>794</v>
      </c>
      <c r="K1443">
        <v>5</v>
      </c>
      <c r="L1443" t="str">
        <f>IF(logistics_data[[#This Row],[Delivery_Date]]="","In Transit",
 IF(logistics_data[[#This Row],[Status]]="Lost","Lost",
 IF(logistics_data[[#This Row],[Status]]="Returned","Returned",
 IF(logistics_data[[#This Row],[Status]]="Delayed","Delayed",
 "Delivered"))))</f>
        <v>Delivered</v>
      </c>
      <c r="M1443" s="2">
        <f>logistics_data[[#This Row],[Cost]]/logistics_data[[#This Row],[Distance_miles]]</f>
        <v>0.23060453400503778</v>
      </c>
      <c r="N1443" t="str">
        <f>IF(logistics_data[[#This Row],[Orginal staus of shipment]]&lt;&gt;"Delivered","not applicabel", IF(logistics_data[[#This Row],[Transit_Days]]&gt;=5,"slow","fast"))</f>
        <v>slow</v>
      </c>
    </row>
    <row r="1444" spans="1:14" x14ac:dyDescent="0.3">
      <c r="A1444" t="s">
        <v>1490</v>
      </c>
      <c r="B1444" t="s">
        <v>39</v>
      </c>
      <c r="C1444" t="s">
        <v>36</v>
      </c>
      <c r="D1444" t="s">
        <v>32</v>
      </c>
      <c r="E1444" s="1">
        <v>44993</v>
      </c>
      <c r="F1444" s="1">
        <v>44994</v>
      </c>
      <c r="G1444">
        <v>5.8</v>
      </c>
      <c r="H1444">
        <v>83.76</v>
      </c>
      <c r="I1444" t="s">
        <v>60</v>
      </c>
      <c r="J1444">
        <v>528</v>
      </c>
      <c r="K1444">
        <v>1</v>
      </c>
      <c r="L1444" t="str">
        <f>IF(logistics_data[[#This Row],[Delivery_Date]]="","In Transit",
 IF(logistics_data[[#This Row],[Status]]="Lost","Lost",
 IF(logistics_data[[#This Row],[Status]]="Returned","Returned",
 IF(logistics_data[[#This Row],[Status]]="Delayed","Delayed",
 "Delivered"))))</f>
        <v>Lost</v>
      </c>
      <c r="M1444" s="2">
        <f>logistics_data[[#This Row],[Cost]]/logistics_data[[#This Row],[Distance_miles]]</f>
        <v>0.15863636363636366</v>
      </c>
      <c r="N1444" t="str">
        <f>IF(logistics_data[[#This Row],[Orginal staus of shipment]]&lt;&gt;"Delivered","not applicabel", IF(logistics_data[[#This Row],[Transit_Days]]&gt;=5,"slow","fast"))</f>
        <v>not applicabel</v>
      </c>
    </row>
    <row r="1445" spans="1:14" x14ac:dyDescent="0.3">
      <c r="A1445" t="s">
        <v>1491</v>
      </c>
      <c r="B1445" t="s">
        <v>27</v>
      </c>
      <c r="C1445" t="s">
        <v>57</v>
      </c>
      <c r="D1445" t="s">
        <v>59</v>
      </c>
      <c r="E1445" s="1">
        <v>45033</v>
      </c>
      <c r="F1445" s="1">
        <v>45039</v>
      </c>
      <c r="G1445">
        <v>11.5</v>
      </c>
      <c r="H1445">
        <v>219.67</v>
      </c>
      <c r="I1445" t="s">
        <v>15</v>
      </c>
      <c r="J1445">
        <v>1908</v>
      </c>
      <c r="K1445">
        <v>6</v>
      </c>
      <c r="L1445" t="str">
        <f>IF(logistics_data[[#This Row],[Delivery_Date]]="","In Transit",
 IF(logistics_data[[#This Row],[Status]]="Lost","Lost",
 IF(logistics_data[[#This Row],[Status]]="Returned","Returned",
 IF(logistics_data[[#This Row],[Status]]="Delayed","Delayed",
 "Delivered"))))</f>
        <v>Delivered</v>
      </c>
      <c r="M1445" s="2">
        <f>logistics_data[[#This Row],[Cost]]/logistics_data[[#This Row],[Distance_miles]]</f>
        <v>0.11513102725366876</v>
      </c>
      <c r="N1445" t="str">
        <f>IF(logistics_data[[#This Row],[Orginal staus of shipment]]&lt;&gt;"Delivered","not applicabel", IF(logistics_data[[#This Row],[Transit_Days]]&gt;=5,"slow","fast"))</f>
        <v>slow</v>
      </c>
    </row>
    <row r="1446" spans="1:14" x14ac:dyDescent="0.3">
      <c r="A1446" t="s">
        <v>1492</v>
      </c>
      <c r="B1446" t="s">
        <v>30</v>
      </c>
      <c r="C1446" t="s">
        <v>52</v>
      </c>
      <c r="D1446" t="s">
        <v>25</v>
      </c>
      <c r="E1446" s="1">
        <v>45037</v>
      </c>
      <c r="F1446" s="1">
        <v>45053</v>
      </c>
      <c r="G1446">
        <v>41.9</v>
      </c>
      <c r="H1446">
        <v>260.33</v>
      </c>
      <c r="I1446" t="s">
        <v>47</v>
      </c>
      <c r="J1446">
        <v>1800</v>
      </c>
      <c r="K1446">
        <v>4</v>
      </c>
      <c r="L1446" t="str">
        <f>IF(logistics_data[[#This Row],[Delivery_Date]]="","In Transit",
 IF(logistics_data[[#This Row],[Status]]="Lost","Lost",
 IF(logistics_data[[#This Row],[Status]]="Returned","Returned",
 IF(logistics_data[[#This Row],[Status]]="Delayed","Delayed",
 "Delivered"))))</f>
        <v>Delayed</v>
      </c>
      <c r="M1446" s="2">
        <f>logistics_data[[#This Row],[Cost]]/logistics_data[[#This Row],[Distance_miles]]</f>
        <v>0.14462777777777777</v>
      </c>
      <c r="N1446" t="str">
        <f>IF(logistics_data[[#This Row],[Orginal staus of shipment]]&lt;&gt;"Delivered","not applicabel", IF(logistics_data[[#This Row],[Transit_Days]]&gt;=5,"slow","fast"))</f>
        <v>not applicabel</v>
      </c>
    </row>
    <row r="1447" spans="1:14" x14ac:dyDescent="0.3">
      <c r="A1447" t="s">
        <v>1493</v>
      </c>
      <c r="B1447" t="s">
        <v>51</v>
      </c>
      <c r="C1447" t="s">
        <v>81</v>
      </c>
      <c r="D1447" t="s">
        <v>32</v>
      </c>
      <c r="E1447" s="1">
        <v>45132</v>
      </c>
      <c r="F1447" s="1">
        <v>45134</v>
      </c>
      <c r="G1447">
        <v>22.9</v>
      </c>
      <c r="H1447">
        <v>123.35</v>
      </c>
      <c r="I1447" t="s">
        <v>15</v>
      </c>
      <c r="J1447">
        <v>713</v>
      </c>
      <c r="K1447">
        <v>2</v>
      </c>
      <c r="L1447" t="str">
        <f>IF(logistics_data[[#This Row],[Delivery_Date]]="","In Transit",
 IF(logistics_data[[#This Row],[Status]]="Lost","Lost",
 IF(logistics_data[[#This Row],[Status]]="Returned","Returned",
 IF(logistics_data[[#This Row],[Status]]="Delayed","Delayed",
 "Delivered"))))</f>
        <v>Delivered</v>
      </c>
      <c r="M1447" s="2">
        <f>logistics_data[[#This Row],[Cost]]/logistics_data[[#This Row],[Distance_miles]]</f>
        <v>0.17300140252454418</v>
      </c>
      <c r="N1447" t="str">
        <f>IF(logistics_data[[#This Row],[Orginal staus of shipment]]&lt;&gt;"Delivered","not applicabel", IF(logistics_data[[#This Row],[Transit_Days]]&gt;=5,"slow","fast"))</f>
        <v>fast</v>
      </c>
    </row>
    <row r="1448" spans="1:14" x14ac:dyDescent="0.3">
      <c r="A1448" t="s">
        <v>1494</v>
      </c>
      <c r="B1448" t="s">
        <v>23</v>
      </c>
      <c r="C1448" t="s">
        <v>81</v>
      </c>
      <c r="D1448" t="s">
        <v>32</v>
      </c>
      <c r="E1448" s="1">
        <v>45059</v>
      </c>
      <c r="F1448" s="1">
        <v>45062</v>
      </c>
      <c r="G1448">
        <v>30.6</v>
      </c>
      <c r="H1448">
        <v>83.44</v>
      </c>
      <c r="I1448" t="s">
        <v>15</v>
      </c>
      <c r="J1448">
        <v>306</v>
      </c>
      <c r="K1448">
        <v>3</v>
      </c>
      <c r="L1448" t="str">
        <f>IF(logistics_data[[#This Row],[Delivery_Date]]="","In Transit",
 IF(logistics_data[[#This Row],[Status]]="Lost","Lost",
 IF(logistics_data[[#This Row],[Status]]="Returned","Returned",
 IF(logistics_data[[#This Row],[Status]]="Delayed","Delayed",
 "Delivered"))))</f>
        <v>Delivered</v>
      </c>
      <c r="M1448" s="2">
        <f>logistics_data[[#This Row],[Cost]]/logistics_data[[#This Row],[Distance_miles]]</f>
        <v>0.27267973856209149</v>
      </c>
      <c r="N1448" t="str">
        <f>IF(logistics_data[[#This Row],[Orginal staus of shipment]]&lt;&gt;"Delivered","not applicabel", IF(logistics_data[[#This Row],[Transit_Days]]&gt;=5,"slow","fast"))</f>
        <v>fast</v>
      </c>
    </row>
    <row r="1449" spans="1:14" x14ac:dyDescent="0.3">
      <c r="A1449" t="s">
        <v>1495</v>
      </c>
      <c r="B1449" t="s">
        <v>51</v>
      </c>
      <c r="C1449" t="s">
        <v>13</v>
      </c>
      <c r="D1449" t="s">
        <v>42</v>
      </c>
      <c r="E1449" s="1">
        <v>45115</v>
      </c>
      <c r="F1449" s="1">
        <v>45118</v>
      </c>
      <c r="G1449">
        <v>41.7</v>
      </c>
      <c r="H1449">
        <v>91.23</v>
      </c>
      <c r="I1449" t="s">
        <v>15</v>
      </c>
      <c r="J1449">
        <v>302</v>
      </c>
      <c r="K1449">
        <v>3</v>
      </c>
      <c r="L1449" t="str">
        <f>IF(logistics_data[[#This Row],[Delivery_Date]]="","In Transit",
 IF(logistics_data[[#This Row],[Status]]="Lost","Lost",
 IF(logistics_data[[#This Row],[Status]]="Returned","Returned",
 IF(logistics_data[[#This Row],[Status]]="Delayed","Delayed",
 "Delivered"))))</f>
        <v>Delivered</v>
      </c>
      <c r="M1449" s="2">
        <f>logistics_data[[#This Row],[Cost]]/logistics_data[[#This Row],[Distance_miles]]</f>
        <v>0.30208609271523179</v>
      </c>
      <c r="N1449" t="str">
        <f>IF(logistics_data[[#This Row],[Orginal staus of shipment]]&lt;&gt;"Delivered","not applicabel", IF(logistics_data[[#This Row],[Transit_Days]]&gt;=5,"slow","fast"))</f>
        <v>fast</v>
      </c>
    </row>
    <row r="1450" spans="1:14" x14ac:dyDescent="0.3">
      <c r="A1450" t="s">
        <v>1496</v>
      </c>
      <c r="B1450" t="s">
        <v>35</v>
      </c>
      <c r="C1450" t="s">
        <v>21</v>
      </c>
      <c r="D1450" t="s">
        <v>42</v>
      </c>
      <c r="E1450" s="1">
        <v>45114</v>
      </c>
      <c r="F1450" s="1">
        <v>45120</v>
      </c>
      <c r="G1450">
        <v>35.4</v>
      </c>
      <c r="H1450">
        <v>217.42</v>
      </c>
      <c r="I1450" t="s">
        <v>15</v>
      </c>
      <c r="J1450">
        <v>1655</v>
      </c>
      <c r="K1450">
        <v>6</v>
      </c>
      <c r="L1450" t="str">
        <f>IF(logistics_data[[#This Row],[Delivery_Date]]="","In Transit",
 IF(logistics_data[[#This Row],[Status]]="Lost","Lost",
 IF(logistics_data[[#This Row],[Status]]="Returned","Returned",
 IF(logistics_data[[#This Row],[Status]]="Delayed","Delayed",
 "Delivered"))))</f>
        <v>Delivered</v>
      </c>
      <c r="M1450" s="2">
        <f>logistics_data[[#This Row],[Cost]]/logistics_data[[#This Row],[Distance_miles]]</f>
        <v>0.1313716012084592</v>
      </c>
      <c r="N1450" t="str">
        <f>IF(logistics_data[[#This Row],[Orginal staus of shipment]]&lt;&gt;"Delivered","not applicabel", IF(logistics_data[[#This Row],[Transit_Days]]&gt;=5,"slow","fast"))</f>
        <v>slow</v>
      </c>
    </row>
    <row r="1451" spans="1:14" x14ac:dyDescent="0.3">
      <c r="A1451" t="s">
        <v>1497</v>
      </c>
      <c r="B1451" t="s">
        <v>35</v>
      </c>
      <c r="C1451" t="s">
        <v>40</v>
      </c>
      <c r="D1451" t="s">
        <v>14</v>
      </c>
      <c r="E1451" s="1">
        <v>44992</v>
      </c>
      <c r="F1451" s="1">
        <v>44995</v>
      </c>
      <c r="G1451">
        <v>36.4</v>
      </c>
      <c r="H1451">
        <v>74.25</v>
      </c>
      <c r="I1451" t="s">
        <v>15</v>
      </c>
      <c r="J1451">
        <v>283</v>
      </c>
      <c r="K1451">
        <v>3</v>
      </c>
      <c r="L1451" t="str">
        <f>IF(logistics_data[[#This Row],[Delivery_Date]]="","In Transit",
 IF(logistics_data[[#This Row],[Status]]="Lost","Lost",
 IF(logistics_data[[#This Row],[Status]]="Returned","Returned",
 IF(logistics_data[[#This Row],[Status]]="Delayed","Delayed",
 "Delivered"))))</f>
        <v>Delivered</v>
      </c>
      <c r="M1451" s="2">
        <f>logistics_data[[#This Row],[Cost]]/logistics_data[[#This Row],[Distance_miles]]</f>
        <v>0.26236749116607772</v>
      </c>
      <c r="N1451" t="str">
        <f>IF(logistics_data[[#This Row],[Orginal staus of shipment]]&lt;&gt;"Delivered","not applicabel", IF(logistics_data[[#This Row],[Transit_Days]]&gt;=5,"slow","fast"))</f>
        <v>fast</v>
      </c>
    </row>
    <row r="1452" spans="1:14" x14ac:dyDescent="0.3">
      <c r="A1452" t="s">
        <v>1498</v>
      </c>
      <c r="B1452" t="s">
        <v>56</v>
      </c>
      <c r="C1452" t="s">
        <v>54</v>
      </c>
      <c r="D1452" t="s">
        <v>18</v>
      </c>
      <c r="E1452" s="1">
        <v>44960</v>
      </c>
      <c r="F1452" s="1">
        <v>44968</v>
      </c>
      <c r="G1452">
        <v>7.4</v>
      </c>
      <c r="H1452">
        <v>348.3</v>
      </c>
      <c r="I1452" t="s">
        <v>15</v>
      </c>
      <c r="J1452">
        <v>2239</v>
      </c>
      <c r="K1452">
        <v>8</v>
      </c>
      <c r="L1452" t="str">
        <f>IF(logistics_data[[#This Row],[Delivery_Date]]="","In Transit",
 IF(logistics_data[[#This Row],[Status]]="Lost","Lost",
 IF(logistics_data[[#This Row],[Status]]="Returned","Returned",
 IF(logistics_data[[#This Row],[Status]]="Delayed","Delayed",
 "Delivered"))))</f>
        <v>Delivered</v>
      </c>
      <c r="M1452" s="2">
        <f>logistics_data[[#This Row],[Cost]]/logistics_data[[#This Row],[Distance_miles]]</f>
        <v>0.15556051808843235</v>
      </c>
      <c r="N1452" t="str">
        <f>IF(logistics_data[[#This Row],[Orginal staus of shipment]]&lt;&gt;"Delivered","not applicabel", IF(logistics_data[[#This Row],[Transit_Days]]&gt;=5,"slow","fast"))</f>
        <v>slow</v>
      </c>
    </row>
    <row r="1453" spans="1:14" x14ac:dyDescent="0.3">
      <c r="A1453" t="s">
        <v>1499</v>
      </c>
      <c r="B1453" t="s">
        <v>51</v>
      </c>
      <c r="C1453" t="s">
        <v>13</v>
      </c>
      <c r="D1453" t="s">
        <v>59</v>
      </c>
      <c r="E1453" s="1">
        <v>45290</v>
      </c>
      <c r="F1453" s="1">
        <v>45297</v>
      </c>
      <c r="G1453">
        <v>6.4</v>
      </c>
      <c r="H1453">
        <v>256.19</v>
      </c>
      <c r="I1453" t="s">
        <v>15</v>
      </c>
      <c r="J1453">
        <v>2003</v>
      </c>
      <c r="K1453">
        <v>7</v>
      </c>
      <c r="L1453" t="str">
        <f>IF(logistics_data[[#This Row],[Delivery_Date]]="","In Transit",
 IF(logistics_data[[#This Row],[Status]]="Lost","Lost",
 IF(logistics_data[[#This Row],[Status]]="Returned","Returned",
 IF(logistics_data[[#This Row],[Status]]="Delayed","Delayed",
 "Delivered"))))</f>
        <v>Delivered</v>
      </c>
      <c r="M1453" s="2">
        <f>logistics_data[[#This Row],[Cost]]/logistics_data[[#This Row],[Distance_miles]]</f>
        <v>0.12790314528207689</v>
      </c>
      <c r="N1453" t="str">
        <f>IF(logistics_data[[#This Row],[Orginal staus of shipment]]&lt;&gt;"Delivered","not applicabel", IF(logistics_data[[#This Row],[Transit_Days]]&gt;=5,"slow","fast"))</f>
        <v>slow</v>
      </c>
    </row>
    <row r="1454" spans="1:14" x14ac:dyDescent="0.3">
      <c r="A1454" t="s">
        <v>1500</v>
      </c>
      <c r="B1454" t="s">
        <v>51</v>
      </c>
      <c r="C1454" t="s">
        <v>13</v>
      </c>
      <c r="D1454" t="s">
        <v>14</v>
      </c>
      <c r="E1454" s="1">
        <v>44929</v>
      </c>
      <c r="F1454" s="1">
        <v>44934</v>
      </c>
      <c r="G1454">
        <v>9.8000000000000007</v>
      </c>
      <c r="H1454">
        <v>223.01</v>
      </c>
      <c r="I1454" t="s">
        <v>15</v>
      </c>
      <c r="J1454">
        <v>1553</v>
      </c>
      <c r="K1454">
        <v>5</v>
      </c>
      <c r="L1454" t="str">
        <f>IF(logistics_data[[#This Row],[Delivery_Date]]="","In Transit",
 IF(logistics_data[[#This Row],[Status]]="Lost","Lost",
 IF(logistics_data[[#This Row],[Status]]="Returned","Returned",
 IF(logistics_data[[#This Row],[Status]]="Delayed","Delayed",
 "Delivered"))))</f>
        <v>Delivered</v>
      </c>
      <c r="M1454" s="2">
        <f>logistics_data[[#This Row],[Cost]]/logistics_data[[#This Row],[Distance_miles]]</f>
        <v>0.14359948486799742</v>
      </c>
      <c r="N1454" t="str">
        <f>IF(logistics_data[[#This Row],[Orginal staus of shipment]]&lt;&gt;"Delivered","not applicabel", IF(logistics_data[[#This Row],[Transit_Days]]&gt;=5,"slow","fast"))</f>
        <v>slow</v>
      </c>
    </row>
    <row r="1455" spans="1:14" x14ac:dyDescent="0.3">
      <c r="A1455" t="s">
        <v>1501</v>
      </c>
      <c r="B1455" t="s">
        <v>12</v>
      </c>
      <c r="C1455" t="s">
        <v>24</v>
      </c>
      <c r="D1455" t="s">
        <v>42</v>
      </c>
      <c r="E1455" s="1">
        <v>45129</v>
      </c>
      <c r="G1455">
        <v>47.6</v>
      </c>
      <c r="H1455">
        <v>156.85</v>
      </c>
      <c r="I1455" t="s">
        <v>15</v>
      </c>
      <c r="J1455">
        <v>717</v>
      </c>
      <c r="K1455">
        <v>3</v>
      </c>
      <c r="L1455" t="str">
        <f>IF(logistics_data[[#This Row],[Delivery_Date]]="","In Transit",
 IF(logistics_data[[#This Row],[Status]]="Lost","Lost",
 IF(logistics_data[[#This Row],[Status]]="Returned","Returned",
 IF(logistics_data[[#This Row],[Status]]="Delayed","Delayed",
 "Delivered"))))</f>
        <v>In Transit</v>
      </c>
      <c r="M1455" s="2">
        <f>logistics_data[[#This Row],[Cost]]/logistics_data[[#This Row],[Distance_miles]]</f>
        <v>0.21875871687587167</v>
      </c>
      <c r="N1455" t="str">
        <f>IF(logistics_data[[#This Row],[Orginal staus of shipment]]&lt;&gt;"Delivered","not applicabel", IF(logistics_data[[#This Row],[Transit_Days]]&gt;=5,"slow","fast"))</f>
        <v>not applicabel</v>
      </c>
    </row>
    <row r="1456" spans="1:14" x14ac:dyDescent="0.3">
      <c r="A1456" t="s">
        <v>1502</v>
      </c>
      <c r="B1456" t="s">
        <v>30</v>
      </c>
      <c r="C1456" t="s">
        <v>57</v>
      </c>
      <c r="D1456" t="s">
        <v>37</v>
      </c>
      <c r="E1456" s="1">
        <v>45157</v>
      </c>
      <c r="F1456" s="1">
        <v>45164</v>
      </c>
      <c r="G1456">
        <v>29.2</v>
      </c>
      <c r="H1456">
        <v>279.85000000000002</v>
      </c>
      <c r="I1456" t="s">
        <v>60</v>
      </c>
      <c r="J1456">
        <v>1843</v>
      </c>
      <c r="K1456">
        <v>7</v>
      </c>
      <c r="L1456" t="str">
        <f>IF(logistics_data[[#This Row],[Delivery_Date]]="","In Transit",
 IF(logistics_data[[#This Row],[Status]]="Lost","Lost",
 IF(logistics_data[[#This Row],[Status]]="Returned","Returned",
 IF(logistics_data[[#This Row],[Status]]="Delayed","Delayed",
 "Delivered"))))</f>
        <v>Lost</v>
      </c>
      <c r="M1456" s="2">
        <f>logistics_data[[#This Row],[Cost]]/logistics_data[[#This Row],[Distance_miles]]</f>
        <v>0.15184481823114487</v>
      </c>
      <c r="N1456" t="str">
        <f>IF(logistics_data[[#This Row],[Orginal staus of shipment]]&lt;&gt;"Delivered","not applicabel", IF(logistics_data[[#This Row],[Transit_Days]]&gt;=5,"slow","fast"))</f>
        <v>not applicabel</v>
      </c>
    </row>
    <row r="1457" spans="1:14" x14ac:dyDescent="0.3">
      <c r="A1457" t="s">
        <v>1503</v>
      </c>
      <c r="B1457" t="s">
        <v>23</v>
      </c>
      <c r="C1457" t="s">
        <v>52</v>
      </c>
      <c r="D1457" t="s">
        <v>59</v>
      </c>
      <c r="E1457" s="1">
        <v>45042</v>
      </c>
      <c r="F1457" s="1">
        <v>45045</v>
      </c>
      <c r="G1457">
        <v>11.5</v>
      </c>
      <c r="H1457">
        <v>62.46</v>
      </c>
      <c r="I1457" t="s">
        <v>15</v>
      </c>
      <c r="J1457">
        <v>487</v>
      </c>
      <c r="K1457">
        <v>3</v>
      </c>
      <c r="L1457" t="str">
        <f>IF(logistics_data[[#This Row],[Delivery_Date]]="","In Transit",
 IF(logistics_data[[#This Row],[Status]]="Lost","Lost",
 IF(logistics_data[[#This Row],[Status]]="Returned","Returned",
 IF(logistics_data[[#This Row],[Status]]="Delayed","Delayed",
 "Delivered"))))</f>
        <v>Delivered</v>
      </c>
      <c r="M1457" s="2">
        <f>logistics_data[[#This Row],[Cost]]/logistics_data[[#This Row],[Distance_miles]]</f>
        <v>0.12825462012320329</v>
      </c>
      <c r="N1457" t="str">
        <f>IF(logistics_data[[#This Row],[Orginal staus of shipment]]&lt;&gt;"Delivered","not applicabel", IF(logistics_data[[#This Row],[Transit_Days]]&gt;=5,"slow","fast"))</f>
        <v>fast</v>
      </c>
    </row>
    <row r="1458" spans="1:14" x14ac:dyDescent="0.3">
      <c r="A1458" t="s">
        <v>1504</v>
      </c>
      <c r="B1458" t="s">
        <v>56</v>
      </c>
      <c r="C1458" t="s">
        <v>54</v>
      </c>
      <c r="D1458" t="s">
        <v>59</v>
      </c>
      <c r="E1458" s="1">
        <v>45012</v>
      </c>
      <c r="F1458" s="1">
        <v>45015</v>
      </c>
      <c r="G1458">
        <v>7.5</v>
      </c>
      <c r="H1458">
        <v>141.08000000000001</v>
      </c>
      <c r="I1458" t="s">
        <v>15</v>
      </c>
      <c r="J1458">
        <v>1061</v>
      </c>
      <c r="K1458">
        <v>3</v>
      </c>
      <c r="L1458" t="str">
        <f>IF(logistics_data[[#This Row],[Delivery_Date]]="","In Transit",
 IF(logistics_data[[#This Row],[Status]]="Lost","Lost",
 IF(logistics_data[[#This Row],[Status]]="Returned","Returned",
 IF(logistics_data[[#This Row],[Status]]="Delayed","Delayed",
 "Delivered"))))</f>
        <v>Delivered</v>
      </c>
      <c r="M1458" s="2">
        <f>logistics_data[[#This Row],[Cost]]/logistics_data[[#This Row],[Distance_miles]]</f>
        <v>0.1329688972667295</v>
      </c>
      <c r="N1458" t="str">
        <f>IF(logistics_data[[#This Row],[Orginal staus of shipment]]&lt;&gt;"Delivered","not applicabel", IF(logistics_data[[#This Row],[Transit_Days]]&gt;=5,"slow","fast"))</f>
        <v>fast</v>
      </c>
    </row>
    <row r="1459" spans="1:14" x14ac:dyDescent="0.3">
      <c r="A1459" t="s">
        <v>1505</v>
      </c>
      <c r="B1459" t="s">
        <v>51</v>
      </c>
      <c r="C1459" t="s">
        <v>40</v>
      </c>
      <c r="D1459" t="s">
        <v>25</v>
      </c>
      <c r="E1459" s="1">
        <v>45203</v>
      </c>
      <c r="F1459" s="1">
        <v>45205</v>
      </c>
      <c r="G1459">
        <v>10</v>
      </c>
      <c r="H1459">
        <v>85.04</v>
      </c>
      <c r="I1459" t="s">
        <v>15</v>
      </c>
      <c r="J1459">
        <v>585</v>
      </c>
      <c r="K1459">
        <v>2</v>
      </c>
      <c r="L1459" t="str">
        <f>IF(logistics_data[[#This Row],[Delivery_Date]]="","In Transit",
 IF(logistics_data[[#This Row],[Status]]="Lost","Lost",
 IF(logistics_data[[#This Row],[Status]]="Returned","Returned",
 IF(logistics_data[[#This Row],[Status]]="Delayed","Delayed",
 "Delivered"))))</f>
        <v>Delivered</v>
      </c>
      <c r="M1459" s="2">
        <f>logistics_data[[#This Row],[Cost]]/logistics_data[[#This Row],[Distance_miles]]</f>
        <v>0.14536752136752137</v>
      </c>
      <c r="N1459" t="str">
        <f>IF(logistics_data[[#This Row],[Orginal staus of shipment]]&lt;&gt;"Delivered","not applicabel", IF(logistics_data[[#This Row],[Transit_Days]]&gt;=5,"slow","fast"))</f>
        <v>fast</v>
      </c>
    </row>
    <row r="1460" spans="1:14" x14ac:dyDescent="0.3">
      <c r="A1460" t="s">
        <v>1506</v>
      </c>
      <c r="B1460" t="s">
        <v>51</v>
      </c>
      <c r="C1460" t="s">
        <v>81</v>
      </c>
      <c r="D1460" t="s">
        <v>32</v>
      </c>
      <c r="E1460" s="1">
        <v>45007</v>
      </c>
      <c r="F1460" s="1">
        <v>45009</v>
      </c>
      <c r="G1460">
        <v>12.2</v>
      </c>
      <c r="H1460">
        <v>109.31</v>
      </c>
      <c r="I1460" t="s">
        <v>15</v>
      </c>
      <c r="J1460">
        <v>691</v>
      </c>
      <c r="K1460">
        <v>2</v>
      </c>
      <c r="L1460" t="str">
        <f>IF(logistics_data[[#This Row],[Delivery_Date]]="","In Transit",
 IF(logistics_data[[#This Row],[Status]]="Lost","Lost",
 IF(logistics_data[[#This Row],[Status]]="Returned","Returned",
 IF(logistics_data[[#This Row],[Status]]="Delayed","Delayed",
 "Delivered"))))</f>
        <v>Delivered</v>
      </c>
      <c r="M1460" s="2">
        <f>logistics_data[[#This Row],[Cost]]/logistics_data[[#This Row],[Distance_miles]]</f>
        <v>0.15819102749638206</v>
      </c>
      <c r="N1460" t="str">
        <f>IF(logistics_data[[#This Row],[Orginal staus of shipment]]&lt;&gt;"Delivered","not applicabel", IF(logistics_data[[#This Row],[Transit_Days]]&gt;=5,"slow","fast"))</f>
        <v>fast</v>
      </c>
    </row>
    <row r="1461" spans="1:14" x14ac:dyDescent="0.3">
      <c r="A1461" t="s">
        <v>1507</v>
      </c>
      <c r="B1461" t="s">
        <v>49</v>
      </c>
      <c r="C1461" t="s">
        <v>40</v>
      </c>
      <c r="D1461" t="s">
        <v>37</v>
      </c>
      <c r="E1461" s="1">
        <v>45291</v>
      </c>
      <c r="F1461" s="1">
        <v>45293</v>
      </c>
      <c r="G1461">
        <v>12.1</v>
      </c>
      <c r="H1461">
        <v>163.06</v>
      </c>
      <c r="I1461" t="s">
        <v>15</v>
      </c>
      <c r="J1461">
        <v>1097</v>
      </c>
      <c r="K1461">
        <v>2</v>
      </c>
      <c r="L1461" t="str">
        <f>IF(logistics_data[[#This Row],[Delivery_Date]]="","In Transit",
 IF(logistics_data[[#This Row],[Status]]="Lost","Lost",
 IF(logistics_data[[#This Row],[Status]]="Returned","Returned",
 IF(logistics_data[[#This Row],[Status]]="Delayed","Delayed",
 "Delivered"))))</f>
        <v>Delivered</v>
      </c>
      <c r="M1461" s="2">
        <f>logistics_data[[#This Row],[Cost]]/logistics_data[[#This Row],[Distance_miles]]</f>
        <v>0.14864175022789425</v>
      </c>
      <c r="N1461" t="str">
        <f>IF(logistics_data[[#This Row],[Orginal staus of shipment]]&lt;&gt;"Delivered","not applicabel", IF(logistics_data[[#This Row],[Transit_Days]]&gt;=5,"slow","fast"))</f>
        <v>fast</v>
      </c>
    </row>
    <row r="1462" spans="1:14" x14ac:dyDescent="0.3">
      <c r="A1462" t="s">
        <v>1508</v>
      </c>
      <c r="B1462" t="s">
        <v>30</v>
      </c>
      <c r="C1462" t="s">
        <v>52</v>
      </c>
      <c r="D1462" t="s">
        <v>14</v>
      </c>
      <c r="E1462" s="1">
        <v>45112</v>
      </c>
      <c r="F1462" s="1">
        <v>45115</v>
      </c>
      <c r="G1462">
        <v>100.9</v>
      </c>
      <c r="H1462">
        <v>172.46</v>
      </c>
      <c r="I1462" t="s">
        <v>15</v>
      </c>
      <c r="J1462">
        <v>390</v>
      </c>
      <c r="K1462">
        <v>3</v>
      </c>
      <c r="L1462" t="str">
        <f>IF(logistics_data[[#This Row],[Delivery_Date]]="","In Transit",
 IF(logistics_data[[#This Row],[Status]]="Lost","Lost",
 IF(logistics_data[[#This Row],[Status]]="Returned","Returned",
 IF(logistics_data[[#This Row],[Status]]="Delayed","Delayed",
 "Delivered"))))</f>
        <v>Delivered</v>
      </c>
      <c r="M1462" s="2">
        <f>logistics_data[[#This Row],[Cost]]/logistics_data[[#This Row],[Distance_miles]]</f>
        <v>0.44220512820512825</v>
      </c>
      <c r="N1462" t="str">
        <f>IF(logistics_data[[#This Row],[Orginal staus of shipment]]&lt;&gt;"Delivered","not applicabel", IF(logistics_data[[#This Row],[Transit_Days]]&gt;=5,"slow","fast"))</f>
        <v>fast</v>
      </c>
    </row>
    <row r="1463" spans="1:14" x14ac:dyDescent="0.3">
      <c r="A1463" t="s">
        <v>1509</v>
      </c>
      <c r="B1463" t="s">
        <v>30</v>
      </c>
      <c r="C1463" t="s">
        <v>46</v>
      </c>
      <c r="D1463" t="s">
        <v>37</v>
      </c>
      <c r="E1463" s="1">
        <v>45128</v>
      </c>
      <c r="F1463" s="1">
        <v>45134</v>
      </c>
      <c r="G1463">
        <v>29.2</v>
      </c>
      <c r="H1463">
        <v>323.13</v>
      </c>
      <c r="I1463" t="s">
        <v>15</v>
      </c>
      <c r="J1463">
        <v>2216</v>
      </c>
      <c r="K1463">
        <v>6</v>
      </c>
      <c r="L1463" t="str">
        <f>IF(logistics_data[[#This Row],[Delivery_Date]]="","In Transit",
 IF(logistics_data[[#This Row],[Status]]="Lost","Lost",
 IF(logistics_data[[#This Row],[Status]]="Returned","Returned",
 IF(logistics_data[[#This Row],[Status]]="Delayed","Delayed",
 "Delivered"))))</f>
        <v>Delivered</v>
      </c>
      <c r="M1463" s="2">
        <f>logistics_data[[#This Row],[Cost]]/logistics_data[[#This Row],[Distance_miles]]</f>
        <v>0.14581678700361012</v>
      </c>
      <c r="N1463" t="str">
        <f>IF(logistics_data[[#This Row],[Orginal staus of shipment]]&lt;&gt;"Delivered","not applicabel", IF(logistics_data[[#This Row],[Transit_Days]]&gt;=5,"slow","fast"))</f>
        <v>slow</v>
      </c>
    </row>
    <row r="1464" spans="1:14" x14ac:dyDescent="0.3">
      <c r="A1464" t="s">
        <v>1510</v>
      </c>
      <c r="B1464" t="s">
        <v>27</v>
      </c>
      <c r="C1464" t="s">
        <v>52</v>
      </c>
      <c r="D1464" t="s">
        <v>18</v>
      </c>
      <c r="E1464" s="1">
        <v>44960</v>
      </c>
      <c r="F1464" s="1">
        <v>44967</v>
      </c>
      <c r="G1464">
        <v>34.4</v>
      </c>
      <c r="H1464">
        <v>214.6</v>
      </c>
      <c r="I1464" t="s">
        <v>15</v>
      </c>
      <c r="J1464">
        <v>1229</v>
      </c>
      <c r="K1464">
        <v>7</v>
      </c>
      <c r="L1464" t="str">
        <f>IF(logistics_data[[#This Row],[Delivery_Date]]="","In Transit",
 IF(logistics_data[[#This Row],[Status]]="Lost","Lost",
 IF(logistics_data[[#This Row],[Status]]="Returned","Returned",
 IF(logistics_data[[#This Row],[Status]]="Delayed","Delayed",
 "Delivered"))))</f>
        <v>Delivered</v>
      </c>
      <c r="M1464" s="2">
        <f>logistics_data[[#This Row],[Cost]]/logistics_data[[#This Row],[Distance_miles]]</f>
        <v>0.17461350691619201</v>
      </c>
      <c r="N1464" t="str">
        <f>IF(logistics_data[[#This Row],[Orginal staus of shipment]]&lt;&gt;"Delivered","not applicabel", IF(logistics_data[[#This Row],[Transit_Days]]&gt;=5,"slow","fast"))</f>
        <v>slow</v>
      </c>
    </row>
    <row r="1465" spans="1:14" x14ac:dyDescent="0.3">
      <c r="A1465" t="s">
        <v>1511</v>
      </c>
      <c r="B1465" t="s">
        <v>51</v>
      </c>
      <c r="C1465" t="s">
        <v>57</v>
      </c>
      <c r="D1465" t="s">
        <v>37</v>
      </c>
      <c r="E1465" s="1">
        <v>45117</v>
      </c>
      <c r="F1465" s="1">
        <v>45122</v>
      </c>
      <c r="G1465">
        <v>27.8</v>
      </c>
      <c r="H1465">
        <v>239.99</v>
      </c>
      <c r="I1465" t="s">
        <v>62</v>
      </c>
      <c r="J1465">
        <v>1591</v>
      </c>
      <c r="K1465">
        <v>5</v>
      </c>
      <c r="L1465" t="str">
        <f>IF(logistics_data[[#This Row],[Delivery_Date]]="","In Transit",
 IF(logistics_data[[#This Row],[Status]]="Lost","Lost",
 IF(logistics_data[[#This Row],[Status]]="Returned","Returned",
 IF(logistics_data[[#This Row],[Status]]="Delayed","Delayed",
 "Delivered"))))</f>
        <v>Delivered</v>
      </c>
      <c r="M1465" s="2">
        <f>logistics_data[[#This Row],[Cost]]/logistics_data[[#This Row],[Distance_miles]]</f>
        <v>0.15084223758642365</v>
      </c>
      <c r="N1465" t="str">
        <f>IF(logistics_data[[#This Row],[Orginal staus of shipment]]&lt;&gt;"Delivered","not applicabel", IF(logistics_data[[#This Row],[Transit_Days]]&gt;=5,"slow","fast"))</f>
        <v>slow</v>
      </c>
    </row>
    <row r="1466" spans="1:14" x14ac:dyDescent="0.3">
      <c r="A1466" t="s">
        <v>1512</v>
      </c>
      <c r="B1466" t="s">
        <v>20</v>
      </c>
      <c r="C1466" t="s">
        <v>31</v>
      </c>
      <c r="D1466" t="s">
        <v>59</v>
      </c>
      <c r="E1466" s="1">
        <v>45278</v>
      </c>
      <c r="F1466" s="1">
        <v>45283</v>
      </c>
      <c r="G1466">
        <v>32.6</v>
      </c>
      <c r="H1466">
        <v>164.69</v>
      </c>
      <c r="I1466" t="s">
        <v>15</v>
      </c>
      <c r="J1466">
        <v>807</v>
      </c>
      <c r="K1466">
        <v>5</v>
      </c>
      <c r="L1466" t="str">
        <f>IF(logistics_data[[#This Row],[Delivery_Date]]="","In Transit",
 IF(logistics_data[[#This Row],[Status]]="Lost","Lost",
 IF(logistics_data[[#This Row],[Status]]="Returned","Returned",
 IF(logistics_data[[#This Row],[Status]]="Delayed","Delayed",
 "Delivered"))))</f>
        <v>Delivered</v>
      </c>
      <c r="M1466" s="2">
        <f>logistics_data[[#This Row],[Cost]]/logistics_data[[#This Row],[Distance_miles]]</f>
        <v>0.20407682775712516</v>
      </c>
      <c r="N1466" t="str">
        <f>IF(logistics_data[[#This Row],[Orginal staus of shipment]]&lt;&gt;"Delivered","not applicabel", IF(logistics_data[[#This Row],[Transit_Days]]&gt;=5,"slow","fast"))</f>
        <v>slow</v>
      </c>
    </row>
    <row r="1467" spans="1:14" x14ac:dyDescent="0.3">
      <c r="A1467" t="s">
        <v>1513</v>
      </c>
      <c r="B1467" t="s">
        <v>51</v>
      </c>
      <c r="C1467" t="s">
        <v>28</v>
      </c>
      <c r="D1467" t="s">
        <v>59</v>
      </c>
      <c r="E1467" s="1">
        <v>45248</v>
      </c>
      <c r="F1467" s="1">
        <v>45253</v>
      </c>
      <c r="G1467">
        <v>23.1</v>
      </c>
      <c r="H1467">
        <v>176.66</v>
      </c>
      <c r="I1467" t="s">
        <v>15</v>
      </c>
      <c r="J1467">
        <v>1065</v>
      </c>
      <c r="K1467">
        <v>5</v>
      </c>
      <c r="L1467" t="str">
        <f>IF(logistics_data[[#This Row],[Delivery_Date]]="","In Transit",
 IF(logistics_data[[#This Row],[Status]]="Lost","Lost",
 IF(logistics_data[[#This Row],[Status]]="Returned","Returned",
 IF(logistics_data[[#This Row],[Status]]="Delayed","Delayed",
 "Delivered"))))</f>
        <v>Delivered</v>
      </c>
      <c r="M1467" s="2">
        <f>logistics_data[[#This Row],[Cost]]/logistics_data[[#This Row],[Distance_miles]]</f>
        <v>0.16587793427230046</v>
      </c>
      <c r="N1467" t="str">
        <f>IF(logistics_data[[#This Row],[Orginal staus of shipment]]&lt;&gt;"Delivered","not applicabel", IF(logistics_data[[#This Row],[Transit_Days]]&gt;=5,"slow","fast"))</f>
        <v>slow</v>
      </c>
    </row>
    <row r="1468" spans="1:14" x14ac:dyDescent="0.3">
      <c r="A1468" t="s">
        <v>1514</v>
      </c>
      <c r="B1468" t="s">
        <v>23</v>
      </c>
      <c r="C1468" t="s">
        <v>57</v>
      </c>
      <c r="D1468" t="s">
        <v>42</v>
      </c>
      <c r="E1468" s="1">
        <v>45066</v>
      </c>
      <c r="F1468" s="1">
        <v>45069</v>
      </c>
      <c r="G1468">
        <v>14</v>
      </c>
      <c r="H1468">
        <v>184.53</v>
      </c>
      <c r="I1468" t="s">
        <v>15</v>
      </c>
      <c r="J1468">
        <v>1408</v>
      </c>
      <c r="K1468">
        <v>3</v>
      </c>
      <c r="L1468" t="str">
        <f>IF(logistics_data[[#This Row],[Delivery_Date]]="","In Transit",
 IF(logistics_data[[#This Row],[Status]]="Lost","Lost",
 IF(logistics_data[[#This Row],[Status]]="Returned","Returned",
 IF(logistics_data[[#This Row],[Status]]="Delayed","Delayed",
 "Delivered"))))</f>
        <v>Delivered</v>
      </c>
      <c r="M1468" s="2">
        <f>logistics_data[[#This Row],[Cost]]/logistics_data[[#This Row],[Distance_miles]]</f>
        <v>0.13105823863636365</v>
      </c>
      <c r="N1468" t="str">
        <f>IF(logistics_data[[#This Row],[Orginal staus of shipment]]&lt;&gt;"Delivered","not applicabel", IF(logistics_data[[#This Row],[Transit_Days]]&gt;=5,"slow","fast"))</f>
        <v>fast</v>
      </c>
    </row>
    <row r="1469" spans="1:14" x14ac:dyDescent="0.3">
      <c r="A1469" t="s">
        <v>1515</v>
      </c>
      <c r="B1469" t="s">
        <v>23</v>
      </c>
      <c r="C1469" t="s">
        <v>81</v>
      </c>
      <c r="D1469" t="s">
        <v>18</v>
      </c>
      <c r="E1469" s="1">
        <v>45017</v>
      </c>
      <c r="F1469" s="1">
        <v>45020</v>
      </c>
      <c r="G1469">
        <v>71.7</v>
      </c>
      <c r="H1469">
        <v>188.04</v>
      </c>
      <c r="I1469" t="s">
        <v>15</v>
      </c>
      <c r="J1469">
        <v>635</v>
      </c>
      <c r="K1469">
        <v>3</v>
      </c>
      <c r="L1469" t="str">
        <f>IF(logistics_data[[#This Row],[Delivery_Date]]="","In Transit",
 IF(logistics_data[[#This Row],[Status]]="Lost","Lost",
 IF(logistics_data[[#This Row],[Status]]="Returned","Returned",
 IF(logistics_data[[#This Row],[Status]]="Delayed","Delayed",
 "Delivered"))))</f>
        <v>Delivered</v>
      </c>
      <c r="M1469" s="2">
        <f>logistics_data[[#This Row],[Cost]]/logistics_data[[#This Row],[Distance_miles]]</f>
        <v>0.29612598425196851</v>
      </c>
      <c r="N1469" t="str">
        <f>IF(logistics_data[[#This Row],[Orginal staus of shipment]]&lt;&gt;"Delivered","not applicabel", IF(logistics_data[[#This Row],[Transit_Days]]&gt;=5,"slow","fast"))</f>
        <v>fast</v>
      </c>
    </row>
    <row r="1470" spans="1:14" x14ac:dyDescent="0.3">
      <c r="A1470" t="s">
        <v>1516</v>
      </c>
      <c r="B1470" t="s">
        <v>35</v>
      </c>
      <c r="C1470" t="s">
        <v>81</v>
      </c>
      <c r="D1470" t="s">
        <v>59</v>
      </c>
      <c r="E1470" s="1">
        <v>45284</v>
      </c>
      <c r="F1470" s="1">
        <v>45254</v>
      </c>
      <c r="G1470">
        <v>10.7</v>
      </c>
      <c r="H1470">
        <v>152.15</v>
      </c>
      <c r="I1470" t="s">
        <v>15</v>
      </c>
      <c r="J1470">
        <v>1000</v>
      </c>
      <c r="K1470">
        <v>3</v>
      </c>
      <c r="L1470" t="str">
        <f>IF(logistics_data[[#This Row],[Delivery_Date]]="","In Transit",
 IF(logistics_data[[#This Row],[Status]]="Lost","Lost",
 IF(logistics_data[[#This Row],[Status]]="Returned","Returned",
 IF(logistics_data[[#This Row],[Status]]="Delayed","Delayed",
 "Delivered"))))</f>
        <v>Delivered</v>
      </c>
      <c r="M1470" s="2">
        <f>logistics_data[[#This Row],[Cost]]/logistics_data[[#This Row],[Distance_miles]]</f>
        <v>0.15215000000000001</v>
      </c>
      <c r="N1470" t="str">
        <f>IF(logistics_data[[#This Row],[Orginal staus of shipment]]&lt;&gt;"Delivered","not applicabel", IF(logistics_data[[#This Row],[Transit_Days]]&gt;=5,"slow","fast"))</f>
        <v>fast</v>
      </c>
    </row>
    <row r="1471" spans="1:14" x14ac:dyDescent="0.3">
      <c r="A1471" t="s">
        <v>1517</v>
      </c>
      <c r="B1471" t="s">
        <v>56</v>
      </c>
      <c r="C1471" t="s">
        <v>81</v>
      </c>
      <c r="D1471" t="s">
        <v>32</v>
      </c>
      <c r="E1471" s="1">
        <v>45271</v>
      </c>
      <c r="F1471" s="1">
        <v>45272</v>
      </c>
      <c r="G1471">
        <v>70.599999999999994</v>
      </c>
      <c r="H1471">
        <v>151.86000000000001</v>
      </c>
      <c r="I1471" t="s">
        <v>15</v>
      </c>
      <c r="J1471">
        <v>323</v>
      </c>
      <c r="K1471">
        <v>1</v>
      </c>
      <c r="L1471" t="str">
        <f>IF(logistics_data[[#This Row],[Delivery_Date]]="","In Transit",
 IF(logistics_data[[#This Row],[Status]]="Lost","Lost",
 IF(logistics_data[[#This Row],[Status]]="Returned","Returned",
 IF(logistics_data[[#This Row],[Status]]="Delayed","Delayed",
 "Delivered"))))</f>
        <v>Delivered</v>
      </c>
      <c r="M1471" s="2">
        <f>logistics_data[[#This Row],[Cost]]/logistics_data[[#This Row],[Distance_miles]]</f>
        <v>0.47015479876160993</v>
      </c>
      <c r="N1471" t="str">
        <f>IF(logistics_data[[#This Row],[Orginal staus of shipment]]&lt;&gt;"Delivered","not applicabel", IF(logistics_data[[#This Row],[Transit_Days]]&gt;=5,"slow","fast"))</f>
        <v>fast</v>
      </c>
    </row>
    <row r="1472" spans="1:14" x14ac:dyDescent="0.3">
      <c r="A1472" t="s">
        <v>1518</v>
      </c>
      <c r="B1472" t="s">
        <v>27</v>
      </c>
      <c r="C1472" t="s">
        <v>52</v>
      </c>
      <c r="D1472" t="s">
        <v>18</v>
      </c>
      <c r="E1472" s="1">
        <v>45158</v>
      </c>
      <c r="F1472" s="1">
        <v>45163</v>
      </c>
      <c r="G1472">
        <v>54.4</v>
      </c>
      <c r="H1472">
        <v>266.93</v>
      </c>
      <c r="I1472" t="s">
        <v>15</v>
      </c>
      <c r="J1472">
        <v>1340</v>
      </c>
      <c r="K1472">
        <v>5</v>
      </c>
      <c r="L1472" t="str">
        <f>IF(logistics_data[[#This Row],[Delivery_Date]]="","In Transit",
 IF(logistics_data[[#This Row],[Status]]="Lost","Lost",
 IF(logistics_data[[#This Row],[Status]]="Returned","Returned",
 IF(logistics_data[[#This Row],[Status]]="Delayed","Delayed",
 "Delivered"))))</f>
        <v>Delivered</v>
      </c>
      <c r="M1472" s="2">
        <f>logistics_data[[#This Row],[Cost]]/logistics_data[[#This Row],[Distance_miles]]</f>
        <v>0.19920149253731345</v>
      </c>
      <c r="N1472" t="str">
        <f>IF(logistics_data[[#This Row],[Orginal staus of shipment]]&lt;&gt;"Delivered","not applicabel", IF(logistics_data[[#This Row],[Transit_Days]]&gt;=5,"slow","fast"))</f>
        <v>slow</v>
      </c>
    </row>
    <row r="1473" spans="1:14" x14ac:dyDescent="0.3">
      <c r="A1473" t="s">
        <v>1519</v>
      </c>
      <c r="B1473" t="s">
        <v>23</v>
      </c>
      <c r="C1473" t="s">
        <v>17</v>
      </c>
      <c r="D1473" t="s">
        <v>25</v>
      </c>
      <c r="E1473" s="1">
        <v>45063</v>
      </c>
      <c r="F1473" s="1">
        <v>45067</v>
      </c>
      <c r="G1473">
        <v>20.100000000000001</v>
      </c>
      <c r="H1473">
        <v>74.849999999999994</v>
      </c>
      <c r="I1473" t="s">
        <v>15</v>
      </c>
      <c r="J1473">
        <v>451</v>
      </c>
      <c r="K1473">
        <v>4</v>
      </c>
      <c r="L1473" t="str">
        <f>IF(logistics_data[[#This Row],[Delivery_Date]]="","In Transit",
 IF(logistics_data[[#This Row],[Status]]="Lost","Lost",
 IF(logistics_data[[#This Row],[Status]]="Returned","Returned",
 IF(logistics_data[[#This Row],[Status]]="Delayed","Delayed",
 "Delivered"))))</f>
        <v>Delivered</v>
      </c>
      <c r="M1473" s="2">
        <f>logistics_data[[#This Row],[Cost]]/logistics_data[[#This Row],[Distance_miles]]</f>
        <v>0.16596452328159644</v>
      </c>
      <c r="N1473" t="str">
        <f>IF(logistics_data[[#This Row],[Orginal staus of shipment]]&lt;&gt;"Delivered","not applicabel", IF(logistics_data[[#This Row],[Transit_Days]]&gt;=5,"slow","fast"))</f>
        <v>fast</v>
      </c>
    </row>
    <row r="1474" spans="1:14" x14ac:dyDescent="0.3">
      <c r="A1474" t="s">
        <v>1520</v>
      </c>
      <c r="B1474" t="s">
        <v>56</v>
      </c>
      <c r="C1474" t="s">
        <v>13</v>
      </c>
      <c r="D1474" t="s">
        <v>25</v>
      </c>
      <c r="E1474" s="1">
        <v>45047</v>
      </c>
      <c r="F1474" s="1">
        <v>45051</v>
      </c>
      <c r="G1474">
        <v>11.3</v>
      </c>
      <c r="H1474">
        <v>176.58</v>
      </c>
      <c r="I1474" t="s">
        <v>15</v>
      </c>
      <c r="J1474">
        <v>1360</v>
      </c>
      <c r="K1474">
        <v>4</v>
      </c>
      <c r="L1474" t="str">
        <f>IF(logistics_data[[#This Row],[Delivery_Date]]="","In Transit",
 IF(logistics_data[[#This Row],[Status]]="Lost","Lost",
 IF(logistics_data[[#This Row],[Status]]="Returned","Returned",
 IF(logistics_data[[#This Row],[Status]]="Delayed","Delayed",
 "Delivered"))))</f>
        <v>Delivered</v>
      </c>
      <c r="M1474" s="2">
        <f>logistics_data[[#This Row],[Cost]]/logistics_data[[#This Row],[Distance_miles]]</f>
        <v>0.12983823529411764</v>
      </c>
      <c r="N1474" t="str">
        <f>IF(logistics_data[[#This Row],[Orginal staus of shipment]]&lt;&gt;"Delivered","not applicabel", IF(logistics_data[[#This Row],[Transit_Days]]&gt;=5,"slow","fast"))</f>
        <v>fast</v>
      </c>
    </row>
    <row r="1475" spans="1:14" x14ac:dyDescent="0.3">
      <c r="A1475" t="s">
        <v>1521</v>
      </c>
      <c r="B1475" t="s">
        <v>12</v>
      </c>
      <c r="C1475" t="s">
        <v>70</v>
      </c>
      <c r="D1475" t="s">
        <v>25</v>
      </c>
      <c r="E1475" s="1">
        <v>45287</v>
      </c>
      <c r="F1475" s="1">
        <v>45292</v>
      </c>
      <c r="G1475">
        <v>14.8</v>
      </c>
      <c r="H1475">
        <v>318.26</v>
      </c>
      <c r="I1475" t="s">
        <v>15</v>
      </c>
      <c r="J1475">
        <v>2212</v>
      </c>
      <c r="K1475">
        <v>5</v>
      </c>
      <c r="L1475" t="str">
        <f>IF(logistics_data[[#This Row],[Delivery_Date]]="","In Transit",
 IF(logistics_data[[#This Row],[Status]]="Lost","Lost",
 IF(logistics_data[[#This Row],[Status]]="Returned","Returned",
 IF(logistics_data[[#This Row],[Status]]="Delayed","Delayed",
 "Delivered"))))</f>
        <v>Delivered</v>
      </c>
      <c r="M1475" s="2">
        <f>logistics_data[[#This Row],[Cost]]/logistics_data[[#This Row],[Distance_miles]]</f>
        <v>0.14387884267631101</v>
      </c>
      <c r="N1475" t="str">
        <f>IF(logistics_data[[#This Row],[Orginal staus of shipment]]&lt;&gt;"Delivered","not applicabel", IF(logistics_data[[#This Row],[Transit_Days]]&gt;=5,"slow","fast"))</f>
        <v>slow</v>
      </c>
    </row>
    <row r="1476" spans="1:14" x14ac:dyDescent="0.3">
      <c r="A1476" t="s">
        <v>1522</v>
      </c>
      <c r="B1476" t="s">
        <v>20</v>
      </c>
      <c r="C1476" t="s">
        <v>36</v>
      </c>
      <c r="D1476" t="s">
        <v>18</v>
      </c>
      <c r="E1476" s="1">
        <v>45140</v>
      </c>
      <c r="F1476" s="1">
        <v>45146</v>
      </c>
      <c r="G1476">
        <v>28.4</v>
      </c>
      <c r="H1476">
        <v>390.3</v>
      </c>
      <c r="I1476" t="s">
        <v>15</v>
      </c>
      <c r="J1476">
        <v>2293</v>
      </c>
      <c r="K1476">
        <v>6</v>
      </c>
      <c r="L1476" t="str">
        <f>IF(logistics_data[[#This Row],[Delivery_Date]]="","In Transit",
 IF(logistics_data[[#This Row],[Status]]="Lost","Lost",
 IF(logistics_data[[#This Row],[Status]]="Returned","Returned",
 IF(logistics_data[[#This Row],[Status]]="Delayed","Delayed",
 "Delivered"))))</f>
        <v>Delivered</v>
      </c>
      <c r="M1476" s="2">
        <f>logistics_data[[#This Row],[Cost]]/logistics_data[[#This Row],[Distance_miles]]</f>
        <v>0.17021369385085042</v>
      </c>
      <c r="N1476" t="str">
        <f>IF(logistics_data[[#This Row],[Orginal staus of shipment]]&lt;&gt;"Delivered","not applicabel", IF(logistics_data[[#This Row],[Transit_Days]]&gt;=5,"slow","fast"))</f>
        <v>slow</v>
      </c>
    </row>
    <row r="1477" spans="1:14" x14ac:dyDescent="0.3">
      <c r="A1477" t="s">
        <v>1523</v>
      </c>
      <c r="B1477" t="s">
        <v>12</v>
      </c>
      <c r="C1477" t="s">
        <v>36</v>
      </c>
      <c r="D1477" t="s">
        <v>14</v>
      </c>
      <c r="E1477" s="1">
        <v>45252</v>
      </c>
      <c r="F1477" s="1">
        <v>45258</v>
      </c>
      <c r="G1477">
        <v>28.1</v>
      </c>
      <c r="H1477">
        <v>303.52999999999997</v>
      </c>
      <c r="I1477" t="s">
        <v>15</v>
      </c>
      <c r="J1477">
        <v>1711</v>
      </c>
      <c r="K1477">
        <v>6</v>
      </c>
      <c r="L1477" t="str">
        <f>IF(logistics_data[[#This Row],[Delivery_Date]]="","In Transit",
 IF(logistics_data[[#This Row],[Status]]="Lost","Lost",
 IF(logistics_data[[#This Row],[Status]]="Returned","Returned",
 IF(logistics_data[[#This Row],[Status]]="Delayed","Delayed",
 "Delivered"))))</f>
        <v>Delivered</v>
      </c>
      <c r="M1477" s="2">
        <f>logistics_data[[#This Row],[Cost]]/logistics_data[[#This Row],[Distance_miles]]</f>
        <v>0.17739918176504965</v>
      </c>
      <c r="N1477" t="str">
        <f>IF(logistics_data[[#This Row],[Orginal staus of shipment]]&lt;&gt;"Delivered","not applicabel", IF(logistics_data[[#This Row],[Transit_Days]]&gt;=5,"slow","fast"))</f>
        <v>slow</v>
      </c>
    </row>
    <row r="1478" spans="1:14" x14ac:dyDescent="0.3">
      <c r="A1478" t="s">
        <v>1524</v>
      </c>
      <c r="B1478" t="s">
        <v>30</v>
      </c>
      <c r="C1478" t="s">
        <v>24</v>
      </c>
      <c r="D1478" t="s">
        <v>32</v>
      </c>
      <c r="E1478" s="1">
        <v>45143</v>
      </c>
      <c r="F1478" s="1">
        <v>45147</v>
      </c>
      <c r="G1478">
        <v>153</v>
      </c>
      <c r="H1478">
        <v>334.41</v>
      </c>
      <c r="I1478" t="s">
        <v>15</v>
      </c>
      <c r="J1478">
        <v>1058</v>
      </c>
      <c r="K1478">
        <v>4</v>
      </c>
      <c r="L1478" t="str">
        <f>IF(logistics_data[[#This Row],[Delivery_Date]]="","In Transit",
 IF(logistics_data[[#This Row],[Status]]="Lost","Lost",
 IF(logistics_data[[#This Row],[Status]]="Returned","Returned",
 IF(logistics_data[[#This Row],[Status]]="Delayed","Delayed",
 "Delivered"))))</f>
        <v>Delivered</v>
      </c>
      <c r="M1478" s="2">
        <f>logistics_data[[#This Row],[Cost]]/logistics_data[[#This Row],[Distance_miles]]</f>
        <v>0.31607750472589796</v>
      </c>
      <c r="N1478" t="str">
        <f>IF(logistics_data[[#This Row],[Orginal staus of shipment]]&lt;&gt;"Delivered","not applicabel", IF(logistics_data[[#This Row],[Transit_Days]]&gt;=5,"slow","fast"))</f>
        <v>fast</v>
      </c>
    </row>
    <row r="1479" spans="1:14" x14ac:dyDescent="0.3">
      <c r="A1479" t="s">
        <v>1525</v>
      </c>
      <c r="B1479" t="s">
        <v>12</v>
      </c>
      <c r="C1479" t="s">
        <v>13</v>
      </c>
      <c r="D1479" t="s">
        <v>18</v>
      </c>
      <c r="E1479" s="1">
        <v>45169</v>
      </c>
      <c r="F1479" s="1">
        <v>45172</v>
      </c>
      <c r="G1479">
        <v>14.2</v>
      </c>
      <c r="H1479">
        <v>101.86</v>
      </c>
      <c r="I1479" t="s">
        <v>15</v>
      </c>
      <c r="J1479">
        <v>580</v>
      </c>
      <c r="K1479">
        <v>3</v>
      </c>
      <c r="L1479" t="str">
        <f>IF(logistics_data[[#This Row],[Delivery_Date]]="","In Transit",
 IF(logistics_data[[#This Row],[Status]]="Lost","Lost",
 IF(logistics_data[[#This Row],[Status]]="Returned","Returned",
 IF(logistics_data[[#This Row],[Status]]="Delayed","Delayed",
 "Delivered"))))</f>
        <v>Delivered</v>
      </c>
      <c r="M1479" s="2">
        <f>logistics_data[[#This Row],[Cost]]/logistics_data[[#This Row],[Distance_miles]]</f>
        <v>0.17562068965517241</v>
      </c>
      <c r="N1479" t="str">
        <f>IF(logistics_data[[#This Row],[Orginal staus of shipment]]&lt;&gt;"Delivered","not applicabel", IF(logistics_data[[#This Row],[Transit_Days]]&gt;=5,"slow","fast"))</f>
        <v>fast</v>
      </c>
    </row>
    <row r="1480" spans="1:14" x14ac:dyDescent="0.3">
      <c r="A1480" t="s">
        <v>1526</v>
      </c>
      <c r="B1480" t="s">
        <v>51</v>
      </c>
      <c r="C1480" t="s">
        <v>40</v>
      </c>
      <c r="D1480" t="s">
        <v>32</v>
      </c>
      <c r="E1480" s="1">
        <v>45207</v>
      </c>
      <c r="F1480" s="1">
        <v>45212</v>
      </c>
      <c r="G1480">
        <v>34</v>
      </c>
      <c r="H1480">
        <v>228.26</v>
      </c>
      <c r="I1480" t="s">
        <v>15</v>
      </c>
      <c r="J1480">
        <v>1463</v>
      </c>
      <c r="K1480">
        <v>5</v>
      </c>
      <c r="L1480" t="str">
        <f>IF(logistics_data[[#This Row],[Delivery_Date]]="","In Transit",
 IF(logistics_data[[#This Row],[Status]]="Lost","Lost",
 IF(logistics_data[[#This Row],[Status]]="Returned","Returned",
 IF(logistics_data[[#This Row],[Status]]="Delayed","Delayed",
 "Delivered"))))</f>
        <v>Delivered</v>
      </c>
      <c r="M1480" s="2">
        <f>logistics_data[[#This Row],[Cost]]/logistics_data[[#This Row],[Distance_miles]]</f>
        <v>0.15602187286397812</v>
      </c>
      <c r="N1480" t="str">
        <f>IF(logistics_data[[#This Row],[Orginal staus of shipment]]&lt;&gt;"Delivered","not applicabel", IF(logistics_data[[#This Row],[Transit_Days]]&gt;=5,"slow","fast"))</f>
        <v>slow</v>
      </c>
    </row>
    <row r="1481" spans="1:14" x14ac:dyDescent="0.3">
      <c r="A1481" t="s">
        <v>1527</v>
      </c>
      <c r="B1481" t="s">
        <v>27</v>
      </c>
      <c r="C1481" t="s">
        <v>31</v>
      </c>
      <c r="D1481" t="s">
        <v>42</v>
      </c>
      <c r="E1481" s="1">
        <v>44992</v>
      </c>
      <c r="F1481" s="1">
        <v>45005</v>
      </c>
      <c r="G1481">
        <v>30.1</v>
      </c>
      <c r="H1481">
        <v>101.62</v>
      </c>
      <c r="I1481" t="s">
        <v>47</v>
      </c>
      <c r="J1481">
        <v>615</v>
      </c>
      <c r="K1481">
        <v>2</v>
      </c>
      <c r="L1481" t="str">
        <f>IF(logistics_data[[#This Row],[Delivery_Date]]="","In Transit",
 IF(logistics_data[[#This Row],[Status]]="Lost","Lost",
 IF(logistics_data[[#This Row],[Status]]="Returned","Returned",
 IF(logistics_data[[#This Row],[Status]]="Delayed","Delayed",
 "Delivered"))))</f>
        <v>Delayed</v>
      </c>
      <c r="M1481" s="2">
        <f>logistics_data[[#This Row],[Cost]]/logistics_data[[#This Row],[Distance_miles]]</f>
        <v>0.16523577235772358</v>
      </c>
      <c r="N1481" t="str">
        <f>IF(logistics_data[[#This Row],[Orginal staus of shipment]]&lt;&gt;"Delivered","not applicabel", IF(logistics_data[[#This Row],[Transit_Days]]&gt;=5,"slow","fast"))</f>
        <v>not applicabel</v>
      </c>
    </row>
    <row r="1482" spans="1:14" x14ac:dyDescent="0.3">
      <c r="A1482" t="s">
        <v>1528</v>
      </c>
      <c r="B1482" t="s">
        <v>27</v>
      </c>
      <c r="C1482" t="s">
        <v>17</v>
      </c>
      <c r="D1482" t="s">
        <v>42</v>
      </c>
      <c r="E1482" s="1">
        <v>45031</v>
      </c>
      <c r="F1482" s="1">
        <v>45035</v>
      </c>
      <c r="G1482">
        <v>79.099999999999994</v>
      </c>
      <c r="H1482">
        <v>264.42</v>
      </c>
      <c r="I1482" t="s">
        <v>15</v>
      </c>
      <c r="J1482">
        <v>1487</v>
      </c>
      <c r="K1482">
        <v>4</v>
      </c>
      <c r="L1482" t="str">
        <f>IF(logistics_data[[#This Row],[Delivery_Date]]="","In Transit",
 IF(logistics_data[[#This Row],[Status]]="Lost","Lost",
 IF(logistics_data[[#This Row],[Status]]="Returned","Returned",
 IF(logistics_data[[#This Row],[Status]]="Delayed","Delayed",
 "Delivered"))))</f>
        <v>Delivered</v>
      </c>
      <c r="M1482" s="2">
        <f>logistics_data[[#This Row],[Cost]]/logistics_data[[#This Row],[Distance_miles]]</f>
        <v>0.17782111634162745</v>
      </c>
      <c r="N1482" t="str">
        <f>IF(logistics_data[[#This Row],[Orginal staus of shipment]]&lt;&gt;"Delivered","not applicabel", IF(logistics_data[[#This Row],[Transit_Days]]&gt;=5,"slow","fast"))</f>
        <v>fast</v>
      </c>
    </row>
    <row r="1483" spans="1:14" x14ac:dyDescent="0.3">
      <c r="A1483" t="s">
        <v>1529</v>
      </c>
      <c r="B1483" t="s">
        <v>39</v>
      </c>
      <c r="C1483" t="s">
        <v>28</v>
      </c>
      <c r="D1483" t="s">
        <v>25</v>
      </c>
      <c r="E1483" s="1">
        <v>45120</v>
      </c>
      <c r="F1483" s="1">
        <v>45123</v>
      </c>
      <c r="G1483">
        <v>8.1</v>
      </c>
      <c r="H1483">
        <v>188.86</v>
      </c>
      <c r="I1483" t="s">
        <v>15</v>
      </c>
      <c r="J1483">
        <v>1472</v>
      </c>
      <c r="K1483">
        <v>3</v>
      </c>
      <c r="L1483" t="str">
        <f>IF(logistics_data[[#This Row],[Delivery_Date]]="","In Transit",
 IF(logistics_data[[#This Row],[Status]]="Lost","Lost",
 IF(logistics_data[[#This Row],[Status]]="Returned","Returned",
 IF(logistics_data[[#This Row],[Status]]="Delayed","Delayed",
 "Delivered"))))</f>
        <v>Delivered</v>
      </c>
      <c r="M1483" s="2">
        <f>logistics_data[[#This Row],[Cost]]/logistics_data[[#This Row],[Distance_miles]]</f>
        <v>0.12830163043478263</v>
      </c>
      <c r="N1483" t="str">
        <f>IF(logistics_data[[#This Row],[Orginal staus of shipment]]&lt;&gt;"Delivered","not applicabel", IF(logistics_data[[#This Row],[Transit_Days]]&gt;=5,"slow","fast"))</f>
        <v>fast</v>
      </c>
    </row>
    <row r="1484" spans="1:14" x14ac:dyDescent="0.3">
      <c r="A1484" t="s">
        <v>1530</v>
      </c>
      <c r="B1484" t="s">
        <v>51</v>
      </c>
      <c r="C1484" t="s">
        <v>52</v>
      </c>
      <c r="D1484" t="s">
        <v>25</v>
      </c>
      <c r="E1484" s="1">
        <v>45192</v>
      </c>
      <c r="F1484" s="1">
        <v>45162</v>
      </c>
      <c r="G1484">
        <v>22.7</v>
      </c>
      <c r="H1484">
        <v>110.05</v>
      </c>
      <c r="I1484" t="s">
        <v>15</v>
      </c>
      <c r="J1484">
        <v>787</v>
      </c>
      <c r="K1484">
        <v>3</v>
      </c>
      <c r="L1484" t="str">
        <f>IF(logistics_data[[#This Row],[Delivery_Date]]="","In Transit",
 IF(logistics_data[[#This Row],[Status]]="Lost","Lost",
 IF(logistics_data[[#This Row],[Status]]="Returned","Returned",
 IF(logistics_data[[#This Row],[Status]]="Delayed","Delayed",
 "Delivered"))))</f>
        <v>Delivered</v>
      </c>
      <c r="M1484" s="2">
        <f>logistics_data[[#This Row],[Cost]]/logistics_data[[#This Row],[Distance_miles]]</f>
        <v>0.13983481575603557</v>
      </c>
      <c r="N1484" t="str">
        <f>IF(logistics_data[[#This Row],[Orginal staus of shipment]]&lt;&gt;"Delivered","not applicabel", IF(logistics_data[[#This Row],[Transit_Days]]&gt;=5,"slow","fast"))</f>
        <v>fast</v>
      </c>
    </row>
    <row r="1485" spans="1:14" x14ac:dyDescent="0.3">
      <c r="A1485" t="s">
        <v>1531</v>
      </c>
      <c r="B1485" t="s">
        <v>23</v>
      </c>
      <c r="C1485" t="s">
        <v>21</v>
      </c>
      <c r="D1485" t="s">
        <v>18</v>
      </c>
      <c r="E1485" s="1">
        <v>45177</v>
      </c>
      <c r="F1485" s="1">
        <v>45180</v>
      </c>
      <c r="G1485">
        <v>21.8</v>
      </c>
      <c r="H1485">
        <v>202.57</v>
      </c>
      <c r="I1485" t="s">
        <v>15</v>
      </c>
      <c r="J1485">
        <v>1364</v>
      </c>
      <c r="K1485">
        <v>3</v>
      </c>
      <c r="L1485" t="str">
        <f>IF(logistics_data[[#This Row],[Delivery_Date]]="","In Transit",
 IF(logistics_data[[#This Row],[Status]]="Lost","Lost",
 IF(logistics_data[[#This Row],[Status]]="Returned","Returned",
 IF(logistics_data[[#This Row],[Status]]="Delayed","Delayed",
 "Delivered"))))</f>
        <v>Delivered</v>
      </c>
      <c r="M1485" s="2">
        <f>logistics_data[[#This Row],[Cost]]/logistics_data[[#This Row],[Distance_miles]]</f>
        <v>0.14851173020527858</v>
      </c>
      <c r="N1485" t="str">
        <f>IF(logistics_data[[#This Row],[Orginal staus of shipment]]&lt;&gt;"Delivered","not applicabel", IF(logistics_data[[#This Row],[Transit_Days]]&gt;=5,"slow","fast"))</f>
        <v>fast</v>
      </c>
    </row>
    <row r="1486" spans="1:14" x14ac:dyDescent="0.3">
      <c r="A1486" t="s">
        <v>1532</v>
      </c>
      <c r="B1486" t="s">
        <v>20</v>
      </c>
      <c r="C1486" t="s">
        <v>70</v>
      </c>
      <c r="D1486" t="s">
        <v>32</v>
      </c>
      <c r="E1486" s="1">
        <v>45055</v>
      </c>
      <c r="F1486" s="1">
        <v>45059</v>
      </c>
      <c r="G1486">
        <v>12</v>
      </c>
      <c r="H1486">
        <v>178.39</v>
      </c>
      <c r="I1486" t="s">
        <v>15</v>
      </c>
      <c r="J1486">
        <v>1377</v>
      </c>
      <c r="K1486">
        <v>4</v>
      </c>
      <c r="L1486" t="str">
        <f>IF(logistics_data[[#This Row],[Delivery_Date]]="","In Transit",
 IF(logistics_data[[#This Row],[Status]]="Lost","Lost",
 IF(logistics_data[[#This Row],[Status]]="Returned","Returned",
 IF(logistics_data[[#This Row],[Status]]="Delayed","Delayed",
 "Delivered"))))</f>
        <v>Delivered</v>
      </c>
      <c r="M1486" s="2">
        <f>logistics_data[[#This Row],[Cost]]/logistics_data[[#This Row],[Distance_miles]]</f>
        <v>0.12954974582425563</v>
      </c>
      <c r="N1486" t="str">
        <f>IF(logistics_data[[#This Row],[Orginal staus of shipment]]&lt;&gt;"Delivered","not applicabel", IF(logistics_data[[#This Row],[Transit_Days]]&gt;=5,"slow","fast"))</f>
        <v>fast</v>
      </c>
    </row>
    <row r="1487" spans="1:14" x14ac:dyDescent="0.3">
      <c r="A1487" t="s">
        <v>1533</v>
      </c>
      <c r="B1487" t="s">
        <v>49</v>
      </c>
      <c r="C1487" t="s">
        <v>13</v>
      </c>
      <c r="D1487" t="s">
        <v>14</v>
      </c>
      <c r="E1487" s="1">
        <v>44964</v>
      </c>
      <c r="F1487" s="1">
        <v>44969</v>
      </c>
      <c r="G1487">
        <v>11.3</v>
      </c>
      <c r="H1487">
        <v>199.25</v>
      </c>
      <c r="I1487" t="s">
        <v>15</v>
      </c>
      <c r="J1487">
        <v>1332</v>
      </c>
      <c r="K1487">
        <v>5</v>
      </c>
      <c r="L1487" t="str">
        <f>IF(logistics_data[[#This Row],[Delivery_Date]]="","In Transit",
 IF(logistics_data[[#This Row],[Status]]="Lost","Lost",
 IF(logistics_data[[#This Row],[Status]]="Returned","Returned",
 IF(logistics_data[[#This Row],[Status]]="Delayed","Delayed",
 "Delivered"))))</f>
        <v>Delivered</v>
      </c>
      <c r="M1487" s="2">
        <f>logistics_data[[#This Row],[Cost]]/logistics_data[[#This Row],[Distance_miles]]</f>
        <v>0.1495870870870871</v>
      </c>
      <c r="N1487" t="str">
        <f>IF(logistics_data[[#This Row],[Orginal staus of shipment]]&lt;&gt;"Delivered","not applicabel", IF(logistics_data[[#This Row],[Transit_Days]]&gt;=5,"slow","fast"))</f>
        <v>slow</v>
      </c>
    </row>
    <row r="1488" spans="1:14" x14ac:dyDescent="0.3">
      <c r="A1488" t="s">
        <v>1534</v>
      </c>
      <c r="B1488" t="s">
        <v>39</v>
      </c>
      <c r="C1488" t="s">
        <v>52</v>
      </c>
      <c r="D1488" t="s">
        <v>59</v>
      </c>
      <c r="E1488" s="1">
        <v>45159</v>
      </c>
      <c r="F1488" s="1">
        <v>45163</v>
      </c>
      <c r="G1488">
        <v>21.5</v>
      </c>
      <c r="H1488">
        <v>154.34</v>
      </c>
      <c r="I1488" t="s">
        <v>15</v>
      </c>
      <c r="J1488">
        <v>1209</v>
      </c>
      <c r="K1488">
        <v>4</v>
      </c>
      <c r="L1488" t="str">
        <f>IF(logistics_data[[#This Row],[Delivery_Date]]="","In Transit",
 IF(logistics_data[[#This Row],[Status]]="Lost","Lost",
 IF(logistics_data[[#This Row],[Status]]="Returned","Returned",
 IF(logistics_data[[#This Row],[Status]]="Delayed","Delayed",
 "Delivered"))))</f>
        <v>Delivered</v>
      </c>
      <c r="M1488" s="2">
        <f>logistics_data[[#This Row],[Cost]]/logistics_data[[#This Row],[Distance_miles]]</f>
        <v>0.12765922249793218</v>
      </c>
      <c r="N1488" t="str">
        <f>IF(logistics_data[[#This Row],[Orginal staus of shipment]]&lt;&gt;"Delivered","not applicabel", IF(logistics_data[[#This Row],[Transit_Days]]&gt;=5,"slow","fast"))</f>
        <v>fast</v>
      </c>
    </row>
    <row r="1489" spans="1:14" x14ac:dyDescent="0.3">
      <c r="A1489" t="s">
        <v>1535</v>
      </c>
      <c r="B1489" t="s">
        <v>23</v>
      </c>
      <c r="C1489" t="s">
        <v>57</v>
      </c>
      <c r="D1489" t="s">
        <v>18</v>
      </c>
      <c r="E1489" s="1">
        <v>45238</v>
      </c>
      <c r="F1489" s="1">
        <v>45243</v>
      </c>
      <c r="G1489">
        <v>17.8</v>
      </c>
      <c r="H1489">
        <v>407.33</v>
      </c>
      <c r="I1489" t="s">
        <v>15</v>
      </c>
      <c r="J1489">
        <v>2300</v>
      </c>
      <c r="K1489">
        <v>5</v>
      </c>
      <c r="L1489" t="str">
        <f>IF(logistics_data[[#This Row],[Delivery_Date]]="","In Transit",
 IF(logistics_data[[#This Row],[Status]]="Lost","Lost",
 IF(logistics_data[[#This Row],[Status]]="Returned","Returned",
 IF(logistics_data[[#This Row],[Status]]="Delayed","Delayed",
 "Delivered"))))</f>
        <v>Delivered</v>
      </c>
      <c r="M1489" s="2">
        <f>logistics_data[[#This Row],[Cost]]/logistics_data[[#This Row],[Distance_miles]]</f>
        <v>0.17709999999999998</v>
      </c>
      <c r="N1489" t="str">
        <f>IF(logistics_data[[#This Row],[Orginal staus of shipment]]&lt;&gt;"Delivered","not applicabel", IF(logistics_data[[#This Row],[Transit_Days]]&gt;=5,"slow","fast"))</f>
        <v>slow</v>
      </c>
    </row>
    <row r="1490" spans="1:14" x14ac:dyDescent="0.3">
      <c r="A1490" t="s">
        <v>1536</v>
      </c>
      <c r="B1490" t="s">
        <v>23</v>
      </c>
      <c r="C1490" t="s">
        <v>52</v>
      </c>
      <c r="D1490" t="s">
        <v>59</v>
      </c>
      <c r="E1490" s="1">
        <v>44960</v>
      </c>
      <c r="F1490" s="1">
        <v>44961</v>
      </c>
      <c r="G1490">
        <v>22.5</v>
      </c>
      <c r="H1490">
        <v>63.76</v>
      </c>
      <c r="I1490" t="s">
        <v>62</v>
      </c>
      <c r="J1490">
        <v>289</v>
      </c>
      <c r="K1490">
        <v>1</v>
      </c>
      <c r="L1490" t="str">
        <f>IF(logistics_data[[#This Row],[Delivery_Date]]="","In Transit",
 IF(logistics_data[[#This Row],[Status]]="Lost","Lost",
 IF(logistics_data[[#This Row],[Status]]="Returned","Returned",
 IF(logistics_data[[#This Row],[Status]]="Delayed","Delayed",
 "Delivered"))))</f>
        <v>Delivered</v>
      </c>
      <c r="M1490" s="2">
        <f>logistics_data[[#This Row],[Cost]]/logistics_data[[#This Row],[Distance_miles]]</f>
        <v>0.22062283737024221</v>
      </c>
      <c r="N1490" t="str">
        <f>IF(logistics_data[[#This Row],[Orginal staus of shipment]]&lt;&gt;"Delivered","not applicabel", IF(logistics_data[[#This Row],[Transit_Days]]&gt;=5,"slow","fast"))</f>
        <v>fast</v>
      </c>
    </row>
    <row r="1491" spans="1:14" x14ac:dyDescent="0.3">
      <c r="A1491" t="s">
        <v>1537</v>
      </c>
      <c r="B1491" t="s">
        <v>35</v>
      </c>
      <c r="C1491" t="s">
        <v>81</v>
      </c>
      <c r="D1491" t="s">
        <v>14</v>
      </c>
      <c r="E1491" s="1">
        <v>45074</v>
      </c>
      <c r="F1491" s="1">
        <v>45078</v>
      </c>
      <c r="G1491">
        <v>15.8</v>
      </c>
      <c r="H1491">
        <v>152.19999999999999</v>
      </c>
      <c r="I1491" t="s">
        <v>15</v>
      </c>
      <c r="J1491">
        <v>1000</v>
      </c>
      <c r="K1491">
        <v>4</v>
      </c>
      <c r="L1491" t="str">
        <f>IF(logistics_data[[#This Row],[Delivery_Date]]="","In Transit",
 IF(logistics_data[[#This Row],[Status]]="Lost","Lost",
 IF(logistics_data[[#This Row],[Status]]="Returned","Returned",
 IF(logistics_data[[#This Row],[Status]]="Delayed","Delayed",
 "Delivered"))))</f>
        <v>Delivered</v>
      </c>
      <c r="M1491" s="2">
        <f>logistics_data[[#This Row],[Cost]]/logistics_data[[#This Row],[Distance_miles]]</f>
        <v>0.1522</v>
      </c>
      <c r="N1491" t="str">
        <f>IF(logistics_data[[#This Row],[Orginal staus of shipment]]&lt;&gt;"Delivered","not applicabel", IF(logistics_data[[#This Row],[Transit_Days]]&gt;=5,"slow","fast"))</f>
        <v>fast</v>
      </c>
    </row>
    <row r="1492" spans="1:14" x14ac:dyDescent="0.3">
      <c r="A1492" t="s">
        <v>1538</v>
      </c>
      <c r="B1492" t="s">
        <v>49</v>
      </c>
      <c r="C1492" t="s">
        <v>24</v>
      </c>
      <c r="D1492" t="s">
        <v>42</v>
      </c>
      <c r="E1492" s="1">
        <v>45174</v>
      </c>
      <c r="F1492" s="1">
        <v>45178</v>
      </c>
      <c r="G1492">
        <v>11.8</v>
      </c>
      <c r="H1492">
        <v>88.65</v>
      </c>
      <c r="I1492" t="s">
        <v>15</v>
      </c>
      <c r="J1492">
        <v>670</v>
      </c>
      <c r="K1492">
        <v>4</v>
      </c>
      <c r="L1492" t="str">
        <f>IF(logistics_data[[#This Row],[Delivery_Date]]="","In Transit",
 IF(logistics_data[[#This Row],[Status]]="Lost","Lost",
 IF(logistics_data[[#This Row],[Status]]="Returned","Returned",
 IF(logistics_data[[#This Row],[Status]]="Delayed","Delayed",
 "Delivered"))))</f>
        <v>Delivered</v>
      </c>
      <c r="M1492" s="2">
        <f>logistics_data[[#This Row],[Cost]]/logistics_data[[#This Row],[Distance_miles]]</f>
        <v>0.13231343283582089</v>
      </c>
      <c r="N1492" t="str">
        <f>IF(logistics_data[[#This Row],[Orginal staus of shipment]]&lt;&gt;"Delivered","not applicabel", IF(logistics_data[[#This Row],[Transit_Days]]&gt;=5,"slow","fast"))</f>
        <v>fast</v>
      </c>
    </row>
    <row r="1493" spans="1:14" x14ac:dyDescent="0.3">
      <c r="A1493" t="s">
        <v>1539</v>
      </c>
      <c r="B1493" t="s">
        <v>49</v>
      </c>
      <c r="C1493" t="s">
        <v>46</v>
      </c>
      <c r="D1493" t="s">
        <v>18</v>
      </c>
      <c r="E1493" s="1">
        <v>45047</v>
      </c>
      <c r="F1493" s="1">
        <v>45053</v>
      </c>
      <c r="G1493">
        <v>11.6</v>
      </c>
      <c r="H1493">
        <v>359.48</v>
      </c>
      <c r="I1493" t="s">
        <v>15</v>
      </c>
      <c r="J1493">
        <v>2379</v>
      </c>
      <c r="K1493">
        <v>6</v>
      </c>
      <c r="L1493" t="str">
        <f>IF(logistics_data[[#This Row],[Delivery_Date]]="","In Transit",
 IF(logistics_data[[#This Row],[Status]]="Lost","Lost",
 IF(logistics_data[[#This Row],[Status]]="Returned","Returned",
 IF(logistics_data[[#This Row],[Status]]="Delayed","Delayed",
 "Delivered"))))</f>
        <v>Delivered</v>
      </c>
      <c r="M1493" s="2">
        <f>logistics_data[[#This Row],[Cost]]/logistics_data[[#This Row],[Distance_miles]]</f>
        <v>0.15110550651534257</v>
      </c>
      <c r="N1493" t="str">
        <f>IF(logistics_data[[#This Row],[Orginal staus of shipment]]&lt;&gt;"Delivered","not applicabel", IF(logistics_data[[#This Row],[Transit_Days]]&gt;=5,"slow","fast"))</f>
        <v>slow</v>
      </c>
    </row>
    <row r="1494" spans="1:14" x14ac:dyDescent="0.3">
      <c r="A1494" t="s">
        <v>1540</v>
      </c>
      <c r="B1494" t="s">
        <v>23</v>
      </c>
      <c r="C1494" t="s">
        <v>13</v>
      </c>
      <c r="D1494" t="s">
        <v>25</v>
      </c>
      <c r="E1494" s="1">
        <v>45196</v>
      </c>
      <c r="F1494" s="1">
        <v>45197</v>
      </c>
      <c r="G1494">
        <v>13.8</v>
      </c>
      <c r="H1494">
        <v>50.83</v>
      </c>
      <c r="I1494" t="s">
        <v>15</v>
      </c>
      <c r="J1494">
        <v>274</v>
      </c>
      <c r="K1494">
        <v>1</v>
      </c>
      <c r="L1494" t="str">
        <f>IF(logistics_data[[#This Row],[Delivery_Date]]="","In Transit",
 IF(logistics_data[[#This Row],[Status]]="Lost","Lost",
 IF(logistics_data[[#This Row],[Status]]="Returned","Returned",
 IF(logistics_data[[#This Row],[Status]]="Delayed","Delayed",
 "Delivered"))))</f>
        <v>Delivered</v>
      </c>
      <c r="M1494" s="2">
        <f>logistics_data[[#This Row],[Cost]]/logistics_data[[#This Row],[Distance_miles]]</f>
        <v>0.1855109489051095</v>
      </c>
      <c r="N1494" t="str">
        <f>IF(logistics_data[[#This Row],[Orginal staus of shipment]]&lt;&gt;"Delivered","not applicabel", IF(logistics_data[[#This Row],[Transit_Days]]&gt;=5,"slow","fast"))</f>
        <v>fast</v>
      </c>
    </row>
    <row r="1495" spans="1:14" x14ac:dyDescent="0.3">
      <c r="A1495" t="s">
        <v>1541</v>
      </c>
      <c r="B1495" t="s">
        <v>27</v>
      </c>
      <c r="C1495" t="s">
        <v>46</v>
      </c>
      <c r="D1495" t="s">
        <v>14</v>
      </c>
      <c r="E1495" s="1">
        <v>45052</v>
      </c>
      <c r="F1495" s="1">
        <v>45056</v>
      </c>
      <c r="G1495">
        <v>33.299999999999997</v>
      </c>
      <c r="H1495">
        <v>236.83</v>
      </c>
      <c r="I1495" t="s">
        <v>67</v>
      </c>
      <c r="J1495">
        <v>1438</v>
      </c>
      <c r="K1495">
        <v>4</v>
      </c>
      <c r="L1495" t="str">
        <f>IF(logistics_data[[#This Row],[Delivery_Date]]="","In Transit",
 IF(logistics_data[[#This Row],[Status]]="Lost","Lost",
 IF(logistics_data[[#This Row],[Status]]="Returned","Returned",
 IF(logistics_data[[#This Row],[Status]]="Delayed","Delayed",
 "Delivered"))))</f>
        <v>Returned</v>
      </c>
      <c r="M1495" s="2">
        <f>logistics_data[[#This Row],[Cost]]/logistics_data[[#This Row],[Distance_miles]]</f>
        <v>0.16469401947148818</v>
      </c>
      <c r="N1495" t="str">
        <f>IF(logistics_data[[#This Row],[Orginal staus of shipment]]&lt;&gt;"Delivered","not applicabel", IF(logistics_data[[#This Row],[Transit_Days]]&gt;=5,"slow","fast"))</f>
        <v>not applicabel</v>
      </c>
    </row>
    <row r="1496" spans="1:14" x14ac:dyDescent="0.3">
      <c r="A1496" t="s">
        <v>1542</v>
      </c>
      <c r="B1496" t="s">
        <v>56</v>
      </c>
      <c r="C1496" t="s">
        <v>24</v>
      </c>
      <c r="D1496" t="s">
        <v>59</v>
      </c>
      <c r="E1496" s="1">
        <v>45160</v>
      </c>
      <c r="F1496" s="1">
        <v>45165</v>
      </c>
      <c r="G1496">
        <v>13.2</v>
      </c>
      <c r="H1496">
        <v>269.86</v>
      </c>
      <c r="I1496" t="s">
        <v>15</v>
      </c>
      <c r="J1496">
        <v>2309</v>
      </c>
      <c r="K1496">
        <v>5</v>
      </c>
      <c r="L1496" t="str">
        <f>IF(logistics_data[[#This Row],[Delivery_Date]]="","In Transit",
 IF(logistics_data[[#This Row],[Status]]="Lost","Lost",
 IF(logistics_data[[#This Row],[Status]]="Returned","Returned",
 IF(logistics_data[[#This Row],[Status]]="Delayed","Delayed",
 "Delivered"))))</f>
        <v>Delivered</v>
      </c>
      <c r="M1496" s="2">
        <f>logistics_data[[#This Row],[Cost]]/logistics_data[[#This Row],[Distance_miles]]</f>
        <v>0.1168731052403638</v>
      </c>
      <c r="N1496" t="str">
        <f>IF(logistics_data[[#This Row],[Orginal staus of shipment]]&lt;&gt;"Delivered","not applicabel", IF(logistics_data[[#This Row],[Transit_Days]]&gt;=5,"slow","fast"))</f>
        <v>slow</v>
      </c>
    </row>
    <row r="1497" spans="1:14" x14ac:dyDescent="0.3">
      <c r="A1497" t="s">
        <v>1543</v>
      </c>
      <c r="B1497" t="s">
        <v>20</v>
      </c>
      <c r="C1497" t="s">
        <v>44</v>
      </c>
      <c r="D1497" t="s">
        <v>37</v>
      </c>
      <c r="E1497" s="1">
        <v>45070</v>
      </c>
      <c r="F1497" s="1">
        <v>45074</v>
      </c>
      <c r="G1497">
        <v>29.9</v>
      </c>
      <c r="H1497">
        <v>235.86</v>
      </c>
      <c r="I1497" t="s">
        <v>15</v>
      </c>
      <c r="J1497">
        <v>1581</v>
      </c>
      <c r="K1497">
        <v>4</v>
      </c>
      <c r="L1497" t="str">
        <f>IF(logistics_data[[#This Row],[Delivery_Date]]="","In Transit",
 IF(logistics_data[[#This Row],[Status]]="Lost","Lost",
 IF(logistics_data[[#This Row],[Status]]="Returned","Returned",
 IF(logistics_data[[#This Row],[Status]]="Delayed","Delayed",
 "Delivered"))))</f>
        <v>Delivered</v>
      </c>
      <c r="M1497" s="2">
        <f>logistics_data[[#This Row],[Cost]]/logistics_data[[#This Row],[Distance_miles]]</f>
        <v>0.14918406072106263</v>
      </c>
      <c r="N1497" t="str">
        <f>IF(logistics_data[[#This Row],[Orginal staus of shipment]]&lt;&gt;"Delivered","not applicabel", IF(logistics_data[[#This Row],[Transit_Days]]&gt;=5,"slow","fast"))</f>
        <v>fast</v>
      </c>
    </row>
    <row r="1498" spans="1:14" x14ac:dyDescent="0.3">
      <c r="A1498" t="s">
        <v>1544</v>
      </c>
      <c r="B1498" t="s">
        <v>51</v>
      </c>
      <c r="C1498" t="s">
        <v>31</v>
      </c>
      <c r="D1498" t="s">
        <v>42</v>
      </c>
      <c r="E1498" s="1">
        <v>45015</v>
      </c>
      <c r="F1498" s="1">
        <v>45018</v>
      </c>
      <c r="G1498">
        <v>16.100000000000001</v>
      </c>
      <c r="H1498">
        <v>127.74</v>
      </c>
      <c r="I1498" t="s">
        <v>15</v>
      </c>
      <c r="J1498">
        <v>932</v>
      </c>
      <c r="K1498">
        <v>3</v>
      </c>
      <c r="L1498" t="str">
        <f>IF(logistics_data[[#This Row],[Delivery_Date]]="","In Transit",
 IF(logistics_data[[#This Row],[Status]]="Lost","Lost",
 IF(logistics_data[[#This Row],[Status]]="Returned","Returned",
 IF(logistics_data[[#This Row],[Status]]="Delayed","Delayed",
 "Delivered"))))</f>
        <v>Delivered</v>
      </c>
      <c r="M1498" s="2">
        <f>logistics_data[[#This Row],[Cost]]/logistics_data[[#This Row],[Distance_miles]]</f>
        <v>0.13706008583690987</v>
      </c>
      <c r="N1498" t="str">
        <f>IF(logistics_data[[#This Row],[Orginal staus of shipment]]&lt;&gt;"Delivered","not applicabel", IF(logistics_data[[#This Row],[Transit_Days]]&gt;=5,"slow","fast"))</f>
        <v>fast</v>
      </c>
    </row>
    <row r="1499" spans="1:14" x14ac:dyDescent="0.3">
      <c r="A1499" t="s">
        <v>1545</v>
      </c>
      <c r="B1499" t="s">
        <v>39</v>
      </c>
      <c r="C1499" t="s">
        <v>57</v>
      </c>
      <c r="D1499" t="s">
        <v>18</v>
      </c>
      <c r="E1499" s="1">
        <v>45218</v>
      </c>
      <c r="F1499" s="1">
        <v>45219</v>
      </c>
      <c r="G1499">
        <v>10.8</v>
      </c>
      <c r="I1499" t="s">
        <v>15</v>
      </c>
      <c r="J1499">
        <v>185</v>
      </c>
      <c r="K1499">
        <v>1</v>
      </c>
      <c r="L1499" t="str">
        <f>IF(logistics_data[[#This Row],[Delivery_Date]]="","In Transit",
 IF(logistics_data[[#This Row],[Status]]="Lost","Lost",
 IF(logistics_data[[#This Row],[Status]]="Returned","Returned",
 IF(logistics_data[[#This Row],[Status]]="Delayed","Delayed",
 "Delivered"))))</f>
        <v>Delivered</v>
      </c>
      <c r="M1499" s="2">
        <f>logistics_data[[#This Row],[Cost]]/logistics_data[[#This Row],[Distance_miles]]</f>
        <v>0</v>
      </c>
      <c r="N1499" t="str">
        <f>IF(logistics_data[[#This Row],[Orginal staus of shipment]]&lt;&gt;"Delivered","not applicabel", IF(logistics_data[[#This Row],[Transit_Days]]&gt;=5,"slow","fast"))</f>
        <v>fast</v>
      </c>
    </row>
    <row r="1500" spans="1:14" x14ac:dyDescent="0.3">
      <c r="A1500" t="s">
        <v>1546</v>
      </c>
      <c r="B1500" t="s">
        <v>39</v>
      </c>
      <c r="C1500" t="s">
        <v>46</v>
      </c>
      <c r="D1500" t="s">
        <v>14</v>
      </c>
      <c r="E1500" s="1">
        <v>45107</v>
      </c>
      <c r="F1500" s="1">
        <v>45111</v>
      </c>
      <c r="G1500">
        <v>19.399999999999999</v>
      </c>
      <c r="H1500">
        <v>116.18</v>
      </c>
      <c r="I1500" t="s">
        <v>62</v>
      </c>
      <c r="J1500">
        <v>812</v>
      </c>
      <c r="K1500">
        <v>4</v>
      </c>
      <c r="L1500" t="str">
        <f>IF(logistics_data[[#This Row],[Delivery_Date]]="","In Transit",
 IF(logistics_data[[#This Row],[Status]]="Lost","Lost",
 IF(logistics_data[[#This Row],[Status]]="Returned","Returned",
 IF(logistics_data[[#This Row],[Status]]="Delayed","Delayed",
 "Delivered"))))</f>
        <v>Delivered</v>
      </c>
      <c r="M1500" s="2">
        <f>logistics_data[[#This Row],[Cost]]/logistics_data[[#This Row],[Distance_miles]]</f>
        <v>0.14307881773399014</v>
      </c>
      <c r="N1500" t="str">
        <f>IF(logistics_data[[#This Row],[Orginal staus of shipment]]&lt;&gt;"Delivered","not applicabel", IF(logistics_data[[#This Row],[Transit_Days]]&gt;=5,"slow","fast"))</f>
        <v>fast</v>
      </c>
    </row>
    <row r="1501" spans="1:14" x14ac:dyDescent="0.3">
      <c r="A1501" t="s">
        <v>1547</v>
      </c>
      <c r="B1501" t="s">
        <v>39</v>
      </c>
      <c r="C1501" t="s">
        <v>52</v>
      </c>
      <c r="D1501" t="s">
        <v>14</v>
      </c>
      <c r="E1501" s="1">
        <v>45032</v>
      </c>
      <c r="F1501" s="1">
        <v>45035</v>
      </c>
      <c r="G1501">
        <v>37.700000000000003</v>
      </c>
      <c r="H1501">
        <v>164.72</v>
      </c>
      <c r="I1501" t="s">
        <v>62</v>
      </c>
      <c r="J1501">
        <v>925</v>
      </c>
      <c r="K1501">
        <v>3</v>
      </c>
      <c r="L1501" t="str">
        <f>IF(logistics_data[[#This Row],[Delivery_Date]]="","In Transit",
 IF(logistics_data[[#This Row],[Status]]="Lost","Lost",
 IF(logistics_data[[#This Row],[Status]]="Returned","Returned",
 IF(logistics_data[[#This Row],[Status]]="Delayed","Delayed",
 "Delivered"))))</f>
        <v>Delivered</v>
      </c>
      <c r="M1501" s="2">
        <f>logistics_data[[#This Row],[Cost]]/logistics_data[[#This Row],[Distance_miles]]</f>
        <v>0.17807567567567567</v>
      </c>
      <c r="N1501" t="str">
        <f>IF(logistics_data[[#This Row],[Orginal staus of shipment]]&lt;&gt;"Delivered","not applicabel", IF(logistics_data[[#This Row],[Transit_Days]]&gt;=5,"slow","fast"))</f>
        <v>fast</v>
      </c>
    </row>
    <row r="1502" spans="1:14" x14ac:dyDescent="0.3">
      <c r="A1502" t="s">
        <v>1548</v>
      </c>
      <c r="B1502" t="s">
        <v>23</v>
      </c>
      <c r="C1502" t="s">
        <v>36</v>
      </c>
      <c r="D1502" t="s">
        <v>37</v>
      </c>
      <c r="E1502" s="1">
        <v>45181</v>
      </c>
      <c r="F1502" s="1">
        <v>45196</v>
      </c>
      <c r="G1502">
        <v>16</v>
      </c>
      <c r="H1502">
        <v>110.54</v>
      </c>
      <c r="I1502" t="s">
        <v>47</v>
      </c>
      <c r="J1502">
        <v>770</v>
      </c>
      <c r="K1502">
        <v>6</v>
      </c>
      <c r="L1502" t="str">
        <f>IF(logistics_data[[#This Row],[Delivery_Date]]="","In Transit",
 IF(logistics_data[[#This Row],[Status]]="Lost","Lost",
 IF(logistics_data[[#This Row],[Status]]="Returned","Returned",
 IF(logistics_data[[#This Row],[Status]]="Delayed","Delayed",
 "Delivered"))))</f>
        <v>Delayed</v>
      </c>
      <c r="M1502" s="2">
        <f>logistics_data[[#This Row],[Cost]]/logistics_data[[#This Row],[Distance_miles]]</f>
        <v>0.14355844155844158</v>
      </c>
      <c r="N1502" t="str">
        <f>IF(logistics_data[[#This Row],[Orginal staus of shipment]]&lt;&gt;"Delivered","not applicabel", IF(logistics_data[[#This Row],[Transit_Days]]&gt;=5,"slow","fast"))</f>
        <v>not applicabel</v>
      </c>
    </row>
    <row r="1503" spans="1:14" x14ac:dyDescent="0.3">
      <c r="A1503" t="s">
        <v>1549</v>
      </c>
      <c r="B1503" t="s">
        <v>23</v>
      </c>
      <c r="C1503" t="s">
        <v>17</v>
      </c>
      <c r="D1503" t="s">
        <v>14</v>
      </c>
      <c r="E1503" s="1">
        <v>44991</v>
      </c>
      <c r="F1503" s="1">
        <v>44996</v>
      </c>
      <c r="G1503">
        <v>26.2</v>
      </c>
      <c r="H1503">
        <v>212.17</v>
      </c>
      <c r="I1503" t="s">
        <v>15</v>
      </c>
      <c r="J1503">
        <v>1541</v>
      </c>
      <c r="K1503">
        <v>5</v>
      </c>
      <c r="L1503" t="str">
        <f>IF(logistics_data[[#This Row],[Delivery_Date]]="","In Transit",
 IF(logistics_data[[#This Row],[Status]]="Lost","Lost",
 IF(logistics_data[[#This Row],[Status]]="Returned","Returned",
 IF(logistics_data[[#This Row],[Status]]="Delayed","Delayed",
 "Delivered"))))</f>
        <v>Delivered</v>
      </c>
      <c r="M1503" s="2">
        <f>logistics_data[[#This Row],[Cost]]/logistics_data[[#This Row],[Distance_miles]]</f>
        <v>0.13768332251784554</v>
      </c>
      <c r="N1503" t="str">
        <f>IF(logistics_data[[#This Row],[Orginal staus of shipment]]&lt;&gt;"Delivered","not applicabel", IF(logistics_data[[#This Row],[Transit_Days]]&gt;=5,"slow","fast"))</f>
        <v>slow</v>
      </c>
    </row>
    <row r="1504" spans="1:14" x14ac:dyDescent="0.3">
      <c r="A1504" t="s">
        <v>1550</v>
      </c>
      <c r="B1504" t="s">
        <v>12</v>
      </c>
      <c r="C1504" t="s">
        <v>44</v>
      </c>
      <c r="D1504" t="s">
        <v>32</v>
      </c>
      <c r="E1504" s="1">
        <v>45128</v>
      </c>
      <c r="F1504" s="1">
        <v>45131</v>
      </c>
      <c r="G1504">
        <v>18.399999999999999</v>
      </c>
      <c r="H1504">
        <v>149.34</v>
      </c>
      <c r="I1504" t="s">
        <v>15</v>
      </c>
      <c r="J1504">
        <v>974</v>
      </c>
      <c r="K1504">
        <v>3</v>
      </c>
      <c r="L1504" t="str">
        <f>IF(logistics_data[[#This Row],[Delivery_Date]]="","In Transit",
 IF(logistics_data[[#This Row],[Status]]="Lost","Lost",
 IF(logistics_data[[#This Row],[Status]]="Returned","Returned",
 IF(logistics_data[[#This Row],[Status]]="Delayed","Delayed",
 "Delivered"))))</f>
        <v>Delivered</v>
      </c>
      <c r="M1504" s="2">
        <f>logistics_data[[#This Row],[Cost]]/logistics_data[[#This Row],[Distance_miles]]</f>
        <v>0.1533264887063655</v>
      </c>
      <c r="N1504" t="str">
        <f>IF(logistics_data[[#This Row],[Orginal staus of shipment]]&lt;&gt;"Delivered","not applicabel", IF(logistics_data[[#This Row],[Transit_Days]]&gt;=5,"slow","fast"))</f>
        <v>fast</v>
      </c>
    </row>
    <row r="1505" spans="1:14" x14ac:dyDescent="0.3">
      <c r="A1505" t="s">
        <v>1551</v>
      </c>
      <c r="B1505" t="s">
        <v>35</v>
      </c>
      <c r="C1505" t="s">
        <v>81</v>
      </c>
      <c r="D1505" t="s">
        <v>32</v>
      </c>
      <c r="E1505" s="1">
        <v>45156</v>
      </c>
      <c r="F1505" s="1">
        <v>45158</v>
      </c>
      <c r="G1505">
        <v>22.3</v>
      </c>
      <c r="H1505">
        <v>151.26</v>
      </c>
      <c r="I1505" t="s">
        <v>15</v>
      </c>
      <c r="J1505">
        <v>1000</v>
      </c>
      <c r="K1505">
        <v>2</v>
      </c>
      <c r="L1505" t="str">
        <f>IF(logistics_data[[#This Row],[Delivery_Date]]="","In Transit",
 IF(logistics_data[[#This Row],[Status]]="Lost","Lost",
 IF(logistics_data[[#This Row],[Status]]="Returned","Returned",
 IF(logistics_data[[#This Row],[Status]]="Delayed","Delayed",
 "Delivered"))))</f>
        <v>Delivered</v>
      </c>
      <c r="M1505" s="2">
        <f>logistics_data[[#This Row],[Cost]]/logistics_data[[#This Row],[Distance_miles]]</f>
        <v>0.15125999999999998</v>
      </c>
      <c r="N1505" t="str">
        <f>IF(logistics_data[[#This Row],[Orginal staus of shipment]]&lt;&gt;"Delivered","not applicabel", IF(logistics_data[[#This Row],[Transit_Days]]&gt;=5,"slow","fast"))</f>
        <v>fast</v>
      </c>
    </row>
    <row r="1506" spans="1:14" x14ac:dyDescent="0.3">
      <c r="A1506" t="s">
        <v>1552</v>
      </c>
      <c r="B1506" t="s">
        <v>51</v>
      </c>
      <c r="C1506" t="s">
        <v>54</v>
      </c>
      <c r="D1506" t="s">
        <v>37</v>
      </c>
      <c r="E1506" s="1">
        <v>45194</v>
      </c>
      <c r="F1506" s="1">
        <v>45195</v>
      </c>
      <c r="G1506">
        <v>21.1</v>
      </c>
      <c r="H1506">
        <v>49.13</v>
      </c>
      <c r="I1506" t="s">
        <v>15</v>
      </c>
      <c r="J1506">
        <v>190</v>
      </c>
      <c r="K1506">
        <v>1</v>
      </c>
      <c r="L1506" t="str">
        <f>IF(logistics_data[[#This Row],[Delivery_Date]]="","In Transit",
 IF(logistics_data[[#This Row],[Status]]="Lost","Lost",
 IF(logistics_data[[#This Row],[Status]]="Returned","Returned",
 IF(logistics_data[[#This Row],[Status]]="Delayed","Delayed",
 "Delivered"))))</f>
        <v>Delivered</v>
      </c>
      <c r="M1506" s="2">
        <f>logistics_data[[#This Row],[Cost]]/logistics_data[[#This Row],[Distance_miles]]</f>
        <v>0.25857894736842107</v>
      </c>
      <c r="N1506" t="str">
        <f>IF(logistics_data[[#This Row],[Orginal staus of shipment]]&lt;&gt;"Delivered","not applicabel", IF(logistics_data[[#This Row],[Transit_Days]]&gt;=5,"slow","fast"))</f>
        <v>fast</v>
      </c>
    </row>
    <row r="1507" spans="1:14" x14ac:dyDescent="0.3">
      <c r="A1507" t="s">
        <v>1553</v>
      </c>
      <c r="B1507" t="s">
        <v>30</v>
      </c>
      <c r="C1507" t="s">
        <v>57</v>
      </c>
      <c r="D1507" t="s">
        <v>25</v>
      </c>
      <c r="E1507" s="1">
        <v>45107</v>
      </c>
      <c r="F1507" s="1">
        <v>45118</v>
      </c>
      <c r="G1507">
        <v>7.7</v>
      </c>
      <c r="H1507">
        <v>157.65</v>
      </c>
      <c r="I1507" t="s">
        <v>47</v>
      </c>
      <c r="J1507">
        <v>1140</v>
      </c>
      <c r="K1507">
        <v>3</v>
      </c>
      <c r="L1507" t="str">
        <f>IF(logistics_data[[#This Row],[Delivery_Date]]="","In Transit",
 IF(logistics_data[[#This Row],[Status]]="Lost","Lost",
 IF(logistics_data[[#This Row],[Status]]="Returned","Returned",
 IF(logistics_data[[#This Row],[Status]]="Delayed","Delayed",
 "Delivered"))))</f>
        <v>Delayed</v>
      </c>
      <c r="M1507" s="2">
        <f>logistics_data[[#This Row],[Cost]]/logistics_data[[#This Row],[Distance_miles]]</f>
        <v>0.13828947368421052</v>
      </c>
      <c r="N1507" t="str">
        <f>IF(logistics_data[[#This Row],[Orginal staus of shipment]]&lt;&gt;"Delivered","not applicabel", IF(logistics_data[[#This Row],[Transit_Days]]&gt;=5,"slow","fast"))</f>
        <v>not applicabel</v>
      </c>
    </row>
    <row r="1508" spans="1:14" x14ac:dyDescent="0.3">
      <c r="A1508" t="s">
        <v>1554</v>
      </c>
      <c r="B1508" t="s">
        <v>27</v>
      </c>
      <c r="C1508" t="s">
        <v>54</v>
      </c>
      <c r="D1508" t="s">
        <v>42</v>
      </c>
      <c r="E1508" s="1">
        <v>45013</v>
      </c>
      <c r="F1508" s="1">
        <v>45019</v>
      </c>
      <c r="G1508">
        <v>23.1</v>
      </c>
      <c r="H1508">
        <v>232.72</v>
      </c>
      <c r="I1508" t="s">
        <v>47</v>
      </c>
      <c r="J1508">
        <v>1646</v>
      </c>
      <c r="K1508">
        <v>5</v>
      </c>
      <c r="L1508" t="str">
        <f>IF(logistics_data[[#This Row],[Delivery_Date]]="","In Transit",
 IF(logistics_data[[#This Row],[Status]]="Lost","Lost",
 IF(logistics_data[[#This Row],[Status]]="Returned","Returned",
 IF(logistics_data[[#This Row],[Status]]="Delayed","Delayed",
 "Delivered"))))</f>
        <v>Delayed</v>
      </c>
      <c r="M1508" s="2">
        <f>logistics_data[[#This Row],[Cost]]/logistics_data[[#This Row],[Distance_miles]]</f>
        <v>0.14138517618469015</v>
      </c>
      <c r="N1508" t="str">
        <f>IF(logistics_data[[#This Row],[Orginal staus of shipment]]&lt;&gt;"Delivered","not applicabel", IF(logistics_data[[#This Row],[Transit_Days]]&gt;=5,"slow","fast"))</f>
        <v>not applicabel</v>
      </c>
    </row>
    <row r="1509" spans="1:14" x14ac:dyDescent="0.3">
      <c r="A1509" t="s">
        <v>1555</v>
      </c>
      <c r="B1509" t="s">
        <v>49</v>
      </c>
      <c r="C1509" t="s">
        <v>54</v>
      </c>
      <c r="D1509" t="s">
        <v>32</v>
      </c>
      <c r="E1509" s="1">
        <v>45209</v>
      </c>
      <c r="F1509" s="1">
        <v>45216</v>
      </c>
      <c r="G1509">
        <v>15.5</v>
      </c>
      <c r="H1509">
        <v>303.18</v>
      </c>
      <c r="I1509" t="s">
        <v>15</v>
      </c>
      <c r="J1509">
        <v>2200</v>
      </c>
      <c r="K1509">
        <v>7</v>
      </c>
      <c r="L1509" t="str">
        <f>IF(logistics_data[[#This Row],[Delivery_Date]]="","In Transit",
 IF(logistics_data[[#This Row],[Status]]="Lost","Lost",
 IF(logistics_data[[#This Row],[Status]]="Returned","Returned",
 IF(logistics_data[[#This Row],[Status]]="Delayed","Delayed",
 "Delivered"))))</f>
        <v>Delivered</v>
      </c>
      <c r="M1509" s="2">
        <f>logistics_data[[#This Row],[Cost]]/logistics_data[[#This Row],[Distance_miles]]</f>
        <v>0.13780909090909091</v>
      </c>
      <c r="N1509" t="str">
        <f>IF(logistics_data[[#This Row],[Orginal staus of shipment]]&lt;&gt;"Delivered","not applicabel", IF(logistics_data[[#This Row],[Transit_Days]]&gt;=5,"slow","fast"))</f>
        <v>slow</v>
      </c>
    </row>
    <row r="1510" spans="1:14" x14ac:dyDescent="0.3">
      <c r="A1510" t="s">
        <v>1556</v>
      </c>
      <c r="B1510" t="s">
        <v>56</v>
      </c>
      <c r="C1510" t="s">
        <v>52</v>
      </c>
      <c r="D1510" t="s">
        <v>25</v>
      </c>
      <c r="E1510" s="1">
        <v>45288</v>
      </c>
      <c r="F1510" s="1">
        <v>45293</v>
      </c>
      <c r="G1510">
        <v>6.8</v>
      </c>
      <c r="H1510">
        <v>343.72</v>
      </c>
      <c r="I1510" t="s">
        <v>15</v>
      </c>
      <c r="J1510">
        <v>2246</v>
      </c>
      <c r="K1510">
        <v>5</v>
      </c>
      <c r="L1510" t="str">
        <f>IF(logistics_data[[#This Row],[Delivery_Date]]="","In Transit",
 IF(logistics_data[[#This Row],[Status]]="Lost","Lost",
 IF(logistics_data[[#This Row],[Status]]="Returned","Returned",
 IF(logistics_data[[#This Row],[Status]]="Delayed","Delayed",
 "Delivered"))))</f>
        <v>Delivered</v>
      </c>
      <c r="M1510" s="2">
        <f>logistics_data[[#This Row],[Cost]]/logistics_data[[#This Row],[Distance_miles]]</f>
        <v>0.1530365093499555</v>
      </c>
      <c r="N1510" t="str">
        <f>IF(logistics_data[[#This Row],[Orginal staus of shipment]]&lt;&gt;"Delivered","not applicabel", IF(logistics_data[[#This Row],[Transit_Days]]&gt;=5,"slow","fast"))</f>
        <v>slow</v>
      </c>
    </row>
    <row r="1511" spans="1:14" x14ac:dyDescent="0.3">
      <c r="A1511" t="s">
        <v>1557</v>
      </c>
      <c r="B1511" t="s">
        <v>39</v>
      </c>
      <c r="C1511" t="s">
        <v>46</v>
      </c>
      <c r="D1511" t="s">
        <v>14</v>
      </c>
      <c r="E1511" s="1">
        <v>45222</v>
      </c>
      <c r="F1511" s="1">
        <v>45223</v>
      </c>
      <c r="G1511">
        <v>40.9</v>
      </c>
      <c r="H1511">
        <v>86.69</v>
      </c>
      <c r="I1511" t="s">
        <v>15</v>
      </c>
      <c r="J1511">
        <v>295</v>
      </c>
      <c r="K1511">
        <v>1</v>
      </c>
      <c r="L1511" t="str">
        <f>IF(logistics_data[[#This Row],[Delivery_Date]]="","In Transit",
 IF(logistics_data[[#This Row],[Status]]="Lost","Lost",
 IF(logistics_data[[#This Row],[Status]]="Returned","Returned",
 IF(logistics_data[[#This Row],[Status]]="Delayed","Delayed",
 "Delivered"))))</f>
        <v>Delivered</v>
      </c>
      <c r="M1511" s="2">
        <f>logistics_data[[#This Row],[Cost]]/logistics_data[[#This Row],[Distance_miles]]</f>
        <v>0.29386440677966102</v>
      </c>
      <c r="N1511" t="str">
        <f>IF(logistics_data[[#This Row],[Orginal staus of shipment]]&lt;&gt;"Delivered","not applicabel", IF(logistics_data[[#This Row],[Transit_Days]]&gt;=5,"slow","fast"))</f>
        <v>fast</v>
      </c>
    </row>
    <row r="1512" spans="1:14" x14ac:dyDescent="0.3">
      <c r="A1512" t="s">
        <v>1558</v>
      </c>
      <c r="B1512" t="s">
        <v>30</v>
      </c>
      <c r="C1512" t="s">
        <v>44</v>
      </c>
      <c r="D1512" t="s">
        <v>42</v>
      </c>
      <c r="E1512" s="1">
        <v>45027</v>
      </c>
      <c r="F1512" s="1">
        <v>45034</v>
      </c>
      <c r="G1512">
        <v>13.9</v>
      </c>
      <c r="H1512">
        <v>302.88</v>
      </c>
      <c r="I1512" t="s">
        <v>62</v>
      </c>
      <c r="J1512">
        <v>2212</v>
      </c>
      <c r="K1512">
        <v>7</v>
      </c>
      <c r="L1512" t="str">
        <f>IF(logistics_data[[#This Row],[Delivery_Date]]="","In Transit",
 IF(logistics_data[[#This Row],[Status]]="Lost","Lost",
 IF(logistics_data[[#This Row],[Status]]="Returned","Returned",
 IF(logistics_data[[#This Row],[Status]]="Delayed","Delayed",
 "Delivered"))))</f>
        <v>Delivered</v>
      </c>
      <c r="M1512" s="2">
        <f>logistics_data[[#This Row],[Cost]]/logistics_data[[#This Row],[Distance_miles]]</f>
        <v>0.1369258589511754</v>
      </c>
      <c r="N1512" t="str">
        <f>IF(logistics_data[[#This Row],[Orginal staus of shipment]]&lt;&gt;"Delivered","not applicabel", IF(logistics_data[[#This Row],[Transit_Days]]&gt;=5,"slow","fast"))</f>
        <v>slow</v>
      </c>
    </row>
    <row r="1513" spans="1:14" x14ac:dyDescent="0.3">
      <c r="A1513" t="s">
        <v>1559</v>
      </c>
      <c r="B1513" t="s">
        <v>20</v>
      </c>
      <c r="C1513" t="s">
        <v>31</v>
      </c>
      <c r="D1513" t="s">
        <v>14</v>
      </c>
      <c r="E1513" s="1">
        <v>45074</v>
      </c>
      <c r="F1513" s="1">
        <v>45076</v>
      </c>
      <c r="G1513">
        <v>29.3</v>
      </c>
      <c r="H1513">
        <v>95.51</v>
      </c>
      <c r="I1513" t="s">
        <v>15</v>
      </c>
      <c r="J1513">
        <v>458</v>
      </c>
      <c r="K1513">
        <v>2</v>
      </c>
      <c r="L1513" t="str">
        <f>IF(logistics_data[[#This Row],[Delivery_Date]]="","In Transit",
 IF(logistics_data[[#This Row],[Status]]="Lost","Lost",
 IF(logistics_data[[#This Row],[Status]]="Returned","Returned",
 IF(logistics_data[[#This Row],[Status]]="Delayed","Delayed",
 "Delivered"))))</f>
        <v>Delivered</v>
      </c>
      <c r="M1513" s="2">
        <f>logistics_data[[#This Row],[Cost]]/logistics_data[[#This Row],[Distance_miles]]</f>
        <v>0.20853711790393015</v>
      </c>
      <c r="N1513" t="str">
        <f>IF(logistics_data[[#This Row],[Orginal staus of shipment]]&lt;&gt;"Delivered","not applicabel", IF(logistics_data[[#This Row],[Transit_Days]]&gt;=5,"slow","fast"))</f>
        <v>fast</v>
      </c>
    </row>
    <row r="1514" spans="1:14" x14ac:dyDescent="0.3">
      <c r="A1514" t="s">
        <v>1560</v>
      </c>
      <c r="B1514" t="s">
        <v>30</v>
      </c>
      <c r="C1514" t="s">
        <v>40</v>
      </c>
      <c r="D1514" t="s">
        <v>42</v>
      </c>
      <c r="E1514" s="1">
        <v>45157</v>
      </c>
      <c r="F1514" s="1">
        <v>45167</v>
      </c>
      <c r="G1514">
        <v>23.9</v>
      </c>
      <c r="H1514">
        <v>321.25</v>
      </c>
      <c r="I1514" t="s">
        <v>47</v>
      </c>
      <c r="J1514">
        <v>2386</v>
      </c>
      <c r="K1514">
        <v>5</v>
      </c>
      <c r="L1514" t="str">
        <f>IF(logistics_data[[#This Row],[Delivery_Date]]="","In Transit",
 IF(logistics_data[[#This Row],[Status]]="Lost","Lost",
 IF(logistics_data[[#This Row],[Status]]="Returned","Returned",
 IF(logistics_data[[#This Row],[Status]]="Delayed","Delayed",
 "Delivered"))))</f>
        <v>Delayed</v>
      </c>
      <c r="M1514" s="2">
        <f>logistics_data[[#This Row],[Cost]]/logistics_data[[#This Row],[Distance_miles]]</f>
        <v>0.134639564124057</v>
      </c>
      <c r="N1514" t="str">
        <f>IF(logistics_data[[#This Row],[Orginal staus of shipment]]&lt;&gt;"Delivered","not applicabel", IF(logistics_data[[#This Row],[Transit_Days]]&gt;=5,"slow","fast"))</f>
        <v>not applicabel</v>
      </c>
    </row>
    <row r="1515" spans="1:14" x14ac:dyDescent="0.3">
      <c r="A1515" t="s">
        <v>1561</v>
      </c>
      <c r="B1515" t="s">
        <v>23</v>
      </c>
      <c r="C1515" t="s">
        <v>54</v>
      </c>
      <c r="D1515" t="s">
        <v>37</v>
      </c>
      <c r="E1515" s="1">
        <v>44976</v>
      </c>
      <c r="F1515" s="1">
        <v>44980</v>
      </c>
      <c r="G1515">
        <v>48.5</v>
      </c>
      <c r="H1515">
        <v>220.96</v>
      </c>
      <c r="I1515" t="s">
        <v>15</v>
      </c>
      <c r="J1515">
        <v>1396</v>
      </c>
      <c r="K1515">
        <v>4</v>
      </c>
      <c r="L1515" t="str">
        <f>IF(logistics_data[[#This Row],[Delivery_Date]]="","In Transit",
 IF(logistics_data[[#This Row],[Status]]="Lost","Lost",
 IF(logistics_data[[#This Row],[Status]]="Returned","Returned",
 IF(logistics_data[[#This Row],[Status]]="Delayed","Delayed",
 "Delivered"))))</f>
        <v>Delivered</v>
      </c>
      <c r="M1515" s="2">
        <f>logistics_data[[#This Row],[Cost]]/logistics_data[[#This Row],[Distance_miles]]</f>
        <v>0.15828080229226363</v>
      </c>
      <c r="N1515" t="str">
        <f>IF(logistics_data[[#This Row],[Orginal staus of shipment]]&lt;&gt;"Delivered","not applicabel", IF(logistics_data[[#This Row],[Transit_Days]]&gt;=5,"slow","fast"))</f>
        <v>fast</v>
      </c>
    </row>
    <row r="1516" spans="1:14" x14ac:dyDescent="0.3">
      <c r="A1516" t="s">
        <v>1562</v>
      </c>
      <c r="B1516" t="s">
        <v>35</v>
      </c>
      <c r="C1516" t="s">
        <v>52</v>
      </c>
      <c r="D1516" t="s">
        <v>25</v>
      </c>
      <c r="E1516" s="1">
        <v>45275</v>
      </c>
      <c r="F1516" s="1">
        <v>45280</v>
      </c>
      <c r="G1516">
        <v>39.700000000000003</v>
      </c>
      <c r="H1516">
        <v>186.77</v>
      </c>
      <c r="I1516" t="s">
        <v>15</v>
      </c>
      <c r="J1516">
        <v>890</v>
      </c>
      <c r="K1516">
        <v>5</v>
      </c>
      <c r="L1516" t="str">
        <f>IF(logistics_data[[#This Row],[Delivery_Date]]="","In Transit",
 IF(logistics_data[[#This Row],[Status]]="Lost","Lost",
 IF(logistics_data[[#This Row],[Status]]="Returned","Returned",
 IF(logistics_data[[#This Row],[Status]]="Delayed","Delayed",
 "Delivered"))))</f>
        <v>Delivered</v>
      </c>
      <c r="M1516" s="2">
        <f>logistics_data[[#This Row],[Cost]]/logistics_data[[#This Row],[Distance_miles]]</f>
        <v>0.20985393258426968</v>
      </c>
      <c r="N1516" t="str">
        <f>IF(logistics_data[[#This Row],[Orginal staus of shipment]]&lt;&gt;"Delivered","not applicabel", IF(logistics_data[[#This Row],[Transit_Days]]&gt;=5,"slow","fast"))</f>
        <v>slow</v>
      </c>
    </row>
    <row r="1517" spans="1:14" x14ac:dyDescent="0.3">
      <c r="A1517" t="s">
        <v>1563</v>
      </c>
      <c r="B1517" t="s">
        <v>39</v>
      </c>
      <c r="C1517" t="s">
        <v>31</v>
      </c>
      <c r="D1517" t="s">
        <v>37</v>
      </c>
      <c r="E1517" s="1">
        <v>45044</v>
      </c>
      <c r="F1517" s="1">
        <v>45050</v>
      </c>
      <c r="G1517">
        <v>27.7</v>
      </c>
      <c r="H1517">
        <v>131.18</v>
      </c>
      <c r="I1517" t="s">
        <v>47</v>
      </c>
      <c r="J1517">
        <v>916</v>
      </c>
      <c r="K1517">
        <v>3</v>
      </c>
      <c r="L1517" t="str">
        <f>IF(logistics_data[[#This Row],[Delivery_Date]]="","In Transit",
 IF(logistics_data[[#This Row],[Status]]="Lost","Lost",
 IF(logistics_data[[#This Row],[Status]]="Returned","Returned",
 IF(logistics_data[[#This Row],[Status]]="Delayed","Delayed",
 "Delivered"))))</f>
        <v>Delayed</v>
      </c>
      <c r="M1517" s="2">
        <f>logistics_data[[#This Row],[Cost]]/logistics_data[[#This Row],[Distance_miles]]</f>
        <v>0.14320960698689958</v>
      </c>
      <c r="N1517" t="str">
        <f>IF(logistics_data[[#This Row],[Orginal staus of shipment]]&lt;&gt;"Delivered","not applicabel", IF(logistics_data[[#This Row],[Transit_Days]]&gt;=5,"slow","fast"))</f>
        <v>not applicabel</v>
      </c>
    </row>
    <row r="1518" spans="1:14" x14ac:dyDescent="0.3">
      <c r="A1518" t="s">
        <v>1564</v>
      </c>
      <c r="B1518" t="s">
        <v>27</v>
      </c>
      <c r="C1518" t="s">
        <v>44</v>
      </c>
      <c r="D1518" t="s">
        <v>42</v>
      </c>
      <c r="E1518" s="1">
        <v>45132</v>
      </c>
      <c r="F1518" s="1">
        <v>45134</v>
      </c>
      <c r="G1518">
        <v>18.8</v>
      </c>
      <c r="H1518">
        <v>80.05</v>
      </c>
      <c r="I1518" t="s">
        <v>15</v>
      </c>
      <c r="J1518">
        <v>496</v>
      </c>
      <c r="K1518">
        <v>2</v>
      </c>
      <c r="L1518" t="str">
        <f>IF(logistics_data[[#This Row],[Delivery_Date]]="","In Transit",
 IF(logistics_data[[#This Row],[Status]]="Lost","Lost",
 IF(logistics_data[[#This Row],[Status]]="Returned","Returned",
 IF(logistics_data[[#This Row],[Status]]="Delayed","Delayed",
 "Delivered"))))</f>
        <v>Delivered</v>
      </c>
      <c r="M1518" s="2">
        <f>logistics_data[[#This Row],[Cost]]/logistics_data[[#This Row],[Distance_miles]]</f>
        <v>0.16139112903225805</v>
      </c>
      <c r="N1518" t="str">
        <f>IF(logistics_data[[#This Row],[Orginal staus of shipment]]&lt;&gt;"Delivered","not applicabel", IF(logistics_data[[#This Row],[Transit_Days]]&gt;=5,"slow","fast"))</f>
        <v>fast</v>
      </c>
    </row>
    <row r="1519" spans="1:14" x14ac:dyDescent="0.3">
      <c r="A1519" t="s">
        <v>1565</v>
      </c>
      <c r="B1519" t="s">
        <v>51</v>
      </c>
      <c r="C1519" t="s">
        <v>13</v>
      </c>
      <c r="D1519" t="s">
        <v>59</v>
      </c>
      <c r="E1519" s="1">
        <v>45187</v>
      </c>
      <c r="F1519" s="1">
        <v>45196</v>
      </c>
      <c r="G1519">
        <v>9.6999999999999993</v>
      </c>
      <c r="H1519">
        <v>284.70999999999998</v>
      </c>
      <c r="I1519" t="s">
        <v>15</v>
      </c>
      <c r="J1519">
        <v>2488</v>
      </c>
      <c r="K1519">
        <v>9</v>
      </c>
      <c r="L1519" t="str">
        <f>IF(logistics_data[[#This Row],[Delivery_Date]]="","In Transit",
 IF(logistics_data[[#This Row],[Status]]="Lost","Lost",
 IF(logistics_data[[#This Row],[Status]]="Returned","Returned",
 IF(logistics_data[[#This Row],[Status]]="Delayed","Delayed",
 "Delivered"))))</f>
        <v>Delivered</v>
      </c>
      <c r="M1519" s="2">
        <f>logistics_data[[#This Row],[Cost]]/logistics_data[[#This Row],[Distance_miles]]</f>
        <v>0.11443327974276526</v>
      </c>
      <c r="N1519" t="str">
        <f>IF(logistics_data[[#This Row],[Orginal staus of shipment]]&lt;&gt;"Delivered","not applicabel", IF(logistics_data[[#This Row],[Transit_Days]]&gt;=5,"slow","fast"))</f>
        <v>slow</v>
      </c>
    </row>
    <row r="1520" spans="1:14" x14ac:dyDescent="0.3">
      <c r="A1520" t="s">
        <v>1566</v>
      </c>
      <c r="B1520" t="s">
        <v>23</v>
      </c>
      <c r="C1520" t="s">
        <v>28</v>
      </c>
      <c r="D1520" t="s">
        <v>18</v>
      </c>
      <c r="E1520" s="1">
        <v>45093</v>
      </c>
      <c r="F1520" s="1">
        <v>45097</v>
      </c>
      <c r="G1520">
        <v>34.9</v>
      </c>
      <c r="H1520">
        <v>261.45</v>
      </c>
      <c r="I1520" t="s">
        <v>15</v>
      </c>
      <c r="J1520">
        <v>1507</v>
      </c>
      <c r="K1520">
        <v>4</v>
      </c>
      <c r="L1520" t="str">
        <f>IF(logistics_data[[#This Row],[Delivery_Date]]="","In Transit",
 IF(logistics_data[[#This Row],[Status]]="Lost","Lost",
 IF(logistics_data[[#This Row],[Status]]="Returned","Returned",
 IF(logistics_data[[#This Row],[Status]]="Delayed","Delayed",
 "Delivered"))))</f>
        <v>Delivered</v>
      </c>
      <c r="M1520" s="2">
        <f>logistics_data[[#This Row],[Cost]]/logistics_data[[#This Row],[Distance_miles]]</f>
        <v>0.17349037823490376</v>
      </c>
      <c r="N1520" t="str">
        <f>IF(logistics_data[[#This Row],[Orginal staus of shipment]]&lt;&gt;"Delivered","not applicabel", IF(logistics_data[[#This Row],[Transit_Days]]&gt;=5,"slow","fast"))</f>
        <v>fast</v>
      </c>
    </row>
    <row r="1521" spans="1:14" x14ac:dyDescent="0.3">
      <c r="A1521" t="s">
        <v>1567</v>
      </c>
      <c r="B1521" t="s">
        <v>56</v>
      </c>
      <c r="C1521" t="s">
        <v>36</v>
      </c>
      <c r="D1521" t="s">
        <v>42</v>
      </c>
      <c r="E1521" s="1">
        <v>45285</v>
      </c>
      <c r="F1521" s="1">
        <v>45286</v>
      </c>
      <c r="G1521">
        <v>22.3</v>
      </c>
      <c r="I1521" t="s">
        <v>15</v>
      </c>
      <c r="J1521">
        <v>148</v>
      </c>
      <c r="K1521">
        <v>1</v>
      </c>
      <c r="L1521" t="str">
        <f>IF(logistics_data[[#This Row],[Delivery_Date]]="","In Transit",
 IF(logistics_data[[#This Row],[Status]]="Lost","Lost",
 IF(logistics_data[[#This Row],[Status]]="Returned","Returned",
 IF(logistics_data[[#This Row],[Status]]="Delayed","Delayed",
 "Delivered"))))</f>
        <v>Delivered</v>
      </c>
      <c r="M1521" s="2">
        <f>logistics_data[[#This Row],[Cost]]/logistics_data[[#This Row],[Distance_miles]]</f>
        <v>0</v>
      </c>
      <c r="N1521" t="str">
        <f>IF(logistics_data[[#This Row],[Orginal staus of shipment]]&lt;&gt;"Delivered","not applicabel", IF(logistics_data[[#This Row],[Transit_Days]]&gt;=5,"slow","fast"))</f>
        <v>fast</v>
      </c>
    </row>
    <row r="1522" spans="1:14" x14ac:dyDescent="0.3">
      <c r="A1522" t="s">
        <v>1568</v>
      </c>
      <c r="B1522" t="s">
        <v>39</v>
      </c>
      <c r="C1522" t="s">
        <v>28</v>
      </c>
      <c r="D1522" t="s">
        <v>37</v>
      </c>
      <c r="E1522" s="1">
        <v>45077</v>
      </c>
      <c r="F1522" s="1">
        <v>45079</v>
      </c>
      <c r="G1522">
        <v>28.2</v>
      </c>
      <c r="H1522">
        <v>103.67</v>
      </c>
      <c r="I1522" t="s">
        <v>15</v>
      </c>
      <c r="J1522">
        <v>599</v>
      </c>
      <c r="K1522">
        <v>2</v>
      </c>
      <c r="L1522" t="str">
        <f>IF(logistics_data[[#This Row],[Delivery_Date]]="","In Transit",
 IF(logistics_data[[#This Row],[Status]]="Lost","Lost",
 IF(logistics_data[[#This Row],[Status]]="Returned","Returned",
 IF(logistics_data[[#This Row],[Status]]="Delayed","Delayed",
 "Delivered"))))</f>
        <v>Delivered</v>
      </c>
      <c r="M1522" s="2">
        <f>logistics_data[[#This Row],[Cost]]/logistics_data[[#This Row],[Distance_miles]]</f>
        <v>0.17307178631051753</v>
      </c>
      <c r="N1522" t="str">
        <f>IF(logistics_data[[#This Row],[Orginal staus of shipment]]&lt;&gt;"Delivered","not applicabel", IF(logistics_data[[#This Row],[Transit_Days]]&gt;=5,"slow","fast"))</f>
        <v>fast</v>
      </c>
    </row>
    <row r="1523" spans="1:14" x14ac:dyDescent="0.3">
      <c r="A1523" t="s">
        <v>1569</v>
      </c>
      <c r="B1523" t="s">
        <v>56</v>
      </c>
      <c r="C1523" t="s">
        <v>81</v>
      </c>
      <c r="D1523" t="s">
        <v>18</v>
      </c>
      <c r="E1523" s="1">
        <v>45147</v>
      </c>
      <c r="F1523" s="1">
        <v>45148</v>
      </c>
      <c r="G1523">
        <v>11.4</v>
      </c>
      <c r="H1523">
        <v>44.4</v>
      </c>
      <c r="I1523" t="s">
        <v>15</v>
      </c>
      <c r="J1523">
        <v>234</v>
      </c>
      <c r="K1523">
        <v>1</v>
      </c>
      <c r="L1523" t="str">
        <f>IF(logistics_data[[#This Row],[Delivery_Date]]="","In Transit",
 IF(logistics_data[[#This Row],[Status]]="Lost","Lost",
 IF(logistics_data[[#This Row],[Status]]="Returned","Returned",
 IF(logistics_data[[#This Row],[Status]]="Delayed","Delayed",
 "Delivered"))))</f>
        <v>Delivered</v>
      </c>
      <c r="M1523" s="2">
        <f>logistics_data[[#This Row],[Cost]]/logistics_data[[#This Row],[Distance_miles]]</f>
        <v>0.18974358974358974</v>
      </c>
      <c r="N1523" t="str">
        <f>IF(logistics_data[[#This Row],[Orginal staus of shipment]]&lt;&gt;"Delivered","not applicabel", IF(logistics_data[[#This Row],[Transit_Days]]&gt;=5,"slow","fast"))</f>
        <v>fast</v>
      </c>
    </row>
    <row r="1524" spans="1:14" x14ac:dyDescent="0.3">
      <c r="A1524" t="s">
        <v>1570</v>
      </c>
      <c r="B1524" t="s">
        <v>27</v>
      </c>
      <c r="C1524" t="s">
        <v>13</v>
      </c>
      <c r="D1524" t="s">
        <v>18</v>
      </c>
      <c r="E1524" s="1">
        <v>45077</v>
      </c>
      <c r="F1524" s="1">
        <v>45085</v>
      </c>
      <c r="G1524">
        <v>10.8</v>
      </c>
      <c r="H1524">
        <v>271.64</v>
      </c>
      <c r="I1524" t="s">
        <v>15</v>
      </c>
      <c r="J1524">
        <v>1974</v>
      </c>
      <c r="K1524">
        <v>8</v>
      </c>
      <c r="L1524" t="str">
        <f>IF(logistics_data[[#This Row],[Delivery_Date]]="","In Transit",
 IF(logistics_data[[#This Row],[Status]]="Lost","Lost",
 IF(logistics_data[[#This Row],[Status]]="Returned","Returned",
 IF(logistics_data[[#This Row],[Status]]="Delayed","Delayed",
 "Delivered"))))</f>
        <v>Delivered</v>
      </c>
      <c r="M1524" s="2">
        <f>logistics_data[[#This Row],[Cost]]/logistics_data[[#This Row],[Distance_miles]]</f>
        <v>0.13760891590678825</v>
      </c>
      <c r="N1524" t="str">
        <f>IF(logistics_data[[#This Row],[Orginal staus of shipment]]&lt;&gt;"Delivered","not applicabel", IF(logistics_data[[#This Row],[Transit_Days]]&gt;=5,"slow","fast"))</f>
        <v>slow</v>
      </c>
    </row>
    <row r="1525" spans="1:14" x14ac:dyDescent="0.3">
      <c r="A1525" t="s">
        <v>1571</v>
      </c>
      <c r="B1525" t="s">
        <v>35</v>
      </c>
      <c r="C1525" t="s">
        <v>13</v>
      </c>
      <c r="D1525" t="s">
        <v>37</v>
      </c>
      <c r="E1525" s="1">
        <v>45163</v>
      </c>
      <c r="F1525" s="1">
        <v>45169</v>
      </c>
      <c r="G1525">
        <v>12.2</v>
      </c>
      <c r="H1525">
        <v>259.25</v>
      </c>
      <c r="I1525" t="s">
        <v>15</v>
      </c>
      <c r="J1525">
        <v>2271</v>
      </c>
      <c r="K1525">
        <v>6</v>
      </c>
      <c r="L1525" t="str">
        <f>IF(logistics_data[[#This Row],[Delivery_Date]]="","In Transit",
 IF(logistics_data[[#This Row],[Status]]="Lost","Lost",
 IF(logistics_data[[#This Row],[Status]]="Returned","Returned",
 IF(logistics_data[[#This Row],[Status]]="Delayed","Delayed",
 "Delivered"))))</f>
        <v>Delivered</v>
      </c>
      <c r="M1525" s="2">
        <f>logistics_data[[#This Row],[Cost]]/logistics_data[[#This Row],[Distance_miles]]</f>
        <v>0.11415675913694408</v>
      </c>
      <c r="N1525" t="str">
        <f>IF(logistics_data[[#This Row],[Orginal staus of shipment]]&lt;&gt;"Delivered","not applicabel", IF(logistics_data[[#This Row],[Transit_Days]]&gt;=5,"slow","fast"))</f>
        <v>slow</v>
      </c>
    </row>
    <row r="1526" spans="1:14" x14ac:dyDescent="0.3">
      <c r="A1526" t="s">
        <v>1572</v>
      </c>
      <c r="B1526" t="s">
        <v>27</v>
      </c>
      <c r="C1526" t="s">
        <v>54</v>
      </c>
      <c r="D1526" t="s">
        <v>32</v>
      </c>
      <c r="E1526" s="1">
        <v>45167</v>
      </c>
      <c r="F1526" s="1">
        <v>45171</v>
      </c>
      <c r="G1526">
        <v>22.8</v>
      </c>
      <c r="H1526">
        <v>221.62</v>
      </c>
      <c r="I1526" t="s">
        <v>67</v>
      </c>
      <c r="J1526">
        <v>1599</v>
      </c>
      <c r="K1526">
        <v>4</v>
      </c>
      <c r="L1526" t="str">
        <f>IF(logistics_data[[#This Row],[Delivery_Date]]="","In Transit",
 IF(logistics_data[[#This Row],[Status]]="Lost","Lost",
 IF(logistics_data[[#This Row],[Status]]="Returned","Returned",
 IF(logistics_data[[#This Row],[Status]]="Delayed","Delayed",
 "Delivered"))))</f>
        <v>Returned</v>
      </c>
      <c r="M1526" s="2">
        <f>logistics_data[[#This Row],[Cost]]/logistics_data[[#This Row],[Distance_miles]]</f>
        <v>0.138599124452783</v>
      </c>
      <c r="N1526" t="str">
        <f>IF(logistics_data[[#This Row],[Orginal staus of shipment]]&lt;&gt;"Delivered","not applicabel", IF(logistics_data[[#This Row],[Transit_Days]]&gt;=5,"slow","fast"))</f>
        <v>not applicabel</v>
      </c>
    </row>
    <row r="1527" spans="1:14" x14ac:dyDescent="0.3">
      <c r="A1527" t="s">
        <v>1573</v>
      </c>
      <c r="B1527" t="s">
        <v>35</v>
      </c>
      <c r="C1527" t="s">
        <v>57</v>
      </c>
      <c r="D1527" t="s">
        <v>18</v>
      </c>
      <c r="E1527" s="1">
        <v>45094</v>
      </c>
      <c r="F1527" s="1">
        <v>45099</v>
      </c>
      <c r="G1527">
        <v>15.1</v>
      </c>
      <c r="H1527">
        <v>142.08000000000001</v>
      </c>
      <c r="I1527" t="s">
        <v>15</v>
      </c>
      <c r="J1527">
        <v>977</v>
      </c>
      <c r="K1527">
        <v>5</v>
      </c>
      <c r="L1527" t="str">
        <f>IF(logistics_data[[#This Row],[Delivery_Date]]="","In Transit",
 IF(logistics_data[[#This Row],[Status]]="Lost","Lost",
 IF(logistics_data[[#This Row],[Status]]="Returned","Returned",
 IF(logistics_data[[#This Row],[Status]]="Delayed","Delayed",
 "Delivered"))))</f>
        <v>Delivered</v>
      </c>
      <c r="M1527" s="2">
        <f>logistics_data[[#This Row],[Cost]]/logistics_data[[#This Row],[Distance_miles]]</f>
        <v>0.145424769703173</v>
      </c>
      <c r="N1527" t="str">
        <f>IF(logistics_data[[#This Row],[Orginal staus of shipment]]&lt;&gt;"Delivered","not applicabel", IF(logistics_data[[#This Row],[Transit_Days]]&gt;=5,"slow","fast"))</f>
        <v>slow</v>
      </c>
    </row>
    <row r="1528" spans="1:14" x14ac:dyDescent="0.3">
      <c r="A1528" t="s">
        <v>1574</v>
      </c>
      <c r="B1528" t="s">
        <v>51</v>
      </c>
      <c r="C1528" t="s">
        <v>81</v>
      </c>
      <c r="D1528" t="s">
        <v>37</v>
      </c>
      <c r="E1528" s="1">
        <v>45202</v>
      </c>
      <c r="F1528" s="1">
        <v>45205</v>
      </c>
      <c r="G1528">
        <v>11.3</v>
      </c>
      <c r="H1528">
        <v>154.44999999999999</v>
      </c>
      <c r="I1528" t="s">
        <v>15</v>
      </c>
      <c r="J1528">
        <v>1311</v>
      </c>
      <c r="K1528">
        <v>3</v>
      </c>
      <c r="L1528" t="str">
        <f>IF(logistics_data[[#This Row],[Delivery_Date]]="","In Transit",
 IF(logistics_data[[#This Row],[Status]]="Lost","Lost",
 IF(logistics_data[[#This Row],[Status]]="Returned","Returned",
 IF(logistics_data[[#This Row],[Status]]="Delayed","Delayed",
 "Delivered"))))</f>
        <v>Delivered</v>
      </c>
      <c r="M1528" s="2">
        <f>logistics_data[[#This Row],[Cost]]/logistics_data[[#This Row],[Distance_miles]]</f>
        <v>0.11781083142639207</v>
      </c>
      <c r="N1528" t="str">
        <f>IF(logistics_data[[#This Row],[Orginal staus of shipment]]&lt;&gt;"Delivered","not applicabel", IF(logistics_data[[#This Row],[Transit_Days]]&gt;=5,"slow","fast"))</f>
        <v>fast</v>
      </c>
    </row>
    <row r="1529" spans="1:14" x14ac:dyDescent="0.3">
      <c r="A1529" t="s">
        <v>1575</v>
      </c>
      <c r="B1529" t="s">
        <v>35</v>
      </c>
      <c r="C1529" t="s">
        <v>70</v>
      </c>
      <c r="D1529" t="s">
        <v>37</v>
      </c>
      <c r="E1529" s="1">
        <v>45062</v>
      </c>
      <c r="F1529" s="1">
        <v>45064</v>
      </c>
      <c r="G1529">
        <v>64.7</v>
      </c>
      <c r="H1529">
        <v>105.03</v>
      </c>
      <c r="I1529" t="s">
        <v>15</v>
      </c>
      <c r="J1529">
        <v>268</v>
      </c>
      <c r="K1529">
        <v>2</v>
      </c>
      <c r="L1529" t="str">
        <f>IF(logistics_data[[#This Row],[Delivery_Date]]="","In Transit",
 IF(logistics_data[[#This Row],[Status]]="Lost","Lost",
 IF(logistics_data[[#This Row],[Status]]="Returned","Returned",
 IF(logistics_data[[#This Row],[Status]]="Delayed","Delayed",
 "Delivered"))))</f>
        <v>Delivered</v>
      </c>
      <c r="M1529" s="2">
        <f>logistics_data[[#This Row],[Cost]]/logistics_data[[#This Row],[Distance_miles]]</f>
        <v>0.3919029850746269</v>
      </c>
      <c r="N1529" t="str">
        <f>IF(logistics_data[[#This Row],[Orginal staus of shipment]]&lt;&gt;"Delivered","not applicabel", IF(logistics_data[[#This Row],[Transit_Days]]&gt;=5,"slow","fast"))</f>
        <v>fast</v>
      </c>
    </row>
    <row r="1530" spans="1:14" x14ac:dyDescent="0.3">
      <c r="A1530" t="s">
        <v>1576</v>
      </c>
      <c r="B1530" t="s">
        <v>56</v>
      </c>
      <c r="C1530" t="s">
        <v>13</v>
      </c>
      <c r="D1530" t="s">
        <v>59</v>
      </c>
      <c r="E1530" s="1">
        <v>45194</v>
      </c>
      <c r="F1530" s="1">
        <v>45198</v>
      </c>
      <c r="G1530">
        <v>64.8</v>
      </c>
      <c r="H1530">
        <v>258.52</v>
      </c>
      <c r="I1530" t="s">
        <v>15</v>
      </c>
      <c r="J1530">
        <v>1466</v>
      </c>
      <c r="K1530">
        <v>4</v>
      </c>
      <c r="L1530" t="str">
        <f>IF(logistics_data[[#This Row],[Delivery_Date]]="","In Transit",
 IF(logistics_data[[#This Row],[Status]]="Lost","Lost",
 IF(logistics_data[[#This Row],[Status]]="Returned","Returned",
 IF(logistics_data[[#This Row],[Status]]="Delayed","Delayed",
 "Delivered"))))</f>
        <v>Delivered</v>
      </c>
      <c r="M1530" s="2">
        <f>logistics_data[[#This Row],[Cost]]/logistics_data[[#This Row],[Distance_miles]]</f>
        <v>0.176343792633015</v>
      </c>
      <c r="N1530" t="str">
        <f>IF(logistics_data[[#This Row],[Orginal staus of shipment]]&lt;&gt;"Delivered","not applicabel", IF(logistics_data[[#This Row],[Transit_Days]]&gt;=5,"slow","fast"))</f>
        <v>fast</v>
      </c>
    </row>
    <row r="1531" spans="1:14" x14ac:dyDescent="0.3">
      <c r="A1531" t="s">
        <v>1577</v>
      </c>
      <c r="B1531" t="s">
        <v>30</v>
      </c>
      <c r="C1531" t="s">
        <v>44</v>
      </c>
      <c r="D1531" t="s">
        <v>18</v>
      </c>
      <c r="E1531" s="1">
        <v>44988</v>
      </c>
      <c r="F1531" s="1">
        <v>44997</v>
      </c>
      <c r="G1531">
        <v>21.2</v>
      </c>
      <c r="H1531">
        <v>312.87</v>
      </c>
      <c r="I1531" t="s">
        <v>15</v>
      </c>
      <c r="J1531">
        <v>2181</v>
      </c>
      <c r="K1531">
        <v>9</v>
      </c>
      <c r="L1531" t="str">
        <f>IF(logistics_data[[#This Row],[Delivery_Date]]="","In Transit",
 IF(logistics_data[[#This Row],[Status]]="Lost","Lost",
 IF(logistics_data[[#This Row],[Status]]="Returned","Returned",
 IF(logistics_data[[#This Row],[Status]]="Delayed","Delayed",
 "Delivered"))))</f>
        <v>Delivered</v>
      </c>
      <c r="M1531" s="2">
        <f>logistics_data[[#This Row],[Cost]]/logistics_data[[#This Row],[Distance_miles]]</f>
        <v>0.14345254470426411</v>
      </c>
      <c r="N1531" t="str">
        <f>IF(logistics_data[[#This Row],[Orginal staus of shipment]]&lt;&gt;"Delivered","not applicabel", IF(logistics_data[[#This Row],[Transit_Days]]&gt;=5,"slow","fast"))</f>
        <v>slow</v>
      </c>
    </row>
    <row r="1532" spans="1:14" x14ac:dyDescent="0.3">
      <c r="A1532" t="s">
        <v>1578</v>
      </c>
      <c r="B1532" t="s">
        <v>39</v>
      </c>
      <c r="C1532" t="s">
        <v>21</v>
      </c>
      <c r="D1532" t="s">
        <v>25</v>
      </c>
      <c r="E1532" s="1">
        <v>44932</v>
      </c>
      <c r="F1532" s="1">
        <v>44934</v>
      </c>
      <c r="G1532">
        <v>13.4</v>
      </c>
      <c r="H1532">
        <v>62.54</v>
      </c>
      <c r="I1532" t="s">
        <v>15</v>
      </c>
      <c r="J1532">
        <v>379</v>
      </c>
      <c r="K1532">
        <v>2</v>
      </c>
      <c r="L1532" t="str">
        <f>IF(logistics_data[[#This Row],[Delivery_Date]]="","In Transit",
 IF(logistics_data[[#This Row],[Status]]="Lost","Lost",
 IF(logistics_data[[#This Row],[Status]]="Returned","Returned",
 IF(logistics_data[[#This Row],[Status]]="Delayed","Delayed",
 "Delivered"))))</f>
        <v>Delivered</v>
      </c>
      <c r="M1532" s="2">
        <f>logistics_data[[#This Row],[Cost]]/logistics_data[[#This Row],[Distance_miles]]</f>
        <v>0.16501319261213721</v>
      </c>
      <c r="N1532" t="str">
        <f>IF(logistics_data[[#This Row],[Orginal staus of shipment]]&lt;&gt;"Delivered","not applicabel", IF(logistics_data[[#This Row],[Transit_Days]]&gt;=5,"slow","fast"))</f>
        <v>fast</v>
      </c>
    </row>
    <row r="1533" spans="1:14" x14ac:dyDescent="0.3">
      <c r="A1533" t="s">
        <v>1579</v>
      </c>
      <c r="B1533" t="s">
        <v>39</v>
      </c>
      <c r="C1533" t="s">
        <v>36</v>
      </c>
      <c r="D1533" t="s">
        <v>59</v>
      </c>
      <c r="E1533" s="1">
        <v>45230</v>
      </c>
      <c r="F1533" s="1">
        <v>45233</v>
      </c>
      <c r="G1533">
        <v>9.1999999999999993</v>
      </c>
      <c r="H1533">
        <v>22.1</v>
      </c>
      <c r="I1533" t="s">
        <v>15</v>
      </c>
      <c r="J1533">
        <v>123</v>
      </c>
      <c r="K1533">
        <v>3</v>
      </c>
      <c r="L1533" t="str">
        <f>IF(logistics_data[[#This Row],[Delivery_Date]]="","In Transit",
 IF(logistics_data[[#This Row],[Status]]="Lost","Lost",
 IF(logistics_data[[#This Row],[Status]]="Returned","Returned",
 IF(logistics_data[[#This Row],[Status]]="Delayed","Delayed",
 "Delivered"))))</f>
        <v>Delivered</v>
      </c>
      <c r="M1533" s="2">
        <f>logistics_data[[#This Row],[Cost]]/logistics_data[[#This Row],[Distance_miles]]</f>
        <v>0.17967479674796749</v>
      </c>
      <c r="N1533" t="str">
        <f>IF(logistics_data[[#This Row],[Orginal staus of shipment]]&lt;&gt;"Delivered","not applicabel", IF(logistics_data[[#This Row],[Transit_Days]]&gt;=5,"slow","fast"))</f>
        <v>fast</v>
      </c>
    </row>
    <row r="1534" spans="1:14" x14ac:dyDescent="0.3">
      <c r="A1534" t="s">
        <v>1580</v>
      </c>
      <c r="B1534" t="s">
        <v>27</v>
      </c>
      <c r="C1534" t="s">
        <v>21</v>
      </c>
      <c r="D1534" t="s">
        <v>42</v>
      </c>
      <c r="E1534" s="1">
        <v>45089</v>
      </c>
      <c r="F1534" s="1">
        <v>45092</v>
      </c>
      <c r="G1534">
        <v>35.4</v>
      </c>
      <c r="I1534" t="s">
        <v>15</v>
      </c>
      <c r="J1534">
        <v>1203</v>
      </c>
      <c r="K1534">
        <v>3</v>
      </c>
      <c r="L1534" t="str">
        <f>IF(logistics_data[[#This Row],[Delivery_Date]]="","In Transit",
 IF(logistics_data[[#This Row],[Status]]="Lost","Lost",
 IF(logistics_data[[#This Row],[Status]]="Returned","Returned",
 IF(logistics_data[[#This Row],[Status]]="Delayed","Delayed",
 "Delivered"))))</f>
        <v>Delivered</v>
      </c>
      <c r="M1534" s="2">
        <f>logistics_data[[#This Row],[Cost]]/logistics_data[[#This Row],[Distance_miles]]</f>
        <v>0</v>
      </c>
      <c r="N1534" t="str">
        <f>IF(logistics_data[[#This Row],[Orginal staus of shipment]]&lt;&gt;"Delivered","not applicabel", IF(logistics_data[[#This Row],[Transit_Days]]&gt;=5,"slow","fast"))</f>
        <v>fast</v>
      </c>
    </row>
    <row r="1535" spans="1:14" x14ac:dyDescent="0.3">
      <c r="A1535" t="s">
        <v>1581</v>
      </c>
      <c r="B1535" t="s">
        <v>30</v>
      </c>
      <c r="C1535" t="s">
        <v>52</v>
      </c>
      <c r="D1535" t="s">
        <v>59</v>
      </c>
      <c r="E1535" s="1">
        <v>45080</v>
      </c>
      <c r="F1535" s="1">
        <v>45083</v>
      </c>
      <c r="G1535">
        <v>41.9</v>
      </c>
      <c r="H1535">
        <v>108.73</v>
      </c>
      <c r="I1535" t="s">
        <v>15</v>
      </c>
      <c r="J1535">
        <v>501</v>
      </c>
      <c r="K1535">
        <v>3</v>
      </c>
      <c r="L1535" t="str">
        <f>IF(logistics_data[[#This Row],[Delivery_Date]]="","In Transit",
 IF(logistics_data[[#This Row],[Status]]="Lost","Lost",
 IF(logistics_data[[#This Row],[Status]]="Returned","Returned",
 IF(logistics_data[[#This Row],[Status]]="Delayed","Delayed",
 "Delivered"))))</f>
        <v>Delivered</v>
      </c>
      <c r="M1535" s="2">
        <f>logistics_data[[#This Row],[Cost]]/logistics_data[[#This Row],[Distance_miles]]</f>
        <v>0.21702594810379242</v>
      </c>
      <c r="N1535" t="str">
        <f>IF(logistics_data[[#This Row],[Orginal staus of shipment]]&lt;&gt;"Delivered","not applicabel", IF(logistics_data[[#This Row],[Transit_Days]]&gt;=5,"slow","fast"))</f>
        <v>fast</v>
      </c>
    </row>
    <row r="1536" spans="1:14" x14ac:dyDescent="0.3">
      <c r="A1536" t="s">
        <v>1582</v>
      </c>
      <c r="B1536" t="s">
        <v>27</v>
      </c>
      <c r="C1536" t="s">
        <v>57</v>
      </c>
      <c r="D1536" t="s">
        <v>37</v>
      </c>
      <c r="E1536" s="1">
        <v>45288</v>
      </c>
      <c r="F1536" s="1">
        <v>45292</v>
      </c>
      <c r="G1536">
        <v>10.3</v>
      </c>
      <c r="H1536">
        <v>164.78</v>
      </c>
      <c r="I1536" t="s">
        <v>60</v>
      </c>
      <c r="J1536">
        <v>1034</v>
      </c>
      <c r="K1536">
        <v>4</v>
      </c>
      <c r="L1536" t="str">
        <f>IF(logistics_data[[#This Row],[Delivery_Date]]="","In Transit",
 IF(logistics_data[[#This Row],[Status]]="Lost","Lost",
 IF(logistics_data[[#This Row],[Status]]="Returned","Returned",
 IF(logistics_data[[#This Row],[Status]]="Delayed","Delayed",
 "Delivered"))))</f>
        <v>Lost</v>
      </c>
      <c r="M1536" s="2">
        <f>logistics_data[[#This Row],[Cost]]/logistics_data[[#This Row],[Distance_miles]]</f>
        <v>0.15936170212765957</v>
      </c>
      <c r="N1536" t="str">
        <f>IF(logistics_data[[#This Row],[Orginal staus of shipment]]&lt;&gt;"Delivered","not applicabel", IF(logistics_data[[#This Row],[Transit_Days]]&gt;=5,"slow","fast"))</f>
        <v>not applicabel</v>
      </c>
    </row>
    <row r="1537" spans="1:14" x14ac:dyDescent="0.3">
      <c r="A1537" t="s">
        <v>1583</v>
      </c>
      <c r="B1537" t="s">
        <v>12</v>
      </c>
      <c r="C1537" t="s">
        <v>81</v>
      </c>
      <c r="D1537" t="s">
        <v>32</v>
      </c>
      <c r="E1537" s="1">
        <v>45233</v>
      </c>
      <c r="F1537" s="1">
        <v>45234</v>
      </c>
      <c r="G1537">
        <v>6</v>
      </c>
      <c r="H1537">
        <v>50.96</v>
      </c>
      <c r="I1537" t="s">
        <v>62</v>
      </c>
      <c r="J1537">
        <v>283</v>
      </c>
      <c r="K1537">
        <v>1</v>
      </c>
      <c r="L1537" t="str">
        <f>IF(logistics_data[[#This Row],[Delivery_Date]]="","In Transit",
 IF(logistics_data[[#This Row],[Status]]="Lost","Lost",
 IF(logistics_data[[#This Row],[Status]]="Returned","Returned",
 IF(logistics_data[[#This Row],[Status]]="Delayed","Delayed",
 "Delivered"))))</f>
        <v>Delivered</v>
      </c>
      <c r="M1537" s="2">
        <f>logistics_data[[#This Row],[Cost]]/logistics_data[[#This Row],[Distance_miles]]</f>
        <v>0.18007067137809188</v>
      </c>
      <c r="N1537" t="str">
        <f>IF(logistics_data[[#This Row],[Orginal staus of shipment]]&lt;&gt;"Delivered","not applicabel", IF(logistics_data[[#This Row],[Transit_Days]]&gt;=5,"slow","fast"))</f>
        <v>fast</v>
      </c>
    </row>
    <row r="1538" spans="1:14" x14ac:dyDescent="0.3">
      <c r="A1538" t="s">
        <v>1584</v>
      </c>
      <c r="B1538" t="s">
        <v>27</v>
      </c>
      <c r="C1538" t="s">
        <v>13</v>
      </c>
      <c r="D1538" t="s">
        <v>18</v>
      </c>
      <c r="E1538" s="1">
        <v>45284</v>
      </c>
      <c r="F1538" s="1">
        <v>45299</v>
      </c>
      <c r="G1538">
        <v>14.8</v>
      </c>
      <c r="H1538">
        <v>137.77000000000001</v>
      </c>
      <c r="I1538" t="s">
        <v>47</v>
      </c>
      <c r="J1538">
        <v>655</v>
      </c>
      <c r="K1538">
        <v>4</v>
      </c>
      <c r="L1538" t="str">
        <f>IF(logistics_data[[#This Row],[Delivery_Date]]="","In Transit",
 IF(logistics_data[[#This Row],[Status]]="Lost","Lost",
 IF(logistics_data[[#This Row],[Status]]="Returned","Returned",
 IF(logistics_data[[#This Row],[Status]]="Delayed","Delayed",
 "Delivered"))))</f>
        <v>Delayed</v>
      </c>
      <c r="M1538" s="2">
        <f>logistics_data[[#This Row],[Cost]]/logistics_data[[#This Row],[Distance_miles]]</f>
        <v>0.21033587786259544</v>
      </c>
      <c r="N1538" t="str">
        <f>IF(logistics_data[[#This Row],[Orginal staus of shipment]]&lt;&gt;"Delivered","not applicabel", IF(logistics_data[[#This Row],[Transit_Days]]&gt;=5,"slow","fast"))</f>
        <v>not applicabel</v>
      </c>
    </row>
    <row r="1539" spans="1:14" x14ac:dyDescent="0.3">
      <c r="A1539" t="s">
        <v>1585</v>
      </c>
      <c r="B1539" t="s">
        <v>49</v>
      </c>
      <c r="C1539" t="s">
        <v>57</v>
      </c>
      <c r="D1539" t="s">
        <v>25</v>
      </c>
      <c r="E1539" s="1">
        <v>45199</v>
      </c>
      <c r="F1539" s="1">
        <v>45201</v>
      </c>
      <c r="G1539">
        <v>17.899999999999999</v>
      </c>
      <c r="H1539">
        <v>87.69</v>
      </c>
      <c r="I1539" t="s">
        <v>15</v>
      </c>
      <c r="J1539">
        <v>552</v>
      </c>
      <c r="K1539">
        <v>2</v>
      </c>
      <c r="L1539" t="str">
        <f>IF(logistics_data[[#This Row],[Delivery_Date]]="","In Transit",
 IF(logistics_data[[#This Row],[Status]]="Lost","Lost",
 IF(logistics_data[[#This Row],[Status]]="Returned","Returned",
 IF(logistics_data[[#This Row],[Status]]="Delayed","Delayed",
 "Delivered"))))</f>
        <v>Delivered</v>
      </c>
      <c r="M1539" s="2">
        <f>logistics_data[[#This Row],[Cost]]/logistics_data[[#This Row],[Distance_miles]]</f>
        <v>0.15885869565217392</v>
      </c>
      <c r="N1539" t="str">
        <f>IF(logistics_data[[#This Row],[Orginal staus of shipment]]&lt;&gt;"Delivered","not applicabel", IF(logistics_data[[#This Row],[Transit_Days]]&gt;=5,"slow","fast"))</f>
        <v>fast</v>
      </c>
    </row>
    <row r="1540" spans="1:14" x14ac:dyDescent="0.3">
      <c r="A1540" t="s">
        <v>1586</v>
      </c>
      <c r="B1540" t="s">
        <v>35</v>
      </c>
      <c r="C1540" t="s">
        <v>54</v>
      </c>
      <c r="D1540" t="s">
        <v>32</v>
      </c>
      <c r="E1540" s="1">
        <v>45059</v>
      </c>
      <c r="F1540" s="1">
        <v>45063</v>
      </c>
      <c r="G1540">
        <v>179.1</v>
      </c>
      <c r="H1540">
        <v>216.48</v>
      </c>
      <c r="I1540" t="s">
        <v>15</v>
      </c>
      <c r="J1540">
        <v>1350</v>
      </c>
      <c r="K1540">
        <v>4</v>
      </c>
      <c r="L1540" t="str">
        <f>IF(logistics_data[[#This Row],[Delivery_Date]]="","In Transit",
 IF(logistics_data[[#This Row],[Status]]="Lost","Lost",
 IF(logistics_data[[#This Row],[Status]]="Returned","Returned",
 IF(logistics_data[[#This Row],[Status]]="Delayed","Delayed",
 "Delivered"))))</f>
        <v>Delivered</v>
      </c>
      <c r="M1540" s="2">
        <f>logistics_data[[#This Row],[Cost]]/logistics_data[[#This Row],[Distance_miles]]</f>
        <v>0.16035555555555556</v>
      </c>
      <c r="N1540" t="str">
        <f>IF(logistics_data[[#This Row],[Orginal staus of shipment]]&lt;&gt;"Delivered","not applicabel", IF(logistics_data[[#This Row],[Transit_Days]]&gt;=5,"slow","fast"))</f>
        <v>fast</v>
      </c>
    </row>
    <row r="1541" spans="1:14" x14ac:dyDescent="0.3">
      <c r="A1541" t="s">
        <v>1587</v>
      </c>
      <c r="B1541" t="s">
        <v>20</v>
      </c>
      <c r="C1541" t="s">
        <v>57</v>
      </c>
      <c r="D1541" t="s">
        <v>32</v>
      </c>
      <c r="E1541" s="1">
        <v>45253</v>
      </c>
      <c r="F1541" s="1">
        <v>45259</v>
      </c>
      <c r="G1541">
        <v>36.299999999999997</v>
      </c>
      <c r="H1541">
        <v>439.48</v>
      </c>
      <c r="I1541" t="s">
        <v>15</v>
      </c>
      <c r="J1541">
        <v>2181</v>
      </c>
      <c r="K1541">
        <v>6</v>
      </c>
      <c r="L1541" t="str">
        <f>IF(logistics_data[[#This Row],[Delivery_Date]]="","In Transit",
 IF(logistics_data[[#This Row],[Status]]="Lost","Lost",
 IF(logistics_data[[#This Row],[Status]]="Returned","Returned",
 IF(logistics_data[[#This Row],[Status]]="Delayed","Delayed",
 "Delivered"))))</f>
        <v>Delivered</v>
      </c>
      <c r="M1541" s="2">
        <f>logistics_data[[#This Row],[Cost]]/logistics_data[[#This Row],[Distance_miles]]</f>
        <v>0.20150389729481891</v>
      </c>
      <c r="N1541" t="str">
        <f>IF(logistics_data[[#This Row],[Orginal staus of shipment]]&lt;&gt;"Delivered","not applicabel", IF(logistics_data[[#This Row],[Transit_Days]]&gt;=5,"slow","fast"))</f>
        <v>slow</v>
      </c>
    </row>
    <row r="1542" spans="1:14" x14ac:dyDescent="0.3">
      <c r="A1542" t="s">
        <v>1588</v>
      </c>
      <c r="B1542" t="s">
        <v>30</v>
      </c>
      <c r="C1542" t="s">
        <v>57</v>
      </c>
      <c r="D1542" t="s">
        <v>18</v>
      </c>
      <c r="E1542" s="1">
        <v>45081</v>
      </c>
      <c r="F1542" s="1">
        <v>45087</v>
      </c>
      <c r="G1542">
        <v>5.8</v>
      </c>
      <c r="H1542">
        <v>338.34</v>
      </c>
      <c r="I1542" t="s">
        <v>15</v>
      </c>
      <c r="J1542">
        <v>2466</v>
      </c>
      <c r="K1542">
        <v>6</v>
      </c>
      <c r="L1542" t="str">
        <f>IF(logistics_data[[#This Row],[Delivery_Date]]="","In Transit",
 IF(logistics_data[[#This Row],[Status]]="Lost","Lost",
 IF(logistics_data[[#This Row],[Status]]="Returned","Returned",
 IF(logistics_data[[#This Row],[Status]]="Delayed","Delayed",
 "Delivered"))))</f>
        <v>Delivered</v>
      </c>
      <c r="M1542" s="2">
        <f>logistics_data[[#This Row],[Cost]]/logistics_data[[#This Row],[Distance_miles]]</f>
        <v>0.13720194647201944</v>
      </c>
      <c r="N1542" t="str">
        <f>IF(logistics_data[[#This Row],[Orginal staus of shipment]]&lt;&gt;"Delivered","not applicabel", IF(logistics_data[[#This Row],[Transit_Days]]&gt;=5,"slow","fast"))</f>
        <v>slow</v>
      </c>
    </row>
    <row r="1543" spans="1:14" x14ac:dyDescent="0.3">
      <c r="A1543" t="s">
        <v>1589</v>
      </c>
      <c r="B1543" t="s">
        <v>27</v>
      </c>
      <c r="C1543" t="s">
        <v>52</v>
      </c>
      <c r="D1543" t="s">
        <v>25</v>
      </c>
      <c r="E1543" s="1">
        <v>45053</v>
      </c>
      <c r="F1543" s="1">
        <v>45058</v>
      </c>
      <c r="G1543">
        <v>5.6</v>
      </c>
      <c r="H1543">
        <v>78.42</v>
      </c>
      <c r="I1543" t="s">
        <v>15</v>
      </c>
      <c r="J1543">
        <v>636</v>
      </c>
      <c r="K1543">
        <v>5</v>
      </c>
      <c r="L1543" t="str">
        <f>IF(logistics_data[[#This Row],[Delivery_Date]]="","In Transit",
 IF(logistics_data[[#This Row],[Status]]="Lost","Lost",
 IF(logistics_data[[#This Row],[Status]]="Returned","Returned",
 IF(logistics_data[[#This Row],[Status]]="Delayed","Delayed",
 "Delivered"))))</f>
        <v>Delivered</v>
      </c>
      <c r="M1543" s="2">
        <f>logistics_data[[#This Row],[Cost]]/logistics_data[[#This Row],[Distance_miles]]</f>
        <v>0.12330188679245284</v>
      </c>
      <c r="N1543" t="str">
        <f>IF(logistics_data[[#This Row],[Orginal staus of shipment]]&lt;&gt;"Delivered","not applicabel", IF(logistics_data[[#This Row],[Transit_Days]]&gt;=5,"slow","fast"))</f>
        <v>slow</v>
      </c>
    </row>
    <row r="1544" spans="1:14" x14ac:dyDescent="0.3">
      <c r="A1544" t="s">
        <v>1590</v>
      </c>
      <c r="B1544" t="s">
        <v>35</v>
      </c>
      <c r="C1544" t="s">
        <v>40</v>
      </c>
      <c r="D1544" t="s">
        <v>59</v>
      </c>
      <c r="E1544" s="1">
        <v>45262</v>
      </c>
      <c r="F1544" s="1">
        <v>45264</v>
      </c>
      <c r="G1544">
        <v>14.1</v>
      </c>
      <c r="H1544">
        <v>58.04</v>
      </c>
      <c r="I1544" t="s">
        <v>15</v>
      </c>
      <c r="J1544">
        <v>283</v>
      </c>
      <c r="K1544">
        <v>2</v>
      </c>
      <c r="L1544" t="str">
        <f>IF(logistics_data[[#This Row],[Delivery_Date]]="","In Transit",
 IF(logistics_data[[#This Row],[Status]]="Lost","Lost",
 IF(logistics_data[[#This Row],[Status]]="Returned","Returned",
 IF(logistics_data[[#This Row],[Status]]="Delayed","Delayed",
 "Delivered"))))</f>
        <v>Delivered</v>
      </c>
      <c r="M1544" s="2">
        <f>logistics_data[[#This Row],[Cost]]/logistics_data[[#This Row],[Distance_miles]]</f>
        <v>0.20508833922261485</v>
      </c>
      <c r="N1544" t="str">
        <f>IF(logistics_data[[#This Row],[Orginal staus of shipment]]&lt;&gt;"Delivered","not applicabel", IF(logistics_data[[#This Row],[Transit_Days]]&gt;=5,"slow","fast"))</f>
        <v>fast</v>
      </c>
    </row>
    <row r="1545" spans="1:14" x14ac:dyDescent="0.3">
      <c r="A1545" t="s">
        <v>1591</v>
      </c>
      <c r="B1545" t="s">
        <v>27</v>
      </c>
      <c r="C1545" t="s">
        <v>54</v>
      </c>
      <c r="D1545" t="s">
        <v>37</v>
      </c>
      <c r="E1545" s="1">
        <v>45044</v>
      </c>
      <c r="F1545" s="1">
        <v>45046</v>
      </c>
      <c r="G1545">
        <v>12</v>
      </c>
      <c r="H1545">
        <v>43.35</v>
      </c>
      <c r="I1545" t="s">
        <v>15</v>
      </c>
      <c r="J1545">
        <v>208</v>
      </c>
      <c r="K1545">
        <v>2</v>
      </c>
      <c r="L1545" t="str">
        <f>IF(logistics_data[[#This Row],[Delivery_Date]]="","In Transit",
 IF(logistics_data[[#This Row],[Status]]="Lost","Lost",
 IF(logistics_data[[#This Row],[Status]]="Returned","Returned",
 IF(logistics_data[[#This Row],[Status]]="Delayed","Delayed",
 "Delivered"))))</f>
        <v>Delivered</v>
      </c>
      <c r="M1545" s="2">
        <f>logistics_data[[#This Row],[Cost]]/logistics_data[[#This Row],[Distance_miles]]</f>
        <v>0.20841346153846155</v>
      </c>
      <c r="N1545" t="str">
        <f>IF(logistics_data[[#This Row],[Orginal staus of shipment]]&lt;&gt;"Delivered","not applicabel", IF(logistics_data[[#This Row],[Transit_Days]]&gt;=5,"slow","fast"))</f>
        <v>fast</v>
      </c>
    </row>
    <row r="1546" spans="1:14" x14ac:dyDescent="0.3">
      <c r="A1546" t="s">
        <v>1592</v>
      </c>
      <c r="B1546" t="s">
        <v>20</v>
      </c>
      <c r="C1546" t="s">
        <v>24</v>
      </c>
      <c r="D1546" t="s">
        <v>42</v>
      </c>
      <c r="E1546" s="1">
        <v>45253</v>
      </c>
      <c r="F1546" s="1">
        <v>45256</v>
      </c>
      <c r="G1546">
        <v>51</v>
      </c>
      <c r="I1546" t="s">
        <v>15</v>
      </c>
      <c r="J1546">
        <v>1135</v>
      </c>
      <c r="K1546">
        <v>3</v>
      </c>
      <c r="L1546" t="str">
        <f>IF(logistics_data[[#This Row],[Delivery_Date]]="","In Transit",
 IF(logistics_data[[#This Row],[Status]]="Lost","Lost",
 IF(logistics_data[[#This Row],[Status]]="Returned","Returned",
 IF(logistics_data[[#This Row],[Status]]="Delayed","Delayed",
 "Delivered"))))</f>
        <v>Delivered</v>
      </c>
      <c r="M1546" s="2">
        <f>logistics_data[[#This Row],[Cost]]/logistics_data[[#This Row],[Distance_miles]]</f>
        <v>0</v>
      </c>
      <c r="N1546" t="str">
        <f>IF(logistics_data[[#This Row],[Orginal staus of shipment]]&lt;&gt;"Delivered","not applicabel", IF(logistics_data[[#This Row],[Transit_Days]]&gt;=5,"slow","fast"))</f>
        <v>fast</v>
      </c>
    </row>
    <row r="1547" spans="1:14" x14ac:dyDescent="0.3">
      <c r="A1547" t="s">
        <v>1593</v>
      </c>
      <c r="B1547" t="s">
        <v>49</v>
      </c>
      <c r="C1547" t="s">
        <v>17</v>
      </c>
      <c r="D1547" t="s">
        <v>25</v>
      </c>
      <c r="E1547" s="1">
        <v>45094</v>
      </c>
      <c r="F1547" s="1">
        <v>45097</v>
      </c>
      <c r="G1547">
        <v>25.2</v>
      </c>
      <c r="H1547">
        <v>190.12</v>
      </c>
      <c r="I1547" t="s">
        <v>15</v>
      </c>
      <c r="J1547">
        <v>1442</v>
      </c>
      <c r="K1547">
        <v>3</v>
      </c>
      <c r="L1547" t="str">
        <f>IF(logistics_data[[#This Row],[Delivery_Date]]="","In Transit",
 IF(logistics_data[[#This Row],[Status]]="Lost","Lost",
 IF(logistics_data[[#This Row],[Status]]="Returned","Returned",
 IF(logistics_data[[#This Row],[Status]]="Delayed","Delayed",
 "Delivered"))))</f>
        <v>Delivered</v>
      </c>
      <c r="M1547" s="2">
        <f>logistics_data[[#This Row],[Cost]]/logistics_data[[#This Row],[Distance_miles]]</f>
        <v>0.13184466019417476</v>
      </c>
      <c r="N1547" t="str">
        <f>IF(logistics_data[[#This Row],[Orginal staus of shipment]]&lt;&gt;"Delivered","not applicabel", IF(logistics_data[[#This Row],[Transit_Days]]&gt;=5,"slow","fast"))</f>
        <v>fast</v>
      </c>
    </row>
    <row r="1548" spans="1:14" x14ac:dyDescent="0.3">
      <c r="A1548" t="s">
        <v>1594</v>
      </c>
      <c r="B1548" t="s">
        <v>20</v>
      </c>
      <c r="C1548" t="s">
        <v>31</v>
      </c>
      <c r="D1548" t="s">
        <v>42</v>
      </c>
      <c r="E1548" s="1">
        <v>45052</v>
      </c>
      <c r="F1548" s="1">
        <v>45055</v>
      </c>
      <c r="G1548">
        <v>24.1</v>
      </c>
      <c r="H1548">
        <v>70.430000000000007</v>
      </c>
      <c r="I1548" t="s">
        <v>15</v>
      </c>
      <c r="J1548">
        <v>295</v>
      </c>
      <c r="K1548">
        <v>3</v>
      </c>
      <c r="L1548" t="str">
        <f>IF(logistics_data[[#This Row],[Delivery_Date]]="","In Transit",
 IF(logistics_data[[#This Row],[Status]]="Lost","Lost",
 IF(logistics_data[[#This Row],[Status]]="Returned","Returned",
 IF(logistics_data[[#This Row],[Status]]="Delayed","Delayed",
 "Delivered"))))</f>
        <v>Delivered</v>
      </c>
      <c r="M1548" s="2">
        <f>logistics_data[[#This Row],[Cost]]/logistics_data[[#This Row],[Distance_miles]]</f>
        <v>0.23874576271186443</v>
      </c>
      <c r="N1548" t="str">
        <f>IF(logistics_data[[#This Row],[Orginal staus of shipment]]&lt;&gt;"Delivered","not applicabel", IF(logistics_data[[#This Row],[Transit_Days]]&gt;=5,"slow","fast"))</f>
        <v>fast</v>
      </c>
    </row>
    <row r="1549" spans="1:14" x14ac:dyDescent="0.3">
      <c r="A1549" t="s">
        <v>1595</v>
      </c>
      <c r="B1549" t="s">
        <v>23</v>
      </c>
      <c r="C1549" t="s">
        <v>81</v>
      </c>
      <c r="D1549" t="s">
        <v>25</v>
      </c>
      <c r="E1549" s="1">
        <v>45228</v>
      </c>
      <c r="F1549" s="1">
        <v>45236</v>
      </c>
      <c r="G1549">
        <v>17.5</v>
      </c>
      <c r="H1549">
        <v>240.07</v>
      </c>
      <c r="I1549" t="s">
        <v>15</v>
      </c>
      <c r="J1549">
        <v>1720</v>
      </c>
      <c r="K1549">
        <v>8</v>
      </c>
      <c r="L1549" t="str">
        <f>IF(logistics_data[[#This Row],[Delivery_Date]]="","In Transit",
 IF(logistics_data[[#This Row],[Status]]="Lost","Lost",
 IF(logistics_data[[#This Row],[Status]]="Returned","Returned",
 IF(logistics_data[[#This Row],[Status]]="Delayed","Delayed",
 "Delivered"))))</f>
        <v>Delivered</v>
      </c>
      <c r="M1549" s="2">
        <f>logistics_data[[#This Row],[Cost]]/logistics_data[[#This Row],[Distance_miles]]</f>
        <v>0.13957558139534884</v>
      </c>
      <c r="N1549" t="str">
        <f>IF(logistics_data[[#This Row],[Orginal staus of shipment]]&lt;&gt;"Delivered","not applicabel", IF(logistics_data[[#This Row],[Transit_Days]]&gt;=5,"slow","fast"))</f>
        <v>slow</v>
      </c>
    </row>
    <row r="1550" spans="1:14" x14ac:dyDescent="0.3">
      <c r="A1550" t="s">
        <v>1596</v>
      </c>
      <c r="B1550" t="s">
        <v>39</v>
      </c>
      <c r="C1550" t="s">
        <v>46</v>
      </c>
      <c r="D1550" t="s">
        <v>25</v>
      </c>
      <c r="E1550" s="1">
        <v>45092</v>
      </c>
      <c r="F1550" s="1">
        <v>45095</v>
      </c>
      <c r="G1550">
        <v>46.3</v>
      </c>
      <c r="H1550">
        <v>155.66</v>
      </c>
      <c r="I1550" t="s">
        <v>15</v>
      </c>
      <c r="J1550">
        <v>912</v>
      </c>
      <c r="K1550">
        <v>3</v>
      </c>
      <c r="L1550" t="str">
        <f>IF(logistics_data[[#This Row],[Delivery_Date]]="","In Transit",
 IF(logistics_data[[#This Row],[Status]]="Lost","Lost",
 IF(logistics_data[[#This Row],[Status]]="Returned","Returned",
 IF(logistics_data[[#This Row],[Status]]="Delayed","Delayed",
 "Delivered"))))</f>
        <v>Delivered</v>
      </c>
      <c r="M1550" s="2">
        <f>logistics_data[[#This Row],[Cost]]/logistics_data[[#This Row],[Distance_miles]]</f>
        <v>0.17067982456140351</v>
      </c>
      <c r="N1550" t="str">
        <f>IF(logistics_data[[#This Row],[Orginal staus of shipment]]&lt;&gt;"Delivered","not applicabel", IF(logistics_data[[#This Row],[Transit_Days]]&gt;=5,"slow","fast"))</f>
        <v>fast</v>
      </c>
    </row>
    <row r="1551" spans="1:14" x14ac:dyDescent="0.3">
      <c r="A1551" t="s">
        <v>1597</v>
      </c>
      <c r="B1551" t="s">
        <v>23</v>
      </c>
      <c r="C1551" t="s">
        <v>54</v>
      </c>
      <c r="D1551" t="s">
        <v>42</v>
      </c>
      <c r="E1551" s="1">
        <v>45093</v>
      </c>
      <c r="F1551" s="1">
        <v>45100</v>
      </c>
      <c r="G1551">
        <v>25.6</v>
      </c>
      <c r="H1551">
        <v>287.97000000000003</v>
      </c>
      <c r="I1551" t="s">
        <v>60</v>
      </c>
      <c r="J1551">
        <v>2129</v>
      </c>
      <c r="K1551">
        <v>7</v>
      </c>
      <c r="L1551" t="str">
        <f>IF(logistics_data[[#This Row],[Delivery_Date]]="","In Transit",
 IF(logistics_data[[#This Row],[Status]]="Lost","Lost",
 IF(logistics_data[[#This Row],[Status]]="Returned","Returned",
 IF(logistics_data[[#This Row],[Status]]="Delayed","Delayed",
 "Delivered"))))</f>
        <v>Lost</v>
      </c>
      <c r="M1551" s="2">
        <f>logistics_data[[#This Row],[Cost]]/logistics_data[[#This Row],[Distance_miles]]</f>
        <v>0.13526068576796618</v>
      </c>
      <c r="N1551" t="str">
        <f>IF(logistics_data[[#This Row],[Orginal staus of shipment]]&lt;&gt;"Delivered","not applicabel", IF(logistics_data[[#This Row],[Transit_Days]]&gt;=5,"slow","fast"))</f>
        <v>not applicabel</v>
      </c>
    </row>
    <row r="1552" spans="1:14" x14ac:dyDescent="0.3">
      <c r="A1552" t="s">
        <v>1598</v>
      </c>
      <c r="B1552" t="s">
        <v>30</v>
      </c>
      <c r="C1552" t="s">
        <v>54</v>
      </c>
      <c r="D1552" t="s">
        <v>25</v>
      </c>
      <c r="E1552" s="1">
        <v>45014</v>
      </c>
      <c r="F1552" s="1">
        <v>45015</v>
      </c>
      <c r="G1552">
        <v>41.5</v>
      </c>
      <c r="H1552">
        <v>85.01</v>
      </c>
      <c r="I1552" t="s">
        <v>15</v>
      </c>
      <c r="J1552">
        <v>305</v>
      </c>
      <c r="K1552">
        <v>1</v>
      </c>
      <c r="L1552" t="str">
        <f>IF(logistics_data[[#This Row],[Delivery_Date]]="","In Transit",
 IF(logistics_data[[#This Row],[Status]]="Lost","Lost",
 IF(logistics_data[[#This Row],[Status]]="Returned","Returned",
 IF(logistics_data[[#This Row],[Status]]="Delayed","Delayed",
 "Delivered"))))</f>
        <v>Delivered</v>
      </c>
      <c r="M1552" s="2">
        <f>logistics_data[[#This Row],[Cost]]/logistics_data[[#This Row],[Distance_miles]]</f>
        <v>0.27872131147540985</v>
      </c>
      <c r="N1552" t="str">
        <f>IF(logistics_data[[#This Row],[Orginal staus of shipment]]&lt;&gt;"Delivered","not applicabel", IF(logistics_data[[#This Row],[Transit_Days]]&gt;=5,"slow","fast"))</f>
        <v>fast</v>
      </c>
    </row>
    <row r="1553" spans="1:14" x14ac:dyDescent="0.3">
      <c r="A1553" t="s">
        <v>1599</v>
      </c>
      <c r="B1553" t="s">
        <v>12</v>
      </c>
      <c r="C1553" t="s">
        <v>24</v>
      </c>
      <c r="D1553" t="s">
        <v>18</v>
      </c>
      <c r="E1553" s="1">
        <v>45194</v>
      </c>
      <c r="G1553">
        <v>17.399999999999999</v>
      </c>
      <c r="H1553">
        <v>305.83</v>
      </c>
      <c r="I1553" t="s">
        <v>15</v>
      </c>
      <c r="J1553">
        <v>1894</v>
      </c>
      <c r="K1553">
        <v>6</v>
      </c>
      <c r="L1553" t="str">
        <f>IF(logistics_data[[#This Row],[Delivery_Date]]="","In Transit",
 IF(logistics_data[[#This Row],[Status]]="Lost","Lost",
 IF(logistics_data[[#This Row],[Status]]="Returned","Returned",
 IF(logistics_data[[#This Row],[Status]]="Delayed","Delayed",
 "Delivered"))))</f>
        <v>In Transit</v>
      </c>
      <c r="M1553" s="2">
        <f>logistics_data[[#This Row],[Cost]]/logistics_data[[#This Row],[Distance_miles]]</f>
        <v>0.16147307286166843</v>
      </c>
      <c r="N1553" t="str">
        <f>IF(logistics_data[[#This Row],[Orginal staus of shipment]]&lt;&gt;"Delivered","not applicabel", IF(logistics_data[[#This Row],[Transit_Days]]&gt;=5,"slow","fast"))</f>
        <v>not applicabel</v>
      </c>
    </row>
    <row r="1554" spans="1:14" x14ac:dyDescent="0.3">
      <c r="A1554" t="s">
        <v>1600</v>
      </c>
      <c r="B1554" t="s">
        <v>49</v>
      </c>
      <c r="C1554" t="s">
        <v>46</v>
      </c>
      <c r="D1554" t="s">
        <v>25</v>
      </c>
      <c r="E1554" s="1">
        <v>44929</v>
      </c>
      <c r="G1554">
        <v>184.3</v>
      </c>
      <c r="H1554">
        <v>497.31</v>
      </c>
      <c r="I1554" t="s">
        <v>47</v>
      </c>
      <c r="J1554">
        <v>1941</v>
      </c>
      <c r="K1554">
        <v>7</v>
      </c>
      <c r="L1554" t="str">
        <f>IF(logistics_data[[#This Row],[Delivery_Date]]="","In Transit",
 IF(logistics_data[[#This Row],[Status]]="Lost","Lost",
 IF(logistics_data[[#This Row],[Status]]="Returned","Returned",
 IF(logistics_data[[#This Row],[Status]]="Delayed","Delayed",
 "Delivered"))))</f>
        <v>In Transit</v>
      </c>
      <c r="M1554" s="2">
        <f>logistics_data[[#This Row],[Cost]]/logistics_data[[#This Row],[Distance_miles]]</f>
        <v>0.25621329211746524</v>
      </c>
      <c r="N1554" t="str">
        <f>IF(logistics_data[[#This Row],[Orginal staus of shipment]]&lt;&gt;"Delivered","not applicabel", IF(logistics_data[[#This Row],[Transit_Days]]&gt;=5,"slow","fast"))</f>
        <v>not applicabel</v>
      </c>
    </row>
    <row r="1555" spans="1:14" x14ac:dyDescent="0.3">
      <c r="A1555" t="s">
        <v>1601</v>
      </c>
      <c r="B1555" t="s">
        <v>23</v>
      </c>
      <c r="C1555" t="s">
        <v>17</v>
      </c>
      <c r="D1555" t="s">
        <v>42</v>
      </c>
      <c r="E1555" s="1">
        <v>45162</v>
      </c>
      <c r="F1555" s="1">
        <v>45168</v>
      </c>
      <c r="G1555">
        <v>50.5</v>
      </c>
      <c r="H1555">
        <v>323.77</v>
      </c>
      <c r="I1555" t="s">
        <v>15</v>
      </c>
      <c r="J1555">
        <v>2250</v>
      </c>
      <c r="K1555">
        <v>6</v>
      </c>
      <c r="L1555" t="str">
        <f>IF(logistics_data[[#This Row],[Delivery_Date]]="","In Transit",
 IF(logistics_data[[#This Row],[Status]]="Lost","Lost",
 IF(logistics_data[[#This Row],[Status]]="Returned","Returned",
 IF(logistics_data[[#This Row],[Status]]="Delayed","Delayed",
 "Delivered"))))</f>
        <v>Delivered</v>
      </c>
      <c r="M1555" s="2">
        <f>logistics_data[[#This Row],[Cost]]/logistics_data[[#This Row],[Distance_miles]]</f>
        <v>0.14389777777777776</v>
      </c>
      <c r="N1555" t="str">
        <f>IF(logistics_data[[#This Row],[Orginal staus of shipment]]&lt;&gt;"Delivered","not applicabel", IF(logistics_data[[#This Row],[Transit_Days]]&gt;=5,"slow","fast"))</f>
        <v>slow</v>
      </c>
    </row>
    <row r="1556" spans="1:14" x14ac:dyDescent="0.3">
      <c r="A1556" t="s">
        <v>1602</v>
      </c>
      <c r="B1556" t="s">
        <v>12</v>
      </c>
      <c r="C1556" t="s">
        <v>40</v>
      </c>
      <c r="D1556" t="s">
        <v>42</v>
      </c>
      <c r="E1556" s="1">
        <v>45185</v>
      </c>
      <c r="F1556" s="1">
        <v>45192</v>
      </c>
      <c r="G1556">
        <v>9</v>
      </c>
      <c r="H1556">
        <v>261.35000000000002</v>
      </c>
      <c r="I1556" t="s">
        <v>15</v>
      </c>
      <c r="J1556">
        <v>2105</v>
      </c>
      <c r="K1556">
        <v>7</v>
      </c>
      <c r="L1556" t="str">
        <f>IF(logistics_data[[#This Row],[Delivery_Date]]="","In Transit",
 IF(logistics_data[[#This Row],[Status]]="Lost","Lost",
 IF(logistics_data[[#This Row],[Status]]="Returned","Returned",
 IF(logistics_data[[#This Row],[Status]]="Delayed","Delayed",
 "Delivered"))))</f>
        <v>Delivered</v>
      </c>
      <c r="M1556" s="2">
        <f>logistics_data[[#This Row],[Cost]]/logistics_data[[#This Row],[Distance_miles]]</f>
        <v>0.12415676959619953</v>
      </c>
      <c r="N1556" t="str">
        <f>IF(logistics_data[[#This Row],[Orginal staus of shipment]]&lt;&gt;"Delivered","not applicabel", IF(logistics_data[[#This Row],[Transit_Days]]&gt;=5,"slow","fast"))</f>
        <v>slow</v>
      </c>
    </row>
    <row r="1557" spans="1:14" x14ac:dyDescent="0.3">
      <c r="A1557" t="s">
        <v>1603</v>
      </c>
      <c r="B1557" t="s">
        <v>27</v>
      </c>
      <c r="C1557" t="s">
        <v>21</v>
      </c>
      <c r="D1557" t="s">
        <v>18</v>
      </c>
      <c r="E1557" s="1">
        <v>45280</v>
      </c>
      <c r="F1557" s="1">
        <v>45287</v>
      </c>
      <c r="G1557">
        <v>10.5</v>
      </c>
      <c r="H1557">
        <v>81.73</v>
      </c>
      <c r="I1557" t="s">
        <v>47</v>
      </c>
      <c r="J1557">
        <v>397</v>
      </c>
      <c r="K1557">
        <v>2</v>
      </c>
      <c r="L1557" t="str">
        <f>IF(logistics_data[[#This Row],[Delivery_Date]]="","In Transit",
 IF(logistics_data[[#This Row],[Status]]="Lost","Lost",
 IF(logistics_data[[#This Row],[Status]]="Returned","Returned",
 IF(logistics_data[[#This Row],[Status]]="Delayed","Delayed",
 "Delivered"))))</f>
        <v>Delayed</v>
      </c>
      <c r="M1557" s="2">
        <f>logistics_data[[#This Row],[Cost]]/logistics_data[[#This Row],[Distance_miles]]</f>
        <v>0.20586901763224183</v>
      </c>
      <c r="N1557" t="str">
        <f>IF(logistics_data[[#This Row],[Orginal staus of shipment]]&lt;&gt;"Delivered","not applicabel", IF(logistics_data[[#This Row],[Transit_Days]]&gt;=5,"slow","fast"))</f>
        <v>not applicabel</v>
      </c>
    </row>
    <row r="1558" spans="1:14" x14ac:dyDescent="0.3">
      <c r="A1558" t="s">
        <v>1604</v>
      </c>
      <c r="B1558" t="s">
        <v>56</v>
      </c>
      <c r="C1558" t="s">
        <v>54</v>
      </c>
      <c r="D1558" t="s">
        <v>37</v>
      </c>
      <c r="E1558" s="1">
        <v>44936</v>
      </c>
      <c r="F1558" s="1">
        <v>44940</v>
      </c>
      <c r="G1558">
        <v>6.7</v>
      </c>
      <c r="H1558">
        <v>54.04</v>
      </c>
      <c r="I1558" t="s">
        <v>15</v>
      </c>
      <c r="J1558">
        <v>392</v>
      </c>
      <c r="K1558">
        <v>4</v>
      </c>
      <c r="L1558" t="str">
        <f>IF(logistics_data[[#This Row],[Delivery_Date]]="","In Transit",
 IF(logistics_data[[#This Row],[Status]]="Lost","Lost",
 IF(logistics_data[[#This Row],[Status]]="Returned","Returned",
 IF(logistics_data[[#This Row],[Status]]="Delayed","Delayed",
 "Delivered"))))</f>
        <v>Delivered</v>
      </c>
      <c r="M1558" s="2">
        <f>logistics_data[[#This Row],[Cost]]/logistics_data[[#This Row],[Distance_miles]]</f>
        <v>0.13785714285714284</v>
      </c>
      <c r="N1558" t="str">
        <f>IF(logistics_data[[#This Row],[Orginal staus of shipment]]&lt;&gt;"Delivered","not applicabel", IF(logistics_data[[#This Row],[Transit_Days]]&gt;=5,"slow","fast"))</f>
        <v>fast</v>
      </c>
    </row>
    <row r="1559" spans="1:14" x14ac:dyDescent="0.3">
      <c r="A1559" t="s">
        <v>1605</v>
      </c>
      <c r="B1559" t="s">
        <v>27</v>
      </c>
      <c r="C1559" t="s">
        <v>21</v>
      </c>
      <c r="D1559" t="s">
        <v>25</v>
      </c>
      <c r="E1559" s="1">
        <v>45118</v>
      </c>
      <c r="F1559" s="1">
        <v>45132</v>
      </c>
      <c r="G1559">
        <v>9</v>
      </c>
      <c r="H1559">
        <v>126.74</v>
      </c>
      <c r="I1559" t="s">
        <v>47</v>
      </c>
      <c r="J1559">
        <v>979</v>
      </c>
      <c r="K1559">
        <v>4</v>
      </c>
      <c r="L1559" t="str">
        <f>IF(logistics_data[[#This Row],[Delivery_Date]]="","In Transit",
 IF(logistics_data[[#This Row],[Status]]="Lost","Lost",
 IF(logistics_data[[#This Row],[Status]]="Returned","Returned",
 IF(logistics_data[[#This Row],[Status]]="Delayed","Delayed",
 "Delivered"))))</f>
        <v>Delayed</v>
      </c>
      <c r="M1559" s="2">
        <f>logistics_data[[#This Row],[Cost]]/logistics_data[[#This Row],[Distance_miles]]</f>
        <v>0.12945863125638407</v>
      </c>
      <c r="N1559" t="str">
        <f>IF(logistics_data[[#This Row],[Orginal staus of shipment]]&lt;&gt;"Delivered","not applicabel", IF(logistics_data[[#This Row],[Transit_Days]]&gt;=5,"slow","fast"))</f>
        <v>not applicabel</v>
      </c>
    </row>
    <row r="1560" spans="1:14" x14ac:dyDescent="0.3">
      <c r="A1560" t="s">
        <v>1606</v>
      </c>
      <c r="B1560" t="s">
        <v>35</v>
      </c>
      <c r="C1560" t="s">
        <v>36</v>
      </c>
      <c r="D1560" t="s">
        <v>59</v>
      </c>
      <c r="E1560" s="1">
        <v>44999</v>
      </c>
      <c r="F1560" s="1">
        <v>45007</v>
      </c>
      <c r="G1560">
        <v>15.1</v>
      </c>
      <c r="H1560">
        <v>193.28</v>
      </c>
      <c r="I1560" t="s">
        <v>47</v>
      </c>
      <c r="J1560">
        <v>1427</v>
      </c>
      <c r="K1560">
        <v>4</v>
      </c>
      <c r="L1560" t="str">
        <f>IF(logistics_data[[#This Row],[Delivery_Date]]="","In Transit",
 IF(logistics_data[[#This Row],[Status]]="Lost","Lost",
 IF(logistics_data[[#This Row],[Status]]="Returned","Returned",
 IF(logistics_data[[#This Row],[Status]]="Delayed","Delayed",
 "Delivered"))))</f>
        <v>Delayed</v>
      </c>
      <c r="M1560" s="2">
        <f>logistics_data[[#This Row],[Cost]]/logistics_data[[#This Row],[Distance_miles]]</f>
        <v>0.13544498948843728</v>
      </c>
      <c r="N1560" t="str">
        <f>IF(logistics_data[[#This Row],[Orginal staus of shipment]]&lt;&gt;"Delivered","not applicabel", IF(logistics_data[[#This Row],[Transit_Days]]&gt;=5,"slow","fast"))</f>
        <v>not applicabel</v>
      </c>
    </row>
    <row r="1561" spans="1:14" x14ac:dyDescent="0.3">
      <c r="A1561" t="s">
        <v>1607</v>
      </c>
      <c r="B1561" t="s">
        <v>27</v>
      </c>
      <c r="C1561" t="s">
        <v>28</v>
      </c>
      <c r="D1561" t="s">
        <v>25</v>
      </c>
      <c r="E1561" s="1">
        <v>44952</v>
      </c>
      <c r="F1561" s="1">
        <v>44957</v>
      </c>
      <c r="G1561">
        <v>20.7</v>
      </c>
      <c r="H1561">
        <v>254.82</v>
      </c>
      <c r="I1561" t="s">
        <v>15</v>
      </c>
      <c r="J1561">
        <v>1956</v>
      </c>
      <c r="K1561">
        <v>5</v>
      </c>
      <c r="L1561" t="str">
        <f>IF(logistics_data[[#This Row],[Delivery_Date]]="","In Transit",
 IF(logistics_data[[#This Row],[Status]]="Lost","Lost",
 IF(logistics_data[[#This Row],[Status]]="Returned","Returned",
 IF(logistics_data[[#This Row],[Status]]="Delayed","Delayed",
 "Delivered"))))</f>
        <v>Delivered</v>
      </c>
      <c r="M1561" s="2">
        <f>logistics_data[[#This Row],[Cost]]/logistics_data[[#This Row],[Distance_miles]]</f>
        <v>0.13027607361963189</v>
      </c>
      <c r="N1561" t="str">
        <f>IF(logistics_data[[#This Row],[Orginal staus of shipment]]&lt;&gt;"Delivered","not applicabel", IF(logistics_data[[#This Row],[Transit_Days]]&gt;=5,"slow","fast"))</f>
        <v>slow</v>
      </c>
    </row>
    <row r="1562" spans="1:14" x14ac:dyDescent="0.3">
      <c r="A1562" t="s">
        <v>1608</v>
      </c>
      <c r="B1562" t="s">
        <v>51</v>
      </c>
      <c r="C1562" t="s">
        <v>21</v>
      </c>
      <c r="D1562" t="s">
        <v>59</v>
      </c>
      <c r="E1562" s="1">
        <v>45254</v>
      </c>
      <c r="F1562" s="1">
        <v>45259</v>
      </c>
      <c r="G1562">
        <v>18.100000000000001</v>
      </c>
      <c r="H1562">
        <v>132.04</v>
      </c>
      <c r="I1562" t="s">
        <v>15</v>
      </c>
      <c r="J1562">
        <v>863</v>
      </c>
      <c r="K1562">
        <v>5</v>
      </c>
      <c r="L1562" t="str">
        <f>IF(logistics_data[[#This Row],[Delivery_Date]]="","In Transit",
 IF(logistics_data[[#This Row],[Status]]="Lost","Lost",
 IF(logistics_data[[#This Row],[Status]]="Returned","Returned",
 IF(logistics_data[[#This Row],[Status]]="Delayed","Delayed",
 "Delivered"))))</f>
        <v>Delivered</v>
      </c>
      <c r="M1562" s="2">
        <f>logistics_data[[#This Row],[Cost]]/logistics_data[[#This Row],[Distance_miles]]</f>
        <v>0.15300115874855155</v>
      </c>
      <c r="N1562" t="str">
        <f>IF(logistics_data[[#This Row],[Orginal staus of shipment]]&lt;&gt;"Delivered","not applicabel", IF(logistics_data[[#This Row],[Transit_Days]]&gt;=5,"slow","fast"))</f>
        <v>slow</v>
      </c>
    </row>
    <row r="1563" spans="1:14" x14ac:dyDescent="0.3">
      <c r="A1563" t="s">
        <v>1609</v>
      </c>
      <c r="B1563" t="s">
        <v>49</v>
      </c>
      <c r="C1563" t="s">
        <v>31</v>
      </c>
      <c r="D1563" t="s">
        <v>59</v>
      </c>
      <c r="E1563" s="1">
        <v>45038</v>
      </c>
      <c r="F1563" s="1">
        <v>45045</v>
      </c>
      <c r="G1563">
        <v>22.1</v>
      </c>
      <c r="H1563">
        <v>305.98</v>
      </c>
      <c r="I1563" t="s">
        <v>15</v>
      </c>
      <c r="J1563">
        <v>2347</v>
      </c>
      <c r="K1563">
        <v>7</v>
      </c>
      <c r="L1563" t="str">
        <f>IF(logistics_data[[#This Row],[Delivery_Date]]="","In Transit",
 IF(logistics_data[[#This Row],[Status]]="Lost","Lost",
 IF(logistics_data[[#This Row],[Status]]="Returned","Returned",
 IF(logistics_data[[#This Row],[Status]]="Delayed","Delayed",
 "Delivered"))))</f>
        <v>Delivered</v>
      </c>
      <c r="M1563" s="2">
        <f>logistics_data[[#This Row],[Cost]]/logistics_data[[#This Row],[Distance_miles]]</f>
        <v>0.13037068598210483</v>
      </c>
      <c r="N1563" t="str">
        <f>IF(logistics_data[[#This Row],[Orginal staus of shipment]]&lt;&gt;"Delivered","not applicabel", IF(logistics_data[[#This Row],[Transit_Days]]&gt;=5,"slow","fast"))</f>
        <v>slow</v>
      </c>
    </row>
    <row r="1564" spans="1:14" x14ac:dyDescent="0.3">
      <c r="A1564" t="s">
        <v>1610</v>
      </c>
      <c r="B1564" t="s">
        <v>49</v>
      </c>
      <c r="C1564" t="s">
        <v>21</v>
      </c>
      <c r="D1564" t="s">
        <v>18</v>
      </c>
      <c r="E1564" s="1">
        <v>45043</v>
      </c>
      <c r="F1564" s="1">
        <v>45047</v>
      </c>
      <c r="G1564">
        <v>28.8</v>
      </c>
      <c r="H1564">
        <v>151.25</v>
      </c>
      <c r="I1564" t="s">
        <v>15</v>
      </c>
      <c r="J1564">
        <v>919</v>
      </c>
      <c r="K1564">
        <v>4</v>
      </c>
      <c r="L1564" t="str">
        <f>IF(logistics_data[[#This Row],[Delivery_Date]]="","In Transit",
 IF(logistics_data[[#This Row],[Status]]="Lost","Lost",
 IF(logistics_data[[#This Row],[Status]]="Returned","Returned",
 IF(logistics_data[[#This Row],[Status]]="Delayed","Delayed",
 "Delivered"))))</f>
        <v>Delivered</v>
      </c>
      <c r="M1564" s="2">
        <f>logistics_data[[#This Row],[Cost]]/logistics_data[[#This Row],[Distance_miles]]</f>
        <v>0.16458106637649619</v>
      </c>
      <c r="N1564" t="str">
        <f>IF(logistics_data[[#This Row],[Orginal staus of shipment]]&lt;&gt;"Delivered","not applicabel", IF(logistics_data[[#This Row],[Transit_Days]]&gt;=5,"slow","fast"))</f>
        <v>fast</v>
      </c>
    </row>
    <row r="1565" spans="1:14" x14ac:dyDescent="0.3">
      <c r="A1565" t="s">
        <v>1611</v>
      </c>
      <c r="B1565" t="s">
        <v>20</v>
      </c>
      <c r="C1565" t="s">
        <v>46</v>
      </c>
      <c r="D1565" t="s">
        <v>25</v>
      </c>
      <c r="E1565" s="1">
        <v>45251</v>
      </c>
      <c r="F1565" s="1">
        <v>45254</v>
      </c>
      <c r="G1565">
        <v>46.2</v>
      </c>
      <c r="H1565">
        <v>94.64</v>
      </c>
      <c r="I1565" t="s">
        <v>15</v>
      </c>
      <c r="J1565">
        <v>176</v>
      </c>
      <c r="K1565">
        <v>3</v>
      </c>
      <c r="L1565" t="str">
        <f>IF(logistics_data[[#This Row],[Delivery_Date]]="","In Transit",
 IF(logistics_data[[#This Row],[Status]]="Lost","Lost",
 IF(logistics_data[[#This Row],[Status]]="Returned","Returned",
 IF(logistics_data[[#This Row],[Status]]="Delayed","Delayed",
 "Delivered"))))</f>
        <v>Delivered</v>
      </c>
      <c r="M1565" s="2">
        <f>logistics_data[[#This Row],[Cost]]/logistics_data[[#This Row],[Distance_miles]]</f>
        <v>0.53772727272727272</v>
      </c>
      <c r="N1565" t="str">
        <f>IF(logistics_data[[#This Row],[Orginal staus of shipment]]&lt;&gt;"Delivered","not applicabel", IF(logistics_data[[#This Row],[Transit_Days]]&gt;=5,"slow","fast"))</f>
        <v>fast</v>
      </c>
    </row>
    <row r="1566" spans="1:14" x14ac:dyDescent="0.3">
      <c r="A1566" t="s">
        <v>1612</v>
      </c>
      <c r="B1566" t="s">
        <v>49</v>
      </c>
      <c r="C1566" t="s">
        <v>40</v>
      </c>
      <c r="D1566" t="s">
        <v>18</v>
      </c>
      <c r="E1566" s="1">
        <v>45133</v>
      </c>
      <c r="F1566" s="1">
        <v>45138</v>
      </c>
      <c r="G1566">
        <v>49.5</v>
      </c>
      <c r="H1566">
        <v>383.77</v>
      </c>
      <c r="I1566" t="s">
        <v>15</v>
      </c>
      <c r="J1566">
        <v>2055</v>
      </c>
      <c r="K1566">
        <v>5</v>
      </c>
      <c r="L1566" t="str">
        <f>IF(logistics_data[[#This Row],[Delivery_Date]]="","In Transit",
 IF(logistics_data[[#This Row],[Status]]="Lost","Lost",
 IF(logistics_data[[#This Row],[Status]]="Returned","Returned",
 IF(logistics_data[[#This Row],[Status]]="Delayed","Delayed",
 "Delivered"))))</f>
        <v>Delivered</v>
      </c>
      <c r="M1566" s="2">
        <f>logistics_data[[#This Row],[Cost]]/logistics_data[[#This Row],[Distance_miles]]</f>
        <v>0.18674939172749391</v>
      </c>
      <c r="N1566" t="str">
        <f>IF(logistics_data[[#This Row],[Orginal staus of shipment]]&lt;&gt;"Delivered","not applicabel", IF(logistics_data[[#This Row],[Transit_Days]]&gt;=5,"slow","fast"))</f>
        <v>slow</v>
      </c>
    </row>
    <row r="1567" spans="1:14" x14ac:dyDescent="0.3">
      <c r="A1567" t="s">
        <v>1613</v>
      </c>
      <c r="B1567" t="s">
        <v>39</v>
      </c>
      <c r="C1567" t="s">
        <v>44</v>
      </c>
      <c r="D1567" t="s">
        <v>14</v>
      </c>
      <c r="E1567" s="1">
        <v>45026</v>
      </c>
      <c r="G1567">
        <v>39.200000000000003</v>
      </c>
      <c r="H1567">
        <v>293.51</v>
      </c>
      <c r="I1567" t="s">
        <v>15</v>
      </c>
      <c r="J1567">
        <v>1732</v>
      </c>
      <c r="K1567">
        <v>6</v>
      </c>
      <c r="L1567" t="str">
        <f>IF(logistics_data[[#This Row],[Delivery_Date]]="","In Transit",
 IF(logistics_data[[#This Row],[Status]]="Lost","Lost",
 IF(logistics_data[[#This Row],[Status]]="Returned","Returned",
 IF(logistics_data[[#This Row],[Status]]="Delayed","Delayed",
 "Delivered"))))</f>
        <v>In Transit</v>
      </c>
      <c r="M1567" s="2">
        <f>logistics_data[[#This Row],[Cost]]/logistics_data[[#This Row],[Distance_miles]]</f>
        <v>0.16946304849884525</v>
      </c>
      <c r="N1567" t="str">
        <f>IF(logistics_data[[#This Row],[Orginal staus of shipment]]&lt;&gt;"Delivered","not applicabel", IF(logistics_data[[#This Row],[Transit_Days]]&gt;=5,"slow","fast"))</f>
        <v>not applicabel</v>
      </c>
    </row>
    <row r="1568" spans="1:14" x14ac:dyDescent="0.3">
      <c r="A1568" t="s">
        <v>1614</v>
      </c>
      <c r="B1568" t="s">
        <v>39</v>
      </c>
      <c r="C1568" t="s">
        <v>70</v>
      </c>
      <c r="D1568" t="s">
        <v>59</v>
      </c>
      <c r="E1568" s="1">
        <v>45203</v>
      </c>
      <c r="F1568" s="1">
        <v>45208</v>
      </c>
      <c r="G1568">
        <v>17.7</v>
      </c>
      <c r="H1568">
        <v>168.61</v>
      </c>
      <c r="I1568" t="s">
        <v>15</v>
      </c>
      <c r="J1568">
        <v>1439</v>
      </c>
      <c r="K1568">
        <v>5</v>
      </c>
      <c r="L1568" t="str">
        <f>IF(logistics_data[[#This Row],[Delivery_Date]]="","In Transit",
 IF(logistics_data[[#This Row],[Status]]="Lost","Lost",
 IF(logistics_data[[#This Row],[Status]]="Returned","Returned",
 IF(logistics_data[[#This Row],[Status]]="Delayed","Delayed",
 "Delivered"))))</f>
        <v>Delivered</v>
      </c>
      <c r="M1568" s="2">
        <f>logistics_data[[#This Row],[Cost]]/logistics_data[[#This Row],[Distance_miles]]</f>
        <v>0.11717164697706742</v>
      </c>
      <c r="N1568" t="str">
        <f>IF(logistics_data[[#This Row],[Orginal staus of shipment]]&lt;&gt;"Delivered","not applicabel", IF(logistics_data[[#This Row],[Transit_Days]]&gt;=5,"slow","fast"))</f>
        <v>slow</v>
      </c>
    </row>
    <row r="1569" spans="1:14" x14ac:dyDescent="0.3">
      <c r="A1569" t="s">
        <v>1615</v>
      </c>
      <c r="B1569" t="s">
        <v>39</v>
      </c>
      <c r="C1569" t="s">
        <v>57</v>
      </c>
      <c r="D1569" t="s">
        <v>32</v>
      </c>
      <c r="E1569" s="1">
        <v>45015</v>
      </c>
      <c r="F1569" s="1">
        <v>45017</v>
      </c>
      <c r="G1569">
        <v>27.9</v>
      </c>
      <c r="H1569">
        <v>138.4</v>
      </c>
      <c r="I1569" t="s">
        <v>15</v>
      </c>
      <c r="J1569">
        <v>860</v>
      </c>
      <c r="K1569">
        <v>2</v>
      </c>
      <c r="L1569" t="str">
        <f>IF(logistics_data[[#This Row],[Delivery_Date]]="","In Transit",
 IF(logistics_data[[#This Row],[Status]]="Lost","Lost",
 IF(logistics_data[[#This Row],[Status]]="Returned","Returned",
 IF(logistics_data[[#This Row],[Status]]="Delayed","Delayed",
 "Delivered"))))</f>
        <v>Delivered</v>
      </c>
      <c r="M1569" s="2">
        <f>logistics_data[[#This Row],[Cost]]/logistics_data[[#This Row],[Distance_miles]]</f>
        <v>0.16093023255813954</v>
      </c>
      <c r="N1569" t="str">
        <f>IF(logistics_data[[#This Row],[Orginal staus of shipment]]&lt;&gt;"Delivered","not applicabel", IF(logistics_data[[#This Row],[Transit_Days]]&gt;=5,"slow","fast"))</f>
        <v>fast</v>
      </c>
    </row>
    <row r="1570" spans="1:14" x14ac:dyDescent="0.3">
      <c r="A1570" t="s">
        <v>1616</v>
      </c>
      <c r="B1570" t="s">
        <v>27</v>
      </c>
      <c r="C1570" t="s">
        <v>17</v>
      </c>
      <c r="D1570" t="s">
        <v>18</v>
      </c>
      <c r="E1570" s="1">
        <v>44942</v>
      </c>
      <c r="F1570" s="1">
        <v>44947</v>
      </c>
      <c r="G1570">
        <v>4.5999999999999996</v>
      </c>
      <c r="H1570">
        <v>291.01</v>
      </c>
      <c r="I1570" t="s">
        <v>15</v>
      </c>
      <c r="J1570">
        <v>2171</v>
      </c>
      <c r="K1570">
        <v>5</v>
      </c>
      <c r="L1570" t="str">
        <f>IF(logistics_data[[#This Row],[Delivery_Date]]="","In Transit",
 IF(logistics_data[[#This Row],[Status]]="Lost","Lost",
 IF(logistics_data[[#This Row],[Status]]="Returned","Returned",
 IF(logistics_data[[#This Row],[Status]]="Delayed","Delayed",
 "Delivered"))))</f>
        <v>Delivered</v>
      </c>
      <c r="M1570" s="2">
        <f>logistics_data[[#This Row],[Cost]]/logistics_data[[#This Row],[Distance_miles]]</f>
        <v>0.13404421925380008</v>
      </c>
      <c r="N1570" t="str">
        <f>IF(logistics_data[[#This Row],[Orginal staus of shipment]]&lt;&gt;"Delivered","not applicabel", IF(logistics_data[[#This Row],[Transit_Days]]&gt;=5,"slow","fast"))</f>
        <v>slow</v>
      </c>
    </row>
    <row r="1571" spans="1:14" x14ac:dyDescent="0.3">
      <c r="A1571" t="s">
        <v>1617</v>
      </c>
      <c r="B1571" t="s">
        <v>12</v>
      </c>
      <c r="C1571" t="s">
        <v>40</v>
      </c>
      <c r="D1571" t="s">
        <v>14</v>
      </c>
      <c r="E1571" s="1">
        <v>44994</v>
      </c>
      <c r="F1571" s="1">
        <v>45001</v>
      </c>
      <c r="G1571">
        <v>13.6</v>
      </c>
      <c r="H1571">
        <v>261.01</v>
      </c>
      <c r="I1571" t="s">
        <v>15</v>
      </c>
      <c r="J1571">
        <v>2029</v>
      </c>
      <c r="K1571">
        <v>7</v>
      </c>
      <c r="L1571" t="str">
        <f>IF(logistics_data[[#This Row],[Delivery_Date]]="","In Transit",
 IF(logistics_data[[#This Row],[Status]]="Lost","Lost",
 IF(logistics_data[[#This Row],[Status]]="Returned","Returned",
 IF(logistics_data[[#This Row],[Status]]="Delayed","Delayed",
 "Delivered"))))</f>
        <v>Delivered</v>
      </c>
      <c r="M1571" s="2">
        <f>logistics_data[[#This Row],[Cost]]/logistics_data[[#This Row],[Distance_miles]]</f>
        <v>0.12863972400197141</v>
      </c>
      <c r="N1571" t="str">
        <f>IF(logistics_data[[#This Row],[Orginal staus of shipment]]&lt;&gt;"Delivered","not applicabel", IF(logistics_data[[#This Row],[Transit_Days]]&gt;=5,"slow","fast"))</f>
        <v>slow</v>
      </c>
    </row>
    <row r="1572" spans="1:14" x14ac:dyDescent="0.3">
      <c r="A1572" t="s">
        <v>1618</v>
      </c>
      <c r="B1572" t="s">
        <v>35</v>
      </c>
      <c r="C1572" t="s">
        <v>44</v>
      </c>
      <c r="D1572" t="s">
        <v>42</v>
      </c>
      <c r="E1572" s="1">
        <v>44992</v>
      </c>
      <c r="F1572" s="1">
        <v>44996</v>
      </c>
      <c r="G1572">
        <v>137.5</v>
      </c>
      <c r="H1572">
        <v>165.56</v>
      </c>
      <c r="I1572" t="s">
        <v>15</v>
      </c>
      <c r="J1572">
        <v>136</v>
      </c>
      <c r="K1572">
        <v>4</v>
      </c>
      <c r="L1572" t="str">
        <f>IF(logistics_data[[#This Row],[Delivery_Date]]="","In Transit",
 IF(logistics_data[[#This Row],[Status]]="Lost","Lost",
 IF(logistics_data[[#This Row],[Status]]="Returned","Returned",
 IF(logistics_data[[#This Row],[Status]]="Delayed","Delayed",
 "Delivered"))))</f>
        <v>Delivered</v>
      </c>
      <c r="M1572" s="2">
        <f>logistics_data[[#This Row],[Cost]]/logistics_data[[#This Row],[Distance_miles]]</f>
        <v>1.2173529411764705</v>
      </c>
      <c r="N1572" t="str">
        <f>IF(logistics_data[[#This Row],[Orginal staus of shipment]]&lt;&gt;"Delivered","not applicabel", IF(logistics_data[[#This Row],[Transit_Days]]&gt;=5,"slow","fast"))</f>
        <v>fast</v>
      </c>
    </row>
    <row r="1573" spans="1:14" x14ac:dyDescent="0.3">
      <c r="A1573" t="s">
        <v>1619</v>
      </c>
      <c r="B1573" t="s">
        <v>56</v>
      </c>
      <c r="C1573" t="s">
        <v>57</v>
      </c>
      <c r="D1573" t="s">
        <v>37</v>
      </c>
      <c r="E1573" s="1">
        <v>45036</v>
      </c>
      <c r="F1573" s="1">
        <v>45043</v>
      </c>
      <c r="G1573">
        <v>17.100000000000001</v>
      </c>
      <c r="H1573">
        <v>303.85000000000002</v>
      </c>
      <c r="I1573" t="s">
        <v>15</v>
      </c>
      <c r="J1573">
        <v>2247</v>
      </c>
      <c r="K1573">
        <v>7</v>
      </c>
      <c r="L1573" t="str">
        <f>IF(logistics_data[[#This Row],[Delivery_Date]]="","In Transit",
 IF(logistics_data[[#This Row],[Status]]="Lost","Lost",
 IF(logistics_data[[#This Row],[Status]]="Returned","Returned",
 IF(logistics_data[[#This Row],[Status]]="Delayed","Delayed",
 "Delivered"))))</f>
        <v>Delivered</v>
      </c>
      <c r="M1573" s="2">
        <f>logistics_data[[#This Row],[Cost]]/logistics_data[[#This Row],[Distance_miles]]</f>
        <v>0.13522474410324878</v>
      </c>
      <c r="N1573" t="str">
        <f>IF(logistics_data[[#This Row],[Orginal staus of shipment]]&lt;&gt;"Delivered","not applicabel", IF(logistics_data[[#This Row],[Transit_Days]]&gt;=5,"slow","fast"))</f>
        <v>slow</v>
      </c>
    </row>
    <row r="1574" spans="1:14" x14ac:dyDescent="0.3">
      <c r="A1574" t="s">
        <v>1620</v>
      </c>
      <c r="B1574" t="s">
        <v>27</v>
      </c>
      <c r="C1574" t="s">
        <v>81</v>
      </c>
      <c r="D1574" t="s">
        <v>14</v>
      </c>
      <c r="E1574" s="1">
        <v>45267</v>
      </c>
      <c r="F1574" s="1">
        <v>45268</v>
      </c>
      <c r="G1574">
        <v>25.9</v>
      </c>
      <c r="H1574">
        <v>60.74</v>
      </c>
      <c r="I1574" t="s">
        <v>15</v>
      </c>
      <c r="J1574">
        <v>131</v>
      </c>
      <c r="K1574">
        <v>1</v>
      </c>
      <c r="L1574" t="str">
        <f>IF(logistics_data[[#This Row],[Delivery_Date]]="","In Transit",
 IF(logistics_data[[#This Row],[Status]]="Lost","Lost",
 IF(logistics_data[[#This Row],[Status]]="Returned","Returned",
 IF(logistics_data[[#This Row],[Status]]="Delayed","Delayed",
 "Delivered"))))</f>
        <v>Delivered</v>
      </c>
      <c r="M1574" s="2">
        <f>logistics_data[[#This Row],[Cost]]/logistics_data[[#This Row],[Distance_miles]]</f>
        <v>0.4636641221374046</v>
      </c>
      <c r="N1574" t="str">
        <f>IF(logistics_data[[#This Row],[Orginal staus of shipment]]&lt;&gt;"Delivered","not applicabel", IF(logistics_data[[#This Row],[Transit_Days]]&gt;=5,"slow","fast"))</f>
        <v>fast</v>
      </c>
    </row>
    <row r="1575" spans="1:14" x14ac:dyDescent="0.3">
      <c r="A1575" t="s">
        <v>1621</v>
      </c>
      <c r="B1575" t="s">
        <v>35</v>
      </c>
      <c r="C1575" t="s">
        <v>81</v>
      </c>
      <c r="D1575" t="s">
        <v>18</v>
      </c>
      <c r="E1575" s="1">
        <v>45202</v>
      </c>
      <c r="F1575" s="1">
        <v>45206</v>
      </c>
      <c r="G1575">
        <v>18.3</v>
      </c>
      <c r="H1575">
        <v>172.23</v>
      </c>
      <c r="I1575" t="s">
        <v>15</v>
      </c>
      <c r="J1575">
        <v>1000</v>
      </c>
      <c r="K1575">
        <v>4</v>
      </c>
      <c r="L1575" t="str">
        <f>IF(logistics_data[[#This Row],[Delivery_Date]]="","In Transit",
 IF(logistics_data[[#This Row],[Status]]="Lost","Lost",
 IF(logistics_data[[#This Row],[Status]]="Returned","Returned",
 IF(logistics_data[[#This Row],[Status]]="Delayed","Delayed",
 "Delivered"))))</f>
        <v>Delivered</v>
      </c>
      <c r="M1575" s="2">
        <f>logistics_data[[#This Row],[Cost]]/logistics_data[[#This Row],[Distance_miles]]</f>
        <v>0.17222999999999999</v>
      </c>
      <c r="N1575" t="str">
        <f>IF(logistics_data[[#This Row],[Orginal staus of shipment]]&lt;&gt;"Delivered","not applicabel", IF(logistics_data[[#This Row],[Transit_Days]]&gt;=5,"slow","fast"))</f>
        <v>fast</v>
      </c>
    </row>
    <row r="1576" spans="1:14" x14ac:dyDescent="0.3">
      <c r="A1576" t="s">
        <v>1622</v>
      </c>
      <c r="B1576" t="s">
        <v>56</v>
      </c>
      <c r="C1576" t="s">
        <v>81</v>
      </c>
      <c r="D1576" t="s">
        <v>25</v>
      </c>
      <c r="E1576" s="1">
        <v>45280</v>
      </c>
      <c r="F1576" s="1">
        <v>45282</v>
      </c>
      <c r="G1576">
        <v>6.8</v>
      </c>
      <c r="H1576">
        <v>30.04</v>
      </c>
      <c r="I1576" t="s">
        <v>15</v>
      </c>
      <c r="J1576">
        <v>152</v>
      </c>
      <c r="K1576">
        <v>2</v>
      </c>
      <c r="L1576" t="str">
        <f>IF(logistics_data[[#This Row],[Delivery_Date]]="","In Transit",
 IF(logistics_data[[#This Row],[Status]]="Lost","Lost",
 IF(logistics_data[[#This Row],[Status]]="Returned","Returned",
 IF(logistics_data[[#This Row],[Status]]="Delayed","Delayed",
 "Delivered"))))</f>
        <v>Delivered</v>
      </c>
      <c r="M1576" s="2">
        <f>logistics_data[[#This Row],[Cost]]/logistics_data[[#This Row],[Distance_miles]]</f>
        <v>0.19763157894736841</v>
      </c>
      <c r="N1576" t="str">
        <f>IF(logistics_data[[#This Row],[Orginal staus of shipment]]&lt;&gt;"Delivered","not applicabel", IF(logistics_data[[#This Row],[Transit_Days]]&gt;=5,"slow","fast"))</f>
        <v>fast</v>
      </c>
    </row>
    <row r="1577" spans="1:14" x14ac:dyDescent="0.3">
      <c r="A1577" t="s">
        <v>1623</v>
      </c>
      <c r="B1577" t="s">
        <v>56</v>
      </c>
      <c r="C1577" t="s">
        <v>52</v>
      </c>
      <c r="D1577" t="s">
        <v>32</v>
      </c>
      <c r="E1577" s="1">
        <v>45280</v>
      </c>
      <c r="F1577" s="1">
        <v>45281</v>
      </c>
      <c r="G1577">
        <v>34.700000000000003</v>
      </c>
      <c r="H1577">
        <v>86.21</v>
      </c>
      <c r="I1577" t="s">
        <v>15</v>
      </c>
      <c r="J1577">
        <v>224</v>
      </c>
      <c r="K1577">
        <v>1</v>
      </c>
      <c r="L1577" t="str">
        <f>IF(logistics_data[[#This Row],[Delivery_Date]]="","In Transit",
 IF(logistics_data[[#This Row],[Status]]="Lost","Lost",
 IF(logistics_data[[#This Row],[Status]]="Returned","Returned",
 IF(logistics_data[[#This Row],[Status]]="Delayed","Delayed",
 "Delivered"))))</f>
        <v>Delivered</v>
      </c>
      <c r="M1577" s="2">
        <f>logistics_data[[#This Row],[Cost]]/logistics_data[[#This Row],[Distance_miles]]</f>
        <v>0.38486607142857138</v>
      </c>
      <c r="N1577" t="str">
        <f>IF(logistics_data[[#This Row],[Orginal staus of shipment]]&lt;&gt;"Delivered","not applicabel", IF(logistics_data[[#This Row],[Transit_Days]]&gt;=5,"slow","fast"))</f>
        <v>fast</v>
      </c>
    </row>
    <row r="1578" spans="1:14" x14ac:dyDescent="0.3">
      <c r="A1578" t="s">
        <v>1624</v>
      </c>
      <c r="B1578" t="s">
        <v>20</v>
      </c>
      <c r="C1578" t="s">
        <v>21</v>
      </c>
      <c r="D1578" t="s">
        <v>25</v>
      </c>
      <c r="E1578" s="1">
        <v>45108</v>
      </c>
      <c r="F1578" s="1">
        <v>45120</v>
      </c>
      <c r="G1578">
        <v>36.799999999999997</v>
      </c>
      <c r="H1578">
        <v>150.78</v>
      </c>
      <c r="I1578" t="s">
        <v>47</v>
      </c>
      <c r="J1578">
        <v>882</v>
      </c>
      <c r="K1578">
        <v>2</v>
      </c>
      <c r="L1578" t="str">
        <f>IF(logistics_data[[#This Row],[Delivery_Date]]="","In Transit",
 IF(logistics_data[[#This Row],[Status]]="Lost","Lost",
 IF(logistics_data[[#This Row],[Status]]="Returned","Returned",
 IF(logistics_data[[#This Row],[Status]]="Delayed","Delayed",
 "Delivered"))))</f>
        <v>Delayed</v>
      </c>
      <c r="M1578" s="2">
        <f>logistics_data[[#This Row],[Cost]]/logistics_data[[#This Row],[Distance_miles]]</f>
        <v>0.17095238095238097</v>
      </c>
      <c r="N1578" t="str">
        <f>IF(logistics_data[[#This Row],[Orginal staus of shipment]]&lt;&gt;"Delivered","not applicabel", IF(logistics_data[[#This Row],[Transit_Days]]&gt;=5,"slow","fast"))</f>
        <v>not applicabel</v>
      </c>
    </row>
    <row r="1579" spans="1:14" x14ac:dyDescent="0.3">
      <c r="A1579" t="s">
        <v>1625</v>
      </c>
      <c r="B1579" t="s">
        <v>12</v>
      </c>
      <c r="C1579" t="s">
        <v>13</v>
      </c>
      <c r="D1579" t="s">
        <v>37</v>
      </c>
      <c r="E1579" s="1">
        <v>45267</v>
      </c>
      <c r="F1579" s="1">
        <v>45271</v>
      </c>
      <c r="G1579">
        <v>28.7</v>
      </c>
      <c r="H1579">
        <v>238.39</v>
      </c>
      <c r="I1579" t="s">
        <v>15</v>
      </c>
      <c r="J1579">
        <v>1229</v>
      </c>
      <c r="K1579">
        <v>4</v>
      </c>
      <c r="L1579" t="str">
        <f>IF(logistics_data[[#This Row],[Delivery_Date]]="","In Transit",
 IF(logistics_data[[#This Row],[Status]]="Lost","Lost",
 IF(logistics_data[[#This Row],[Status]]="Returned","Returned",
 IF(logistics_data[[#This Row],[Status]]="Delayed","Delayed",
 "Delivered"))))</f>
        <v>Delivered</v>
      </c>
      <c r="M1579" s="2">
        <f>logistics_data[[#This Row],[Cost]]/logistics_data[[#This Row],[Distance_miles]]</f>
        <v>0.1939707078925956</v>
      </c>
      <c r="N1579" t="str">
        <f>IF(logistics_data[[#This Row],[Orginal staus of shipment]]&lt;&gt;"Delivered","not applicabel", IF(logistics_data[[#This Row],[Transit_Days]]&gt;=5,"slow","fast"))</f>
        <v>fast</v>
      </c>
    </row>
    <row r="1580" spans="1:14" x14ac:dyDescent="0.3">
      <c r="A1580" t="s">
        <v>1626</v>
      </c>
      <c r="B1580" t="s">
        <v>30</v>
      </c>
      <c r="C1580" t="s">
        <v>17</v>
      </c>
      <c r="D1580" t="s">
        <v>32</v>
      </c>
      <c r="E1580" s="1">
        <v>44942</v>
      </c>
      <c r="F1580" s="1">
        <v>44945</v>
      </c>
      <c r="G1580">
        <v>8.1</v>
      </c>
      <c r="H1580">
        <v>171.35</v>
      </c>
      <c r="I1580" t="s">
        <v>67</v>
      </c>
      <c r="J1580">
        <v>1305</v>
      </c>
      <c r="K1580">
        <v>3</v>
      </c>
      <c r="L1580" t="str">
        <f>IF(logistics_data[[#This Row],[Delivery_Date]]="","In Transit",
 IF(logistics_data[[#This Row],[Status]]="Lost","Lost",
 IF(logistics_data[[#This Row],[Status]]="Returned","Returned",
 IF(logistics_data[[#This Row],[Status]]="Delayed","Delayed",
 "Delivered"))))</f>
        <v>Returned</v>
      </c>
      <c r="M1580" s="2">
        <f>logistics_data[[#This Row],[Cost]]/logistics_data[[#This Row],[Distance_miles]]</f>
        <v>0.13130268199233716</v>
      </c>
      <c r="N1580" t="str">
        <f>IF(logistics_data[[#This Row],[Orginal staus of shipment]]&lt;&gt;"Delivered","not applicabel", IF(logistics_data[[#This Row],[Transit_Days]]&gt;=5,"slow","fast"))</f>
        <v>not applicabel</v>
      </c>
    </row>
    <row r="1581" spans="1:14" x14ac:dyDescent="0.3">
      <c r="A1581" t="s">
        <v>1627</v>
      </c>
      <c r="B1581" t="s">
        <v>51</v>
      </c>
      <c r="C1581" t="s">
        <v>24</v>
      </c>
      <c r="D1581" t="s">
        <v>18</v>
      </c>
      <c r="E1581" s="1">
        <v>45134</v>
      </c>
      <c r="F1581" s="1">
        <v>45137</v>
      </c>
      <c r="G1581">
        <v>34.6</v>
      </c>
      <c r="H1581">
        <v>91.64</v>
      </c>
      <c r="I1581" t="s">
        <v>15</v>
      </c>
      <c r="J1581">
        <v>344</v>
      </c>
      <c r="K1581">
        <v>3</v>
      </c>
      <c r="L1581" t="str">
        <f>IF(logistics_data[[#This Row],[Delivery_Date]]="","In Transit",
 IF(logistics_data[[#This Row],[Status]]="Lost","Lost",
 IF(logistics_data[[#This Row],[Status]]="Returned","Returned",
 IF(logistics_data[[#This Row],[Status]]="Delayed","Delayed",
 "Delivered"))))</f>
        <v>Delivered</v>
      </c>
      <c r="M1581" s="2">
        <f>logistics_data[[#This Row],[Cost]]/logistics_data[[#This Row],[Distance_miles]]</f>
        <v>0.26639534883720928</v>
      </c>
      <c r="N1581" t="str">
        <f>IF(logistics_data[[#This Row],[Orginal staus of shipment]]&lt;&gt;"Delivered","not applicabel", IF(logistics_data[[#This Row],[Transit_Days]]&gt;=5,"slow","fast"))</f>
        <v>fast</v>
      </c>
    </row>
    <row r="1582" spans="1:14" x14ac:dyDescent="0.3">
      <c r="A1582" t="s">
        <v>1628</v>
      </c>
      <c r="B1582" t="s">
        <v>49</v>
      </c>
      <c r="C1582" t="s">
        <v>81</v>
      </c>
      <c r="D1582" t="s">
        <v>14</v>
      </c>
      <c r="E1582" s="1">
        <v>45145</v>
      </c>
      <c r="G1582">
        <v>52.4</v>
      </c>
      <c r="H1582">
        <v>194.19</v>
      </c>
      <c r="I1582" t="s">
        <v>15</v>
      </c>
      <c r="J1582">
        <v>1071</v>
      </c>
      <c r="K1582">
        <v>4</v>
      </c>
      <c r="L1582" t="str">
        <f>IF(logistics_data[[#This Row],[Delivery_Date]]="","In Transit",
 IF(logistics_data[[#This Row],[Status]]="Lost","Lost",
 IF(logistics_data[[#This Row],[Status]]="Returned","Returned",
 IF(logistics_data[[#This Row],[Status]]="Delayed","Delayed",
 "Delivered"))))</f>
        <v>In Transit</v>
      </c>
      <c r="M1582" s="2">
        <f>logistics_data[[#This Row],[Cost]]/logistics_data[[#This Row],[Distance_miles]]</f>
        <v>0.18131652661064426</v>
      </c>
      <c r="N1582" t="str">
        <f>IF(logistics_data[[#This Row],[Orginal staus of shipment]]&lt;&gt;"Delivered","not applicabel", IF(logistics_data[[#This Row],[Transit_Days]]&gt;=5,"slow","fast"))</f>
        <v>not applicabel</v>
      </c>
    </row>
    <row r="1583" spans="1:14" x14ac:dyDescent="0.3">
      <c r="A1583" t="s">
        <v>1629</v>
      </c>
      <c r="B1583" t="s">
        <v>49</v>
      </c>
      <c r="C1583" t="s">
        <v>44</v>
      </c>
      <c r="D1583" t="s">
        <v>25</v>
      </c>
      <c r="E1583" s="1">
        <v>45266</v>
      </c>
      <c r="F1583" s="1">
        <v>45273</v>
      </c>
      <c r="G1583">
        <v>10.8</v>
      </c>
      <c r="H1583">
        <v>225.38</v>
      </c>
      <c r="I1583" t="s">
        <v>15</v>
      </c>
      <c r="J1583">
        <v>1369</v>
      </c>
      <c r="K1583">
        <v>7</v>
      </c>
      <c r="L1583" t="str">
        <f>IF(logistics_data[[#This Row],[Delivery_Date]]="","In Transit",
 IF(logistics_data[[#This Row],[Status]]="Lost","Lost",
 IF(logistics_data[[#This Row],[Status]]="Returned","Returned",
 IF(logistics_data[[#This Row],[Status]]="Delayed","Delayed",
 "Delivered"))))</f>
        <v>Delivered</v>
      </c>
      <c r="M1583" s="2">
        <f>logistics_data[[#This Row],[Cost]]/logistics_data[[#This Row],[Distance_miles]]</f>
        <v>0.16463111760409058</v>
      </c>
      <c r="N1583" t="str">
        <f>IF(logistics_data[[#This Row],[Orginal staus of shipment]]&lt;&gt;"Delivered","not applicabel", IF(logistics_data[[#This Row],[Transit_Days]]&gt;=5,"slow","fast"))</f>
        <v>slow</v>
      </c>
    </row>
    <row r="1584" spans="1:14" x14ac:dyDescent="0.3">
      <c r="A1584" t="s">
        <v>1630</v>
      </c>
      <c r="B1584" t="s">
        <v>20</v>
      </c>
      <c r="C1584" t="s">
        <v>70</v>
      </c>
      <c r="D1584" t="s">
        <v>14</v>
      </c>
      <c r="E1584" s="1">
        <v>45038</v>
      </c>
      <c r="F1584" s="1">
        <v>45043</v>
      </c>
      <c r="G1584">
        <v>16.5</v>
      </c>
      <c r="H1584">
        <v>282.23</v>
      </c>
      <c r="I1584" t="s">
        <v>15</v>
      </c>
      <c r="J1584">
        <v>2056</v>
      </c>
      <c r="K1584">
        <v>5</v>
      </c>
      <c r="L1584" t="str">
        <f>IF(logistics_data[[#This Row],[Delivery_Date]]="","In Transit",
 IF(logistics_data[[#This Row],[Status]]="Lost","Lost",
 IF(logistics_data[[#This Row],[Status]]="Returned","Returned",
 IF(logistics_data[[#This Row],[Status]]="Delayed","Delayed",
 "Delivered"))))</f>
        <v>Delivered</v>
      </c>
      <c r="M1584" s="2">
        <f>logistics_data[[#This Row],[Cost]]/logistics_data[[#This Row],[Distance_miles]]</f>
        <v>0.13727140077821012</v>
      </c>
      <c r="N1584" t="str">
        <f>IF(logistics_data[[#This Row],[Orginal staus of shipment]]&lt;&gt;"Delivered","not applicabel", IF(logistics_data[[#This Row],[Transit_Days]]&gt;=5,"slow","fast"))</f>
        <v>slow</v>
      </c>
    </row>
    <row r="1585" spans="1:14" x14ac:dyDescent="0.3">
      <c r="A1585" t="s">
        <v>1631</v>
      </c>
      <c r="B1585" t="s">
        <v>39</v>
      </c>
      <c r="C1585" t="s">
        <v>44</v>
      </c>
      <c r="D1585" t="s">
        <v>59</v>
      </c>
      <c r="E1585" s="1">
        <v>45279</v>
      </c>
      <c r="F1585" s="1">
        <v>45283</v>
      </c>
      <c r="G1585">
        <v>108.5</v>
      </c>
      <c r="H1585">
        <v>299.16000000000003</v>
      </c>
      <c r="I1585" t="s">
        <v>15</v>
      </c>
      <c r="J1585">
        <v>1240</v>
      </c>
      <c r="K1585">
        <v>4</v>
      </c>
      <c r="L1585" t="str">
        <f>IF(logistics_data[[#This Row],[Delivery_Date]]="","In Transit",
 IF(logistics_data[[#This Row],[Status]]="Lost","Lost",
 IF(logistics_data[[#This Row],[Status]]="Returned","Returned",
 IF(logistics_data[[#This Row],[Status]]="Delayed","Delayed",
 "Delivered"))))</f>
        <v>Delivered</v>
      </c>
      <c r="M1585" s="2">
        <f>logistics_data[[#This Row],[Cost]]/logistics_data[[#This Row],[Distance_miles]]</f>
        <v>0.24125806451612905</v>
      </c>
      <c r="N1585" t="str">
        <f>IF(logistics_data[[#This Row],[Orginal staus of shipment]]&lt;&gt;"Delivered","not applicabel", IF(logistics_data[[#This Row],[Transit_Days]]&gt;=5,"slow","fast"))</f>
        <v>fast</v>
      </c>
    </row>
    <row r="1586" spans="1:14" x14ac:dyDescent="0.3">
      <c r="A1586" t="s">
        <v>1632</v>
      </c>
      <c r="B1586" t="s">
        <v>56</v>
      </c>
      <c r="C1586" t="s">
        <v>70</v>
      </c>
      <c r="D1586" t="s">
        <v>25</v>
      </c>
      <c r="E1586" s="1">
        <v>45018</v>
      </c>
      <c r="F1586" s="1">
        <v>45022</v>
      </c>
      <c r="G1586">
        <v>5.8</v>
      </c>
      <c r="H1586">
        <v>173.56</v>
      </c>
      <c r="I1586" t="s">
        <v>15</v>
      </c>
      <c r="J1586">
        <v>1355</v>
      </c>
      <c r="K1586">
        <v>4</v>
      </c>
      <c r="L1586" t="str">
        <f>IF(logistics_data[[#This Row],[Delivery_Date]]="","In Transit",
 IF(logistics_data[[#This Row],[Status]]="Lost","Lost",
 IF(logistics_data[[#This Row],[Status]]="Returned","Returned",
 IF(logistics_data[[#This Row],[Status]]="Delayed","Delayed",
 "Delivered"))))</f>
        <v>Delivered</v>
      </c>
      <c r="M1586" s="2">
        <f>logistics_data[[#This Row],[Cost]]/logistics_data[[#This Row],[Distance_miles]]</f>
        <v>0.12808856088560885</v>
      </c>
      <c r="N1586" t="str">
        <f>IF(logistics_data[[#This Row],[Orginal staus of shipment]]&lt;&gt;"Delivered","not applicabel", IF(logistics_data[[#This Row],[Transit_Days]]&gt;=5,"slow","fast"))</f>
        <v>fast</v>
      </c>
    </row>
    <row r="1587" spans="1:14" x14ac:dyDescent="0.3">
      <c r="A1587" t="s">
        <v>1633</v>
      </c>
      <c r="B1587" t="s">
        <v>39</v>
      </c>
      <c r="C1587" t="s">
        <v>44</v>
      </c>
      <c r="D1587" t="s">
        <v>18</v>
      </c>
      <c r="E1587" s="1">
        <v>45220</v>
      </c>
      <c r="F1587" s="1">
        <v>45233</v>
      </c>
      <c r="G1587">
        <v>31</v>
      </c>
      <c r="H1587">
        <v>346.62</v>
      </c>
      <c r="I1587" t="s">
        <v>47</v>
      </c>
      <c r="J1587">
        <v>2201</v>
      </c>
      <c r="K1587">
        <v>8</v>
      </c>
      <c r="L1587" t="str">
        <f>IF(logistics_data[[#This Row],[Delivery_Date]]="","In Transit",
 IF(logistics_data[[#This Row],[Status]]="Lost","Lost",
 IF(logistics_data[[#This Row],[Status]]="Returned","Returned",
 IF(logistics_data[[#This Row],[Status]]="Delayed","Delayed",
 "Delivered"))))</f>
        <v>Delayed</v>
      </c>
      <c r="M1587" s="2">
        <f>logistics_data[[#This Row],[Cost]]/logistics_data[[#This Row],[Distance_miles]]</f>
        <v>0.15748296228986824</v>
      </c>
      <c r="N1587" t="str">
        <f>IF(logistics_data[[#This Row],[Orginal staus of shipment]]&lt;&gt;"Delivered","not applicabel", IF(logistics_data[[#This Row],[Transit_Days]]&gt;=5,"slow","fast"))</f>
        <v>not applicabel</v>
      </c>
    </row>
    <row r="1588" spans="1:14" x14ac:dyDescent="0.3">
      <c r="A1588" t="s">
        <v>1634</v>
      </c>
      <c r="B1588" t="s">
        <v>23</v>
      </c>
      <c r="C1588" t="s">
        <v>17</v>
      </c>
      <c r="D1588" t="s">
        <v>59</v>
      </c>
      <c r="E1588" s="1">
        <v>45215</v>
      </c>
      <c r="F1588" s="1">
        <v>45216</v>
      </c>
      <c r="G1588">
        <v>58.5</v>
      </c>
      <c r="H1588">
        <v>83.51</v>
      </c>
      <c r="I1588" t="s">
        <v>15</v>
      </c>
      <c r="J1588">
        <v>122</v>
      </c>
      <c r="K1588">
        <v>1</v>
      </c>
      <c r="L1588" t="str">
        <f>IF(logistics_data[[#This Row],[Delivery_Date]]="","In Transit",
 IF(logistics_data[[#This Row],[Status]]="Lost","Lost",
 IF(logistics_data[[#This Row],[Status]]="Returned","Returned",
 IF(logistics_data[[#This Row],[Status]]="Delayed","Delayed",
 "Delivered"))))</f>
        <v>Delivered</v>
      </c>
      <c r="M1588" s="2">
        <f>logistics_data[[#This Row],[Cost]]/logistics_data[[#This Row],[Distance_miles]]</f>
        <v>0.68450819672131147</v>
      </c>
      <c r="N1588" t="str">
        <f>IF(logistics_data[[#This Row],[Orginal staus of shipment]]&lt;&gt;"Delivered","not applicabel", IF(logistics_data[[#This Row],[Transit_Days]]&gt;=5,"slow","fast"))</f>
        <v>fast</v>
      </c>
    </row>
    <row r="1589" spans="1:14" x14ac:dyDescent="0.3">
      <c r="A1589" t="s">
        <v>1635</v>
      </c>
      <c r="B1589" t="s">
        <v>12</v>
      </c>
      <c r="C1589" t="s">
        <v>81</v>
      </c>
      <c r="D1589" t="s">
        <v>37</v>
      </c>
      <c r="E1589" s="1">
        <v>45203</v>
      </c>
      <c r="F1589" s="1">
        <v>45205</v>
      </c>
      <c r="G1589">
        <v>18.3</v>
      </c>
      <c r="H1589">
        <v>119.1</v>
      </c>
      <c r="I1589" t="s">
        <v>60</v>
      </c>
      <c r="J1589">
        <v>860</v>
      </c>
      <c r="K1589">
        <v>2</v>
      </c>
      <c r="L1589" t="str">
        <f>IF(logistics_data[[#This Row],[Delivery_Date]]="","In Transit",
 IF(logistics_data[[#This Row],[Status]]="Lost","Lost",
 IF(logistics_data[[#This Row],[Status]]="Returned","Returned",
 IF(logistics_data[[#This Row],[Status]]="Delayed","Delayed",
 "Delivered"))))</f>
        <v>Lost</v>
      </c>
      <c r="M1589" s="2">
        <f>logistics_data[[#This Row],[Cost]]/logistics_data[[#This Row],[Distance_miles]]</f>
        <v>0.13848837209302325</v>
      </c>
      <c r="N1589" t="str">
        <f>IF(logistics_data[[#This Row],[Orginal staus of shipment]]&lt;&gt;"Delivered","not applicabel", IF(logistics_data[[#This Row],[Transit_Days]]&gt;=5,"slow","fast"))</f>
        <v>not applicabel</v>
      </c>
    </row>
    <row r="1590" spans="1:14" x14ac:dyDescent="0.3">
      <c r="A1590" t="s">
        <v>1636</v>
      </c>
      <c r="B1590" t="s">
        <v>39</v>
      </c>
      <c r="C1590" t="s">
        <v>40</v>
      </c>
      <c r="D1590" t="s">
        <v>37</v>
      </c>
      <c r="E1590" s="1">
        <v>45157</v>
      </c>
      <c r="F1590" s="1">
        <v>45162</v>
      </c>
      <c r="G1590">
        <v>38.1</v>
      </c>
      <c r="H1590">
        <v>172.76</v>
      </c>
      <c r="I1590" t="s">
        <v>15</v>
      </c>
      <c r="J1590">
        <v>1115</v>
      </c>
      <c r="K1590">
        <v>5</v>
      </c>
      <c r="L1590" t="str">
        <f>IF(logistics_data[[#This Row],[Delivery_Date]]="","In Transit",
 IF(logistics_data[[#This Row],[Status]]="Lost","Lost",
 IF(logistics_data[[#This Row],[Status]]="Returned","Returned",
 IF(logistics_data[[#This Row],[Status]]="Delayed","Delayed",
 "Delivered"))))</f>
        <v>Delivered</v>
      </c>
      <c r="M1590" s="2">
        <f>logistics_data[[#This Row],[Cost]]/logistics_data[[#This Row],[Distance_miles]]</f>
        <v>0.15494170403587443</v>
      </c>
      <c r="N1590" t="str">
        <f>IF(logistics_data[[#This Row],[Orginal staus of shipment]]&lt;&gt;"Delivered","not applicabel", IF(logistics_data[[#This Row],[Transit_Days]]&gt;=5,"slow","fast"))</f>
        <v>slow</v>
      </c>
    </row>
    <row r="1591" spans="1:14" x14ac:dyDescent="0.3">
      <c r="A1591" t="s">
        <v>1637</v>
      </c>
      <c r="B1591" t="s">
        <v>12</v>
      </c>
      <c r="C1591" t="s">
        <v>13</v>
      </c>
      <c r="D1591" t="s">
        <v>18</v>
      </c>
      <c r="E1591" s="1">
        <v>45052</v>
      </c>
      <c r="G1591">
        <v>42.5</v>
      </c>
      <c r="H1591">
        <v>287</v>
      </c>
      <c r="I1591" t="s">
        <v>15</v>
      </c>
      <c r="J1591">
        <v>1527</v>
      </c>
      <c r="K1591">
        <v>3</v>
      </c>
      <c r="L1591" t="str">
        <f>IF(logistics_data[[#This Row],[Delivery_Date]]="","In Transit",
 IF(logistics_data[[#This Row],[Status]]="Lost","Lost",
 IF(logistics_data[[#This Row],[Status]]="Returned","Returned",
 IF(logistics_data[[#This Row],[Status]]="Delayed","Delayed",
 "Delivered"))))</f>
        <v>In Transit</v>
      </c>
      <c r="M1591" s="2">
        <f>logistics_data[[#This Row],[Cost]]/logistics_data[[#This Row],[Distance_miles]]</f>
        <v>0.1879502292075966</v>
      </c>
      <c r="N1591" t="str">
        <f>IF(logistics_data[[#This Row],[Orginal staus of shipment]]&lt;&gt;"Delivered","not applicabel", IF(logistics_data[[#This Row],[Transit_Days]]&gt;=5,"slow","fast"))</f>
        <v>not applicabel</v>
      </c>
    </row>
    <row r="1592" spans="1:14" x14ac:dyDescent="0.3">
      <c r="A1592" t="s">
        <v>1638</v>
      </c>
      <c r="B1592" t="s">
        <v>49</v>
      </c>
      <c r="C1592" t="s">
        <v>17</v>
      </c>
      <c r="D1592" t="s">
        <v>37</v>
      </c>
      <c r="E1592" s="1">
        <v>45215</v>
      </c>
      <c r="F1592" s="1">
        <v>45218</v>
      </c>
      <c r="G1592">
        <v>15.2</v>
      </c>
      <c r="H1592">
        <v>160.36000000000001</v>
      </c>
      <c r="I1592" t="s">
        <v>15</v>
      </c>
      <c r="J1592">
        <v>1098</v>
      </c>
      <c r="K1592">
        <v>3</v>
      </c>
      <c r="L1592" t="str">
        <f>IF(logistics_data[[#This Row],[Delivery_Date]]="","In Transit",
 IF(logistics_data[[#This Row],[Status]]="Lost","Lost",
 IF(logistics_data[[#This Row],[Status]]="Returned","Returned",
 IF(logistics_data[[#This Row],[Status]]="Delayed","Delayed",
 "Delivered"))))</f>
        <v>Delivered</v>
      </c>
      <c r="M1592" s="2">
        <f>logistics_data[[#This Row],[Cost]]/logistics_data[[#This Row],[Distance_miles]]</f>
        <v>0.14604735883424408</v>
      </c>
      <c r="N1592" t="str">
        <f>IF(logistics_data[[#This Row],[Orginal staus of shipment]]&lt;&gt;"Delivered","not applicabel", IF(logistics_data[[#This Row],[Transit_Days]]&gt;=5,"slow","fast"))</f>
        <v>fast</v>
      </c>
    </row>
    <row r="1593" spans="1:14" x14ac:dyDescent="0.3">
      <c r="A1593" t="s">
        <v>1639</v>
      </c>
      <c r="B1593" t="s">
        <v>12</v>
      </c>
      <c r="C1593" t="s">
        <v>70</v>
      </c>
      <c r="D1593" t="s">
        <v>25</v>
      </c>
      <c r="E1593" s="1">
        <v>45143</v>
      </c>
      <c r="F1593" s="1">
        <v>45149</v>
      </c>
      <c r="G1593">
        <v>23.4</v>
      </c>
      <c r="H1593">
        <v>311.04000000000002</v>
      </c>
      <c r="I1593" t="s">
        <v>15</v>
      </c>
      <c r="J1593">
        <v>2447</v>
      </c>
      <c r="K1593">
        <v>6</v>
      </c>
      <c r="L1593" t="str">
        <f>IF(logistics_data[[#This Row],[Delivery_Date]]="","In Transit",
 IF(logistics_data[[#This Row],[Status]]="Lost","Lost",
 IF(logistics_data[[#This Row],[Status]]="Returned","Returned",
 IF(logistics_data[[#This Row],[Status]]="Delayed","Delayed",
 "Delivered"))))</f>
        <v>Delivered</v>
      </c>
      <c r="M1593" s="2">
        <f>logistics_data[[#This Row],[Cost]]/logistics_data[[#This Row],[Distance_miles]]</f>
        <v>0.12711074785451573</v>
      </c>
      <c r="N1593" t="str">
        <f>IF(logistics_data[[#This Row],[Orginal staus of shipment]]&lt;&gt;"Delivered","not applicabel", IF(logistics_data[[#This Row],[Transit_Days]]&gt;=5,"slow","fast"))</f>
        <v>slow</v>
      </c>
    </row>
    <row r="1594" spans="1:14" x14ac:dyDescent="0.3">
      <c r="A1594" t="s">
        <v>1640</v>
      </c>
      <c r="B1594" t="s">
        <v>23</v>
      </c>
      <c r="C1594" t="s">
        <v>70</v>
      </c>
      <c r="D1594" t="s">
        <v>14</v>
      </c>
      <c r="E1594" s="1">
        <v>44938</v>
      </c>
      <c r="F1594" s="1">
        <v>44943</v>
      </c>
      <c r="G1594">
        <v>31.7</v>
      </c>
      <c r="H1594">
        <v>195.68</v>
      </c>
      <c r="I1594" t="s">
        <v>15</v>
      </c>
      <c r="J1594">
        <v>1114</v>
      </c>
      <c r="K1594">
        <v>5</v>
      </c>
      <c r="L1594" t="str">
        <f>IF(logistics_data[[#This Row],[Delivery_Date]]="","In Transit",
 IF(logistics_data[[#This Row],[Status]]="Lost","Lost",
 IF(logistics_data[[#This Row],[Status]]="Returned","Returned",
 IF(logistics_data[[#This Row],[Status]]="Delayed","Delayed",
 "Delivered"))))</f>
        <v>Delivered</v>
      </c>
      <c r="M1594" s="2">
        <f>logistics_data[[#This Row],[Cost]]/logistics_data[[#This Row],[Distance_miles]]</f>
        <v>0.17565529622980253</v>
      </c>
      <c r="N1594" t="str">
        <f>IF(logistics_data[[#This Row],[Orginal staus of shipment]]&lt;&gt;"Delivered","not applicabel", IF(logistics_data[[#This Row],[Transit_Days]]&gt;=5,"slow","fast"))</f>
        <v>slow</v>
      </c>
    </row>
    <row r="1595" spans="1:14" x14ac:dyDescent="0.3">
      <c r="A1595" t="s">
        <v>1641</v>
      </c>
      <c r="B1595" t="s">
        <v>51</v>
      </c>
      <c r="C1595" t="s">
        <v>28</v>
      </c>
      <c r="D1595" t="s">
        <v>59</v>
      </c>
      <c r="E1595" s="1">
        <v>44938</v>
      </c>
      <c r="F1595" s="1">
        <v>44941</v>
      </c>
      <c r="G1595">
        <v>16.3</v>
      </c>
      <c r="H1595">
        <v>105.67</v>
      </c>
      <c r="I1595" t="s">
        <v>15</v>
      </c>
      <c r="J1595">
        <v>759</v>
      </c>
      <c r="K1595">
        <v>3</v>
      </c>
      <c r="L1595" t="str">
        <f>IF(logistics_data[[#This Row],[Delivery_Date]]="","In Transit",
 IF(logistics_data[[#This Row],[Status]]="Lost","Lost",
 IF(logistics_data[[#This Row],[Status]]="Returned","Returned",
 IF(logistics_data[[#This Row],[Status]]="Delayed","Delayed",
 "Delivered"))))</f>
        <v>Delivered</v>
      </c>
      <c r="M1595" s="2">
        <f>logistics_data[[#This Row],[Cost]]/logistics_data[[#This Row],[Distance_miles]]</f>
        <v>0.13922266139657444</v>
      </c>
      <c r="N1595" t="str">
        <f>IF(logistics_data[[#This Row],[Orginal staus of shipment]]&lt;&gt;"Delivered","not applicabel", IF(logistics_data[[#This Row],[Transit_Days]]&gt;=5,"slow","fast"))</f>
        <v>fast</v>
      </c>
    </row>
    <row r="1596" spans="1:14" x14ac:dyDescent="0.3">
      <c r="A1596" t="s">
        <v>1642</v>
      </c>
      <c r="B1596" t="s">
        <v>49</v>
      </c>
      <c r="C1596" t="s">
        <v>28</v>
      </c>
      <c r="D1596" t="s">
        <v>59</v>
      </c>
      <c r="E1596" s="1">
        <v>44999</v>
      </c>
      <c r="F1596" s="1">
        <v>45004</v>
      </c>
      <c r="G1596">
        <v>34</v>
      </c>
      <c r="H1596">
        <v>267.20999999999998</v>
      </c>
      <c r="I1596" t="s">
        <v>15</v>
      </c>
      <c r="J1596">
        <v>2176</v>
      </c>
      <c r="K1596">
        <v>5</v>
      </c>
      <c r="L1596" t="str">
        <f>IF(logistics_data[[#This Row],[Delivery_Date]]="","In Transit",
 IF(logistics_data[[#This Row],[Status]]="Lost","Lost",
 IF(logistics_data[[#This Row],[Status]]="Returned","Returned",
 IF(logistics_data[[#This Row],[Status]]="Delayed","Delayed",
 "Delivered"))))</f>
        <v>Delivered</v>
      </c>
      <c r="M1596" s="2">
        <f>logistics_data[[#This Row],[Cost]]/logistics_data[[#This Row],[Distance_miles]]</f>
        <v>0.12279871323529411</v>
      </c>
      <c r="N1596" t="str">
        <f>IF(logistics_data[[#This Row],[Orginal staus of shipment]]&lt;&gt;"Delivered","not applicabel", IF(logistics_data[[#This Row],[Transit_Days]]&gt;=5,"slow","fast"))</f>
        <v>slow</v>
      </c>
    </row>
    <row r="1597" spans="1:14" x14ac:dyDescent="0.3">
      <c r="A1597" t="s">
        <v>1643</v>
      </c>
      <c r="B1597" t="s">
        <v>12</v>
      </c>
      <c r="C1597" t="s">
        <v>28</v>
      </c>
      <c r="D1597" t="s">
        <v>37</v>
      </c>
      <c r="E1597" s="1">
        <v>45279</v>
      </c>
      <c r="F1597" s="1">
        <v>45282</v>
      </c>
      <c r="G1597">
        <v>10</v>
      </c>
      <c r="H1597">
        <v>60.18</v>
      </c>
      <c r="I1597" t="s">
        <v>15</v>
      </c>
      <c r="J1597">
        <v>287</v>
      </c>
      <c r="K1597">
        <v>3</v>
      </c>
      <c r="L1597" t="str">
        <f>IF(logistics_data[[#This Row],[Delivery_Date]]="","In Transit",
 IF(logistics_data[[#This Row],[Status]]="Lost","Lost",
 IF(logistics_data[[#This Row],[Status]]="Returned","Returned",
 IF(logistics_data[[#This Row],[Status]]="Delayed","Delayed",
 "Delivered"))))</f>
        <v>Delivered</v>
      </c>
      <c r="M1597" s="2">
        <f>logistics_data[[#This Row],[Cost]]/logistics_data[[#This Row],[Distance_miles]]</f>
        <v>0.20968641114982578</v>
      </c>
      <c r="N1597" t="str">
        <f>IF(logistics_data[[#This Row],[Orginal staus of shipment]]&lt;&gt;"Delivered","not applicabel", IF(logistics_data[[#This Row],[Transit_Days]]&gt;=5,"slow","fast"))</f>
        <v>fast</v>
      </c>
    </row>
    <row r="1598" spans="1:14" x14ac:dyDescent="0.3">
      <c r="A1598" t="s">
        <v>1644</v>
      </c>
      <c r="B1598" t="s">
        <v>20</v>
      </c>
      <c r="C1598" t="s">
        <v>31</v>
      </c>
      <c r="D1598" t="s">
        <v>14</v>
      </c>
      <c r="E1598" s="1">
        <v>45237</v>
      </c>
      <c r="F1598" s="1">
        <v>45241</v>
      </c>
      <c r="G1598">
        <v>17.399999999999999</v>
      </c>
      <c r="H1598">
        <v>250.16</v>
      </c>
      <c r="I1598" t="s">
        <v>15</v>
      </c>
      <c r="J1598">
        <v>1356</v>
      </c>
      <c r="K1598">
        <v>4</v>
      </c>
      <c r="L1598" t="str">
        <f>IF(logistics_data[[#This Row],[Delivery_Date]]="","In Transit",
 IF(logistics_data[[#This Row],[Status]]="Lost","Lost",
 IF(logistics_data[[#This Row],[Status]]="Returned","Returned",
 IF(logistics_data[[#This Row],[Status]]="Delayed","Delayed",
 "Delivered"))))</f>
        <v>Delivered</v>
      </c>
      <c r="M1598" s="2">
        <f>logistics_data[[#This Row],[Cost]]/logistics_data[[#This Row],[Distance_miles]]</f>
        <v>0.18448377581120945</v>
      </c>
      <c r="N1598" t="str">
        <f>IF(logistics_data[[#This Row],[Orginal staus of shipment]]&lt;&gt;"Delivered","not applicabel", IF(logistics_data[[#This Row],[Transit_Days]]&gt;=5,"slow","fast"))</f>
        <v>fast</v>
      </c>
    </row>
    <row r="1599" spans="1:14" x14ac:dyDescent="0.3">
      <c r="A1599" t="s">
        <v>1645</v>
      </c>
      <c r="B1599" t="s">
        <v>56</v>
      </c>
      <c r="C1599" t="s">
        <v>17</v>
      </c>
      <c r="D1599" t="s">
        <v>25</v>
      </c>
      <c r="E1599" s="1">
        <v>45223</v>
      </c>
      <c r="F1599" s="1">
        <v>45225</v>
      </c>
      <c r="G1599">
        <v>20</v>
      </c>
      <c r="H1599">
        <v>113.54</v>
      </c>
      <c r="I1599" t="s">
        <v>15</v>
      </c>
      <c r="J1599">
        <v>737</v>
      </c>
      <c r="K1599">
        <v>2</v>
      </c>
      <c r="L1599" t="str">
        <f>IF(logistics_data[[#This Row],[Delivery_Date]]="","In Transit",
 IF(logistics_data[[#This Row],[Status]]="Lost","Lost",
 IF(logistics_data[[#This Row],[Status]]="Returned","Returned",
 IF(logistics_data[[#This Row],[Status]]="Delayed","Delayed",
 "Delivered"))))</f>
        <v>Delivered</v>
      </c>
      <c r="M1599" s="2">
        <f>logistics_data[[#This Row],[Cost]]/logistics_data[[#This Row],[Distance_miles]]</f>
        <v>0.15405698778833107</v>
      </c>
      <c r="N1599" t="str">
        <f>IF(logistics_data[[#This Row],[Orginal staus of shipment]]&lt;&gt;"Delivered","not applicabel", IF(logistics_data[[#This Row],[Transit_Days]]&gt;=5,"slow","fast"))</f>
        <v>fast</v>
      </c>
    </row>
    <row r="1600" spans="1:14" x14ac:dyDescent="0.3">
      <c r="A1600" t="s">
        <v>1646</v>
      </c>
      <c r="B1600" t="s">
        <v>27</v>
      </c>
      <c r="C1600" t="s">
        <v>52</v>
      </c>
      <c r="D1600" t="s">
        <v>37</v>
      </c>
      <c r="E1600" s="1">
        <v>45119</v>
      </c>
      <c r="F1600" s="1">
        <v>45122</v>
      </c>
      <c r="G1600">
        <v>11.5</v>
      </c>
      <c r="H1600">
        <v>148.69</v>
      </c>
      <c r="I1600" t="s">
        <v>15</v>
      </c>
      <c r="J1600">
        <v>1189</v>
      </c>
      <c r="K1600">
        <v>3</v>
      </c>
      <c r="L1600" t="str">
        <f>IF(logistics_data[[#This Row],[Delivery_Date]]="","In Transit",
 IF(logistics_data[[#This Row],[Status]]="Lost","Lost",
 IF(logistics_data[[#This Row],[Status]]="Returned","Returned",
 IF(logistics_data[[#This Row],[Status]]="Delayed","Delayed",
 "Delivered"))))</f>
        <v>Delivered</v>
      </c>
      <c r="M1600" s="2">
        <f>logistics_data[[#This Row],[Cost]]/logistics_data[[#This Row],[Distance_miles]]</f>
        <v>0.12505466778805718</v>
      </c>
      <c r="N1600" t="str">
        <f>IF(logistics_data[[#This Row],[Orginal staus of shipment]]&lt;&gt;"Delivered","not applicabel", IF(logistics_data[[#This Row],[Transit_Days]]&gt;=5,"slow","fast"))</f>
        <v>fast</v>
      </c>
    </row>
    <row r="1601" spans="1:14" x14ac:dyDescent="0.3">
      <c r="A1601" t="s">
        <v>1647</v>
      </c>
      <c r="B1601" t="s">
        <v>35</v>
      </c>
      <c r="C1601" t="s">
        <v>81</v>
      </c>
      <c r="D1601" t="s">
        <v>18</v>
      </c>
      <c r="E1601" s="1">
        <v>45271</v>
      </c>
      <c r="F1601" s="1">
        <v>45274</v>
      </c>
      <c r="G1601">
        <v>35.1</v>
      </c>
      <c r="H1601">
        <v>226.64</v>
      </c>
      <c r="I1601" t="s">
        <v>15</v>
      </c>
      <c r="J1601">
        <v>1000</v>
      </c>
      <c r="K1601">
        <v>3</v>
      </c>
      <c r="L1601" t="str">
        <f>IF(logistics_data[[#This Row],[Delivery_Date]]="","In Transit",
 IF(logistics_data[[#This Row],[Status]]="Lost","Lost",
 IF(logistics_data[[#This Row],[Status]]="Returned","Returned",
 IF(logistics_data[[#This Row],[Status]]="Delayed","Delayed",
 "Delivered"))))</f>
        <v>Delivered</v>
      </c>
      <c r="M1601" s="2">
        <f>logistics_data[[#This Row],[Cost]]/logistics_data[[#This Row],[Distance_miles]]</f>
        <v>0.22663999999999998</v>
      </c>
      <c r="N1601" t="str">
        <f>IF(logistics_data[[#This Row],[Orginal staus of shipment]]&lt;&gt;"Delivered","not applicabel", IF(logistics_data[[#This Row],[Transit_Days]]&gt;=5,"slow","fast"))</f>
        <v>fast</v>
      </c>
    </row>
    <row r="1602" spans="1:14" x14ac:dyDescent="0.3">
      <c r="A1602" t="s">
        <v>1648</v>
      </c>
      <c r="B1602" t="s">
        <v>20</v>
      </c>
      <c r="C1602" t="s">
        <v>57</v>
      </c>
      <c r="D1602" t="s">
        <v>42</v>
      </c>
      <c r="E1602" s="1">
        <v>45215</v>
      </c>
      <c r="F1602" s="1">
        <v>45221</v>
      </c>
      <c r="G1602">
        <v>32.299999999999997</v>
      </c>
      <c r="H1602">
        <v>304.81</v>
      </c>
      <c r="I1602" t="s">
        <v>15</v>
      </c>
      <c r="J1602">
        <v>2156</v>
      </c>
      <c r="K1602">
        <v>6</v>
      </c>
      <c r="L1602" t="str">
        <f>IF(logistics_data[[#This Row],[Delivery_Date]]="","In Transit",
 IF(logistics_data[[#This Row],[Status]]="Lost","Lost",
 IF(logistics_data[[#This Row],[Status]]="Returned","Returned",
 IF(logistics_data[[#This Row],[Status]]="Delayed","Delayed",
 "Delivered"))))</f>
        <v>Delivered</v>
      </c>
      <c r="M1602" s="2">
        <f>logistics_data[[#This Row],[Cost]]/logistics_data[[#This Row],[Distance_miles]]</f>
        <v>0.14137755102040817</v>
      </c>
      <c r="N1602" t="str">
        <f>IF(logistics_data[[#This Row],[Orginal staus of shipment]]&lt;&gt;"Delivered","not applicabel", IF(logistics_data[[#This Row],[Transit_Days]]&gt;=5,"slow","fast"))</f>
        <v>slow</v>
      </c>
    </row>
    <row r="1603" spans="1:14" x14ac:dyDescent="0.3">
      <c r="A1603" t="s">
        <v>1649</v>
      </c>
      <c r="B1603" t="s">
        <v>12</v>
      </c>
      <c r="C1603" t="s">
        <v>54</v>
      </c>
      <c r="D1603" t="s">
        <v>14</v>
      </c>
      <c r="E1603" s="1">
        <v>45123</v>
      </c>
      <c r="F1603" s="1">
        <v>45125</v>
      </c>
      <c r="G1603">
        <v>38.4</v>
      </c>
      <c r="H1603">
        <v>177.3</v>
      </c>
      <c r="I1603" t="s">
        <v>15</v>
      </c>
      <c r="J1603">
        <v>916</v>
      </c>
      <c r="K1603">
        <v>2</v>
      </c>
      <c r="L1603" t="str">
        <f>IF(logistics_data[[#This Row],[Delivery_Date]]="","In Transit",
 IF(logistics_data[[#This Row],[Status]]="Lost","Lost",
 IF(logistics_data[[#This Row],[Status]]="Returned","Returned",
 IF(logistics_data[[#This Row],[Status]]="Delayed","Delayed",
 "Delivered"))))</f>
        <v>Delivered</v>
      </c>
      <c r="M1603" s="2">
        <f>logistics_data[[#This Row],[Cost]]/logistics_data[[#This Row],[Distance_miles]]</f>
        <v>0.19355895196506551</v>
      </c>
      <c r="N1603" t="str">
        <f>IF(logistics_data[[#This Row],[Orginal staus of shipment]]&lt;&gt;"Delivered","not applicabel", IF(logistics_data[[#This Row],[Transit_Days]]&gt;=5,"slow","fast"))</f>
        <v>fast</v>
      </c>
    </row>
    <row r="1604" spans="1:14" x14ac:dyDescent="0.3">
      <c r="A1604" t="s">
        <v>1650</v>
      </c>
      <c r="B1604" t="s">
        <v>27</v>
      </c>
      <c r="C1604" t="s">
        <v>24</v>
      </c>
      <c r="D1604" t="s">
        <v>59</v>
      </c>
      <c r="E1604" s="1">
        <v>45135</v>
      </c>
      <c r="F1604" s="1">
        <v>45147</v>
      </c>
      <c r="G1604">
        <v>71.900000000000006</v>
      </c>
      <c r="H1604">
        <v>123.54</v>
      </c>
      <c r="I1604" t="s">
        <v>47</v>
      </c>
      <c r="J1604">
        <v>450</v>
      </c>
      <c r="K1604">
        <v>2</v>
      </c>
      <c r="L1604" t="str">
        <f>IF(logistics_data[[#This Row],[Delivery_Date]]="","In Transit",
 IF(logistics_data[[#This Row],[Status]]="Lost","Lost",
 IF(logistics_data[[#This Row],[Status]]="Returned","Returned",
 IF(logistics_data[[#This Row],[Status]]="Delayed","Delayed",
 "Delivered"))))</f>
        <v>Delayed</v>
      </c>
      <c r="M1604" s="2">
        <f>logistics_data[[#This Row],[Cost]]/logistics_data[[#This Row],[Distance_miles]]</f>
        <v>0.27453333333333335</v>
      </c>
      <c r="N1604" t="str">
        <f>IF(logistics_data[[#This Row],[Orginal staus of shipment]]&lt;&gt;"Delivered","not applicabel", IF(logistics_data[[#This Row],[Transit_Days]]&gt;=5,"slow","fast"))</f>
        <v>not applicabel</v>
      </c>
    </row>
    <row r="1605" spans="1:14" x14ac:dyDescent="0.3">
      <c r="A1605" t="s">
        <v>1651</v>
      </c>
      <c r="B1605" t="s">
        <v>35</v>
      </c>
      <c r="C1605" t="s">
        <v>31</v>
      </c>
      <c r="D1605" t="s">
        <v>25</v>
      </c>
      <c r="E1605" s="1">
        <v>45275</v>
      </c>
      <c r="F1605" s="1">
        <v>45279</v>
      </c>
      <c r="G1605">
        <v>10.7</v>
      </c>
      <c r="H1605">
        <v>219.96</v>
      </c>
      <c r="I1605" t="s">
        <v>15</v>
      </c>
      <c r="J1605">
        <v>1474</v>
      </c>
      <c r="K1605">
        <v>4</v>
      </c>
      <c r="L1605" t="str">
        <f>IF(logistics_data[[#This Row],[Delivery_Date]]="","In Transit",
 IF(logistics_data[[#This Row],[Status]]="Lost","Lost",
 IF(logistics_data[[#This Row],[Status]]="Returned","Returned",
 IF(logistics_data[[#This Row],[Status]]="Delayed","Delayed",
 "Delivered"))))</f>
        <v>Delivered</v>
      </c>
      <c r="M1605" s="2">
        <f>logistics_data[[#This Row],[Cost]]/logistics_data[[#This Row],[Distance_miles]]</f>
        <v>0.14922659430122118</v>
      </c>
      <c r="N1605" t="str">
        <f>IF(logistics_data[[#This Row],[Orginal staus of shipment]]&lt;&gt;"Delivered","not applicabel", IF(logistics_data[[#This Row],[Transit_Days]]&gt;=5,"slow","fast"))</f>
        <v>fast</v>
      </c>
    </row>
    <row r="1606" spans="1:14" x14ac:dyDescent="0.3">
      <c r="A1606" t="s">
        <v>1652</v>
      </c>
      <c r="B1606" t="s">
        <v>49</v>
      </c>
      <c r="C1606" t="s">
        <v>54</v>
      </c>
      <c r="D1606" t="s">
        <v>59</v>
      </c>
      <c r="E1606" s="1">
        <v>44940</v>
      </c>
      <c r="F1606" s="1">
        <v>44944</v>
      </c>
      <c r="G1606">
        <v>20.6</v>
      </c>
      <c r="H1606">
        <v>181.01</v>
      </c>
      <c r="I1606" t="s">
        <v>62</v>
      </c>
      <c r="J1606">
        <v>1523</v>
      </c>
      <c r="K1606">
        <v>4</v>
      </c>
      <c r="L1606" t="str">
        <f>IF(logistics_data[[#This Row],[Delivery_Date]]="","In Transit",
 IF(logistics_data[[#This Row],[Status]]="Lost","Lost",
 IF(logistics_data[[#This Row],[Status]]="Returned","Returned",
 IF(logistics_data[[#This Row],[Status]]="Delayed","Delayed",
 "Delivered"))))</f>
        <v>Delivered</v>
      </c>
      <c r="M1606" s="2">
        <f>logistics_data[[#This Row],[Cost]]/logistics_data[[#This Row],[Distance_miles]]</f>
        <v>0.11885095206828628</v>
      </c>
      <c r="N1606" t="str">
        <f>IF(logistics_data[[#This Row],[Orginal staus of shipment]]&lt;&gt;"Delivered","not applicabel", IF(logistics_data[[#This Row],[Transit_Days]]&gt;=5,"slow","fast"))</f>
        <v>fast</v>
      </c>
    </row>
    <row r="1607" spans="1:14" x14ac:dyDescent="0.3">
      <c r="A1607" t="s">
        <v>1653</v>
      </c>
      <c r="B1607" t="s">
        <v>51</v>
      </c>
      <c r="C1607" t="s">
        <v>24</v>
      </c>
      <c r="D1607" t="s">
        <v>25</v>
      </c>
      <c r="E1607" s="1">
        <v>45010</v>
      </c>
      <c r="F1607" s="1">
        <v>45016</v>
      </c>
      <c r="G1607">
        <v>27.4</v>
      </c>
      <c r="I1607" t="s">
        <v>15</v>
      </c>
      <c r="J1607">
        <v>986</v>
      </c>
      <c r="K1607">
        <v>6</v>
      </c>
      <c r="L1607" t="str">
        <f>IF(logistics_data[[#This Row],[Delivery_Date]]="","In Transit",
 IF(logistics_data[[#This Row],[Status]]="Lost","Lost",
 IF(logistics_data[[#This Row],[Status]]="Returned","Returned",
 IF(logistics_data[[#This Row],[Status]]="Delayed","Delayed",
 "Delivered"))))</f>
        <v>Delivered</v>
      </c>
      <c r="M1607" s="2">
        <f>logistics_data[[#This Row],[Cost]]/logistics_data[[#This Row],[Distance_miles]]</f>
        <v>0</v>
      </c>
      <c r="N1607" t="str">
        <f>IF(logistics_data[[#This Row],[Orginal staus of shipment]]&lt;&gt;"Delivered","not applicabel", IF(logistics_data[[#This Row],[Transit_Days]]&gt;=5,"slow","fast"))</f>
        <v>slow</v>
      </c>
    </row>
    <row r="1608" spans="1:14" x14ac:dyDescent="0.3">
      <c r="A1608" t="s">
        <v>1654</v>
      </c>
      <c r="B1608" t="s">
        <v>23</v>
      </c>
      <c r="C1608" t="s">
        <v>40</v>
      </c>
      <c r="D1608" t="s">
        <v>18</v>
      </c>
      <c r="E1608" s="1">
        <v>45093</v>
      </c>
      <c r="F1608" s="1">
        <v>45112</v>
      </c>
      <c r="G1608">
        <v>23.1</v>
      </c>
      <c r="H1608">
        <v>323.18</v>
      </c>
      <c r="I1608" t="s">
        <v>47</v>
      </c>
      <c r="J1608">
        <v>1989</v>
      </c>
      <c r="K1608">
        <v>6</v>
      </c>
      <c r="L1608" t="str">
        <f>IF(logistics_data[[#This Row],[Delivery_Date]]="","In Transit",
 IF(logistics_data[[#This Row],[Status]]="Lost","Lost",
 IF(logistics_data[[#This Row],[Status]]="Returned","Returned",
 IF(logistics_data[[#This Row],[Status]]="Delayed","Delayed",
 "Delivered"))))</f>
        <v>Delayed</v>
      </c>
      <c r="M1608" s="2">
        <f>logistics_data[[#This Row],[Cost]]/logistics_data[[#This Row],[Distance_miles]]</f>
        <v>0.16248366013071897</v>
      </c>
      <c r="N1608" t="str">
        <f>IF(logistics_data[[#This Row],[Orginal staus of shipment]]&lt;&gt;"Delivered","not applicabel", IF(logistics_data[[#This Row],[Transit_Days]]&gt;=5,"slow","fast"))</f>
        <v>not applicabel</v>
      </c>
    </row>
    <row r="1609" spans="1:14" x14ac:dyDescent="0.3">
      <c r="A1609" t="s">
        <v>1655</v>
      </c>
      <c r="B1609" t="s">
        <v>49</v>
      </c>
      <c r="C1609" t="s">
        <v>21</v>
      </c>
      <c r="D1609" t="s">
        <v>42</v>
      </c>
      <c r="E1609" s="1">
        <v>44994</v>
      </c>
      <c r="F1609" s="1">
        <v>44999</v>
      </c>
      <c r="G1609">
        <v>8.1999999999999993</v>
      </c>
      <c r="H1609">
        <v>212.27</v>
      </c>
      <c r="I1609" t="s">
        <v>15</v>
      </c>
      <c r="J1609">
        <v>1713</v>
      </c>
      <c r="K1609">
        <v>5</v>
      </c>
      <c r="L1609" t="str">
        <f>IF(logistics_data[[#This Row],[Delivery_Date]]="","In Transit",
 IF(logistics_data[[#This Row],[Status]]="Lost","Lost",
 IF(logistics_data[[#This Row],[Status]]="Returned","Returned",
 IF(logistics_data[[#This Row],[Status]]="Delayed","Delayed",
 "Delivered"))))</f>
        <v>Delivered</v>
      </c>
      <c r="M1609" s="2">
        <f>logistics_data[[#This Row],[Cost]]/logistics_data[[#This Row],[Distance_miles]]</f>
        <v>0.12391710449503796</v>
      </c>
      <c r="N1609" t="str">
        <f>IF(logistics_data[[#This Row],[Orginal staus of shipment]]&lt;&gt;"Delivered","not applicabel", IF(logistics_data[[#This Row],[Transit_Days]]&gt;=5,"slow","fast"))</f>
        <v>slow</v>
      </c>
    </row>
    <row r="1610" spans="1:14" x14ac:dyDescent="0.3">
      <c r="A1610" t="s">
        <v>1656</v>
      </c>
      <c r="B1610" t="s">
        <v>12</v>
      </c>
      <c r="C1610" t="s">
        <v>36</v>
      </c>
      <c r="D1610" t="s">
        <v>42</v>
      </c>
      <c r="E1610" s="1">
        <v>45267</v>
      </c>
      <c r="F1610" s="1">
        <v>45269</v>
      </c>
      <c r="G1610">
        <v>30.1</v>
      </c>
      <c r="H1610">
        <v>122.82</v>
      </c>
      <c r="I1610" t="s">
        <v>15</v>
      </c>
      <c r="J1610">
        <v>594</v>
      </c>
      <c r="K1610">
        <v>2</v>
      </c>
      <c r="L1610" t="str">
        <f>IF(logistics_data[[#This Row],[Delivery_Date]]="","In Transit",
 IF(logistics_data[[#This Row],[Status]]="Lost","Lost",
 IF(logistics_data[[#This Row],[Status]]="Returned","Returned",
 IF(logistics_data[[#This Row],[Status]]="Delayed","Delayed",
 "Delivered"))))</f>
        <v>Delivered</v>
      </c>
      <c r="M1610" s="2">
        <f>logistics_data[[#This Row],[Cost]]/logistics_data[[#This Row],[Distance_miles]]</f>
        <v>0.20676767676767677</v>
      </c>
      <c r="N1610" t="str">
        <f>IF(logistics_data[[#This Row],[Orginal staus of shipment]]&lt;&gt;"Delivered","not applicabel", IF(logistics_data[[#This Row],[Transit_Days]]&gt;=5,"slow","fast"))</f>
        <v>fast</v>
      </c>
    </row>
    <row r="1611" spans="1:14" x14ac:dyDescent="0.3">
      <c r="A1611" t="s">
        <v>1657</v>
      </c>
      <c r="B1611" t="s">
        <v>51</v>
      </c>
      <c r="C1611" t="s">
        <v>52</v>
      </c>
      <c r="D1611" t="s">
        <v>32</v>
      </c>
      <c r="E1611" s="1">
        <v>45282</v>
      </c>
      <c r="F1611" s="1">
        <v>45287</v>
      </c>
      <c r="G1611">
        <v>12.6</v>
      </c>
      <c r="H1611">
        <v>367.26</v>
      </c>
      <c r="I1611" t="s">
        <v>15</v>
      </c>
      <c r="J1611">
        <v>2151</v>
      </c>
      <c r="K1611">
        <v>5</v>
      </c>
      <c r="L1611" t="str">
        <f>IF(logistics_data[[#This Row],[Delivery_Date]]="","In Transit",
 IF(logistics_data[[#This Row],[Status]]="Lost","Lost",
 IF(logistics_data[[#This Row],[Status]]="Returned","Returned",
 IF(logistics_data[[#This Row],[Status]]="Delayed","Delayed",
 "Delivered"))))</f>
        <v>Delivered</v>
      </c>
      <c r="M1611" s="2">
        <f>logistics_data[[#This Row],[Cost]]/logistics_data[[#This Row],[Distance_miles]]</f>
        <v>0.17073919107391911</v>
      </c>
      <c r="N1611" t="str">
        <f>IF(logistics_data[[#This Row],[Orginal staus of shipment]]&lt;&gt;"Delivered","not applicabel", IF(logistics_data[[#This Row],[Transit_Days]]&gt;=5,"slow","fast"))</f>
        <v>slow</v>
      </c>
    </row>
    <row r="1612" spans="1:14" x14ac:dyDescent="0.3">
      <c r="A1612" t="s">
        <v>1658</v>
      </c>
      <c r="B1612" t="s">
        <v>35</v>
      </c>
      <c r="C1612" t="s">
        <v>46</v>
      </c>
      <c r="D1612" t="s">
        <v>37</v>
      </c>
      <c r="E1612" s="1">
        <v>44966</v>
      </c>
      <c r="F1612" s="1">
        <v>44970</v>
      </c>
      <c r="G1612">
        <v>33.4</v>
      </c>
      <c r="H1612">
        <v>160.62</v>
      </c>
      <c r="I1612" t="s">
        <v>15</v>
      </c>
      <c r="J1612">
        <v>989</v>
      </c>
      <c r="K1612">
        <v>4</v>
      </c>
      <c r="L1612" t="str">
        <f>IF(logistics_data[[#This Row],[Delivery_Date]]="","In Transit",
 IF(logistics_data[[#This Row],[Status]]="Lost","Lost",
 IF(logistics_data[[#This Row],[Status]]="Returned","Returned",
 IF(logistics_data[[#This Row],[Status]]="Delayed","Delayed",
 "Delivered"))))</f>
        <v>Delivered</v>
      </c>
      <c r="M1612" s="2">
        <f>logistics_data[[#This Row],[Cost]]/logistics_data[[#This Row],[Distance_miles]]</f>
        <v>0.16240647118301316</v>
      </c>
      <c r="N1612" t="str">
        <f>IF(logistics_data[[#This Row],[Orginal staus of shipment]]&lt;&gt;"Delivered","not applicabel", IF(logistics_data[[#This Row],[Transit_Days]]&gt;=5,"slow","fast"))</f>
        <v>fast</v>
      </c>
    </row>
    <row r="1613" spans="1:14" x14ac:dyDescent="0.3">
      <c r="A1613" t="s">
        <v>1659</v>
      </c>
      <c r="B1613" t="s">
        <v>30</v>
      </c>
      <c r="C1613" t="s">
        <v>81</v>
      </c>
      <c r="D1613" t="s">
        <v>14</v>
      </c>
      <c r="E1613" s="1">
        <v>45281</v>
      </c>
      <c r="F1613" s="1">
        <v>45282</v>
      </c>
      <c r="G1613">
        <v>17.3</v>
      </c>
      <c r="H1613">
        <v>70.13</v>
      </c>
      <c r="I1613" t="s">
        <v>15</v>
      </c>
      <c r="J1613">
        <v>250</v>
      </c>
      <c r="K1613">
        <v>1</v>
      </c>
      <c r="L1613" t="str">
        <f>IF(logistics_data[[#This Row],[Delivery_Date]]="","In Transit",
 IF(logistics_data[[#This Row],[Status]]="Lost","Lost",
 IF(logistics_data[[#This Row],[Status]]="Returned","Returned",
 IF(logistics_data[[#This Row],[Status]]="Delayed","Delayed",
 "Delivered"))))</f>
        <v>Delivered</v>
      </c>
      <c r="M1613" s="2">
        <f>logistics_data[[#This Row],[Cost]]/logistics_data[[#This Row],[Distance_miles]]</f>
        <v>0.28051999999999999</v>
      </c>
      <c r="N1613" t="str">
        <f>IF(logistics_data[[#This Row],[Orginal staus of shipment]]&lt;&gt;"Delivered","not applicabel", IF(logistics_data[[#This Row],[Transit_Days]]&gt;=5,"slow","fast"))</f>
        <v>fast</v>
      </c>
    </row>
    <row r="1614" spans="1:14" x14ac:dyDescent="0.3">
      <c r="A1614" t="s">
        <v>1660</v>
      </c>
      <c r="B1614" t="s">
        <v>20</v>
      </c>
      <c r="C1614" t="s">
        <v>46</v>
      </c>
      <c r="D1614" t="s">
        <v>25</v>
      </c>
      <c r="E1614" s="1">
        <v>45070</v>
      </c>
      <c r="F1614" s="1">
        <v>45073</v>
      </c>
      <c r="G1614">
        <v>39.6</v>
      </c>
      <c r="H1614">
        <v>95.86</v>
      </c>
      <c r="I1614" t="s">
        <v>15</v>
      </c>
      <c r="J1614">
        <v>378</v>
      </c>
      <c r="K1614">
        <v>3</v>
      </c>
      <c r="L1614" t="str">
        <f>IF(logistics_data[[#This Row],[Delivery_Date]]="","In Transit",
 IF(logistics_data[[#This Row],[Status]]="Lost","Lost",
 IF(logistics_data[[#This Row],[Status]]="Returned","Returned",
 IF(logistics_data[[#This Row],[Status]]="Delayed","Delayed",
 "Delivered"))))</f>
        <v>Delivered</v>
      </c>
      <c r="M1614" s="2">
        <f>logistics_data[[#This Row],[Cost]]/logistics_data[[#This Row],[Distance_miles]]</f>
        <v>0.2535978835978836</v>
      </c>
      <c r="N1614" t="str">
        <f>IF(logistics_data[[#This Row],[Orginal staus of shipment]]&lt;&gt;"Delivered","not applicabel", IF(logistics_data[[#This Row],[Transit_Days]]&gt;=5,"slow","fast"))</f>
        <v>fast</v>
      </c>
    </row>
    <row r="1615" spans="1:14" x14ac:dyDescent="0.3">
      <c r="A1615" t="s">
        <v>1661</v>
      </c>
      <c r="B1615" t="s">
        <v>35</v>
      </c>
      <c r="C1615" t="s">
        <v>40</v>
      </c>
      <c r="D1615" t="s">
        <v>37</v>
      </c>
      <c r="E1615" s="1">
        <v>45196</v>
      </c>
      <c r="F1615" s="1">
        <v>45197</v>
      </c>
      <c r="G1615">
        <v>58.9</v>
      </c>
      <c r="H1615">
        <v>105.74</v>
      </c>
      <c r="I1615" t="s">
        <v>15</v>
      </c>
      <c r="J1615">
        <v>283</v>
      </c>
      <c r="K1615">
        <v>1</v>
      </c>
      <c r="L1615" t="str">
        <f>IF(logistics_data[[#This Row],[Delivery_Date]]="","In Transit",
 IF(logistics_data[[#This Row],[Status]]="Lost","Lost",
 IF(logistics_data[[#This Row],[Status]]="Returned","Returned",
 IF(logistics_data[[#This Row],[Status]]="Delayed","Delayed",
 "Delivered"))))</f>
        <v>Delivered</v>
      </c>
      <c r="M1615" s="2">
        <f>logistics_data[[#This Row],[Cost]]/logistics_data[[#This Row],[Distance_miles]]</f>
        <v>0.37363957597173142</v>
      </c>
      <c r="N1615" t="str">
        <f>IF(logistics_data[[#This Row],[Orginal staus of shipment]]&lt;&gt;"Delivered","not applicabel", IF(logistics_data[[#This Row],[Transit_Days]]&gt;=5,"slow","fast"))</f>
        <v>fast</v>
      </c>
    </row>
    <row r="1616" spans="1:14" x14ac:dyDescent="0.3">
      <c r="A1616" t="s">
        <v>1662</v>
      </c>
      <c r="B1616" t="s">
        <v>23</v>
      </c>
      <c r="C1616" t="s">
        <v>40</v>
      </c>
      <c r="D1616" t="s">
        <v>18</v>
      </c>
      <c r="E1616" s="1">
        <v>45178</v>
      </c>
      <c r="F1616" s="1">
        <v>45181</v>
      </c>
      <c r="G1616">
        <v>66.7</v>
      </c>
      <c r="H1616">
        <v>268.33999999999997</v>
      </c>
      <c r="I1616" t="s">
        <v>15</v>
      </c>
      <c r="J1616">
        <v>1387</v>
      </c>
      <c r="K1616">
        <v>3</v>
      </c>
      <c r="L1616" t="str">
        <f>IF(logistics_data[[#This Row],[Delivery_Date]]="","In Transit",
 IF(logistics_data[[#This Row],[Status]]="Lost","Lost",
 IF(logistics_data[[#This Row],[Status]]="Returned","Returned",
 IF(logistics_data[[#This Row],[Status]]="Delayed","Delayed",
 "Delivered"))))</f>
        <v>Delivered</v>
      </c>
      <c r="M1616" s="2">
        <f>logistics_data[[#This Row],[Cost]]/logistics_data[[#This Row],[Distance_miles]]</f>
        <v>0.1934679163662581</v>
      </c>
      <c r="N1616" t="str">
        <f>IF(logistics_data[[#This Row],[Orginal staus of shipment]]&lt;&gt;"Delivered","not applicabel", IF(logistics_data[[#This Row],[Transit_Days]]&gt;=5,"slow","fast"))</f>
        <v>fast</v>
      </c>
    </row>
    <row r="1617" spans="1:14" x14ac:dyDescent="0.3">
      <c r="A1617" t="s">
        <v>1663</v>
      </c>
      <c r="B1617" t="s">
        <v>49</v>
      </c>
      <c r="C1617" t="s">
        <v>21</v>
      </c>
      <c r="D1617" t="s">
        <v>32</v>
      </c>
      <c r="E1617" s="1">
        <v>45020</v>
      </c>
      <c r="F1617" s="1">
        <v>45026</v>
      </c>
      <c r="G1617">
        <v>7</v>
      </c>
      <c r="H1617">
        <v>303.42</v>
      </c>
      <c r="I1617" t="s">
        <v>15</v>
      </c>
      <c r="J1617">
        <v>2228</v>
      </c>
      <c r="K1617">
        <v>6</v>
      </c>
      <c r="L1617" t="str">
        <f>IF(logistics_data[[#This Row],[Delivery_Date]]="","In Transit",
 IF(logistics_data[[#This Row],[Status]]="Lost","Lost",
 IF(logistics_data[[#This Row],[Status]]="Returned","Returned",
 IF(logistics_data[[#This Row],[Status]]="Delayed","Delayed",
 "Delivered"))))</f>
        <v>Delivered</v>
      </c>
      <c r="M1617" s="2">
        <f>logistics_data[[#This Row],[Cost]]/logistics_data[[#This Row],[Distance_miles]]</f>
        <v>0.13618491921005388</v>
      </c>
      <c r="N1617" t="str">
        <f>IF(logistics_data[[#This Row],[Orginal staus of shipment]]&lt;&gt;"Delivered","not applicabel", IF(logistics_data[[#This Row],[Transit_Days]]&gt;=5,"slow","fast"))</f>
        <v>slow</v>
      </c>
    </row>
    <row r="1618" spans="1:14" x14ac:dyDescent="0.3">
      <c r="A1618" t="s">
        <v>1664</v>
      </c>
      <c r="B1618" t="s">
        <v>56</v>
      </c>
      <c r="C1618" t="s">
        <v>17</v>
      </c>
      <c r="D1618" t="s">
        <v>42</v>
      </c>
      <c r="E1618" s="1">
        <v>45065</v>
      </c>
      <c r="F1618" s="1">
        <v>45070</v>
      </c>
      <c r="G1618">
        <v>49.9</v>
      </c>
      <c r="H1618">
        <v>288.11</v>
      </c>
      <c r="I1618" t="s">
        <v>15</v>
      </c>
      <c r="J1618">
        <v>2067</v>
      </c>
      <c r="K1618">
        <v>5</v>
      </c>
      <c r="L1618" t="str">
        <f>IF(logistics_data[[#This Row],[Delivery_Date]]="","In Transit",
 IF(logistics_data[[#This Row],[Status]]="Lost","Lost",
 IF(logistics_data[[#This Row],[Status]]="Returned","Returned",
 IF(logistics_data[[#This Row],[Status]]="Delayed","Delayed",
 "Delivered"))))</f>
        <v>Delivered</v>
      </c>
      <c r="M1618" s="2">
        <f>logistics_data[[#This Row],[Cost]]/logistics_data[[#This Row],[Distance_miles]]</f>
        <v>0.13938558297048864</v>
      </c>
      <c r="N1618" t="str">
        <f>IF(logistics_data[[#This Row],[Orginal staus of shipment]]&lt;&gt;"Delivered","not applicabel", IF(logistics_data[[#This Row],[Transit_Days]]&gt;=5,"slow","fast"))</f>
        <v>slow</v>
      </c>
    </row>
    <row r="1619" spans="1:14" x14ac:dyDescent="0.3">
      <c r="A1619" t="s">
        <v>1665</v>
      </c>
      <c r="B1619" t="s">
        <v>39</v>
      </c>
      <c r="C1619" t="s">
        <v>40</v>
      </c>
      <c r="D1619" t="s">
        <v>59</v>
      </c>
      <c r="E1619" s="1">
        <v>45173</v>
      </c>
      <c r="F1619" s="1">
        <v>45179</v>
      </c>
      <c r="G1619">
        <v>7.2</v>
      </c>
      <c r="I1619" t="s">
        <v>47</v>
      </c>
      <c r="J1619">
        <v>881</v>
      </c>
      <c r="K1619">
        <v>5</v>
      </c>
      <c r="L1619" t="str">
        <f>IF(logistics_data[[#This Row],[Delivery_Date]]="","In Transit",
 IF(logistics_data[[#This Row],[Status]]="Lost","Lost",
 IF(logistics_data[[#This Row],[Status]]="Returned","Returned",
 IF(logistics_data[[#This Row],[Status]]="Delayed","Delayed",
 "Delivered"))))</f>
        <v>Delayed</v>
      </c>
      <c r="M1619" s="2">
        <f>logistics_data[[#This Row],[Cost]]/logistics_data[[#This Row],[Distance_miles]]</f>
        <v>0</v>
      </c>
      <c r="N1619" t="str">
        <f>IF(logistics_data[[#This Row],[Orginal staus of shipment]]&lt;&gt;"Delivered","not applicabel", IF(logistics_data[[#This Row],[Transit_Days]]&gt;=5,"slow","fast"))</f>
        <v>not applicabel</v>
      </c>
    </row>
    <row r="1620" spans="1:14" x14ac:dyDescent="0.3">
      <c r="A1620" t="s">
        <v>1666</v>
      </c>
      <c r="B1620" t="s">
        <v>27</v>
      </c>
      <c r="C1620" t="s">
        <v>46</v>
      </c>
      <c r="D1620" t="s">
        <v>59</v>
      </c>
      <c r="E1620" s="1">
        <v>45162</v>
      </c>
      <c r="F1620" s="1">
        <v>45165</v>
      </c>
      <c r="G1620">
        <v>8.8000000000000007</v>
      </c>
      <c r="H1620">
        <v>132.34</v>
      </c>
      <c r="I1620" t="s">
        <v>15</v>
      </c>
      <c r="J1620">
        <v>1021</v>
      </c>
      <c r="K1620">
        <v>3</v>
      </c>
      <c r="L1620" t="str">
        <f>IF(logistics_data[[#This Row],[Delivery_Date]]="","In Transit",
 IF(logistics_data[[#This Row],[Status]]="Lost","Lost",
 IF(logistics_data[[#This Row],[Status]]="Returned","Returned",
 IF(logistics_data[[#This Row],[Status]]="Delayed","Delayed",
 "Delivered"))))</f>
        <v>Delivered</v>
      </c>
      <c r="M1620" s="2">
        <f>logistics_data[[#This Row],[Cost]]/logistics_data[[#This Row],[Distance_miles]]</f>
        <v>0.12961802154750246</v>
      </c>
      <c r="N1620" t="str">
        <f>IF(logistics_data[[#This Row],[Orginal staus of shipment]]&lt;&gt;"Delivered","not applicabel", IF(logistics_data[[#This Row],[Transit_Days]]&gt;=5,"slow","fast"))</f>
        <v>fast</v>
      </c>
    </row>
    <row r="1621" spans="1:14" x14ac:dyDescent="0.3">
      <c r="A1621" t="s">
        <v>1667</v>
      </c>
      <c r="B1621" t="s">
        <v>12</v>
      </c>
      <c r="C1621" t="s">
        <v>57</v>
      </c>
      <c r="D1621" t="s">
        <v>42</v>
      </c>
      <c r="E1621" s="1">
        <v>45197</v>
      </c>
      <c r="F1621" s="1">
        <v>45200</v>
      </c>
      <c r="G1621">
        <v>14.5</v>
      </c>
      <c r="H1621">
        <v>183.23</v>
      </c>
      <c r="I1621" t="s">
        <v>15</v>
      </c>
      <c r="J1621">
        <v>1420</v>
      </c>
      <c r="K1621">
        <v>3</v>
      </c>
      <c r="L1621" t="str">
        <f>IF(logistics_data[[#This Row],[Delivery_Date]]="","In Transit",
 IF(logistics_data[[#This Row],[Status]]="Lost","Lost",
 IF(logistics_data[[#This Row],[Status]]="Returned","Returned",
 IF(logistics_data[[#This Row],[Status]]="Delayed","Delayed",
 "Delivered"))))</f>
        <v>Delivered</v>
      </c>
      <c r="M1621" s="2">
        <f>logistics_data[[#This Row],[Cost]]/logistics_data[[#This Row],[Distance_miles]]</f>
        <v>0.12903521126760562</v>
      </c>
      <c r="N1621" t="str">
        <f>IF(logistics_data[[#This Row],[Orginal staus of shipment]]&lt;&gt;"Delivered","not applicabel", IF(logistics_data[[#This Row],[Transit_Days]]&gt;=5,"slow","fast"))</f>
        <v>fast</v>
      </c>
    </row>
    <row r="1622" spans="1:14" x14ac:dyDescent="0.3">
      <c r="A1622" t="s">
        <v>1668</v>
      </c>
      <c r="B1622" t="s">
        <v>23</v>
      </c>
      <c r="C1622" t="s">
        <v>52</v>
      </c>
      <c r="D1622" t="s">
        <v>42</v>
      </c>
      <c r="E1622" s="1">
        <v>44993</v>
      </c>
      <c r="F1622" s="1">
        <v>44997</v>
      </c>
      <c r="G1622">
        <v>25.8</v>
      </c>
      <c r="H1622">
        <v>137.06</v>
      </c>
      <c r="I1622" t="s">
        <v>62</v>
      </c>
      <c r="J1622">
        <v>896</v>
      </c>
      <c r="K1622">
        <v>4</v>
      </c>
      <c r="L1622" t="str">
        <f>IF(logistics_data[[#This Row],[Delivery_Date]]="","In Transit",
 IF(logistics_data[[#This Row],[Status]]="Lost","Lost",
 IF(logistics_data[[#This Row],[Status]]="Returned","Returned",
 IF(logistics_data[[#This Row],[Status]]="Delayed","Delayed",
 "Delivered"))))</f>
        <v>Delivered</v>
      </c>
      <c r="M1622" s="2">
        <f>logistics_data[[#This Row],[Cost]]/logistics_data[[#This Row],[Distance_miles]]</f>
        <v>0.15296875000000001</v>
      </c>
      <c r="N1622" t="str">
        <f>IF(logistics_data[[#This Row],[Orginal staus of shipment]]&lt;&gt;"Delivered","not applicabel", IF(logistics_data[[#This Row],[Transit_Days]]&gt;=5,"slow","fast"))</f>
        <v>fast</v>
      </c>
    </row>
    <row r="1623" spans="1:14" x14ac:dyDescent="0.3">
      <c r="A1623" t="s">
        <v>1669</v>
      </c>
      <c r="B1623" t="s">
        <v>27</v>
      </c>
      <c r="C1623" t="s">
        <v>70</v>
      </c>
      <c r="D1623" t="s">
        <v>25</v>
      </c>
      <c r="E1623" s="1">
        <v>45041</v>
      </c>
      <c r="F1623" s="1">
        <v>45043</v>
      </c>
      <c r="G1623">
        <v>10.6</v>
      </c>
      <c r="H1623">
        <v>110.85</v>
      </c>
      <c r="I1623" t="s">
        <v>15</v>
      </c>
      <c r="J1623">
        <v>752</v>
      </c>
      <c r="K1623">
        <v>2</v>
      </c>
      <c r="L1623" t="str">
        <f>IF(logistics_data[[#This Row],[Delivery_Date]]="","In Transit",
 IF(logistics_data[[#This Row],[Status]]="Lost","Lost",
 IF(logistics_data[[#This Row],[Status]]="Returned","Returned",
 IF(logistics_data[[#This Row],[Status]]="Delayed","Delayed",
 "Delivered"))))</f>
        <v>Delivered</v>
      </c>
      <c r="M1623" s="2">
        <f>logistics_data[[#This Row],[Cost]]/logistics_data[[#This Row],[Distance_miles]]</f>
        <v>0.14740691489361701</v>
      </c>
      <c r="N1623" t="str">
        <f>IF(logistics_data[[#This Row],[Orginal staus of shipment]]&lt;&gt;"Delivered","not applicabel", IF(logistics_data[[#This Row],[Transit_Days]]&gt;=5,"slow","fast"))</f>
        <v>fast</v>
      </c>
    </row>
    <row r="1624" spans="1:14" x14ac:dyDescent="0.3">
      <c r="A1624" t="s">
        <v>1670</v>
      </c>
      <c r="B1624" t="s">
        <v>30</v>
      </c>
      <c r="C1624" t="s">
        <v>17</v>
      </c>
      <c r="D1624" t="s">
        <v>59</v>
      </c>
      <c r="E1624" s="1">
        <v>45255</v>
      </c>
      <c r="F1624" s="1">
        <v>45257</v>
      </c>
      <c r="G1624">
        <v>22.1</v>
      </c>
      <c r="H1624">
        <v>93</v>
      </c>
      <c r="I1624" t="s">
        <v>15</v>
      </c>
      <c r="J1624">
        <v>398</v>
      </c>
      <c r="K1624">
        <v>2</v>
      </c>
      <c r="L1624" t="str">
        <f>IF(logistics_data[[#This Row],[Delivery_Date]]="","In Transit",
 IF(logistics_data[[#This Row],[Status]]="Lost","Lost",
 IF(logistics_data[[#This Row],[Status]]="Returned","Returned",
 IF(logistics_data[[#This Row],[Status]]="Delayed","Delayed",
 "Delivered"))))</f>
        <v>Delivered</v>
      </c>
      <c r="M1624" s="2">
        <f>logistics_data[[#This Row],[Cost]]/logistics_data[[#This Row],[Distance_miles]]</f>
        <v>0.23366834170854273</v>
      </c>
      <c r="N1624" t="str">
        <f>IF(logistics_data[[#This Row],[Orginal staus of shipment]]&lt;&gt;"Delivered","not applicabel", IF(logistics_data[[#This Row],[Transit_Days]]&gt;=5,"slow","fast"))</f>
        <v>fast</v>
      </c>
    </row>
    <row r="1625" spans="1:14" x14ac:dyDescent="0.3">
      <c r="A1625" t="s">
        <v>1671</v>
      </c>
      <c r="B1625" t="s">
        <v>56</v>
      </c>
      <c r="C1625" t="s">
        <v>54</v>
      </c>
      <c r="D1625" t="s">
        <v>37</v>
      </c>
      <c r="E1625" s="1">
        <v>45033</v>
      </c>
      <c r="F1625" s="1">
        <v>45038</v>
      </c>
      <c r="G1625">
        <v>15.3</v>
      </c>
      <c r="H1625">
        <v>157.36000000000001</v>
      </c>
      <c r="I1625" t="s">
        <v>15</v>
      </c>
      <c r="J1625">
        <v>1237</v>
      </c>
      <c r="K1625">
        <v>5</v>
      </c>
      <c r="L1625" t="str">
        <f>IF(logistics_data[[#This Row],[Delivery_Date]]="","In Transit",
 IF(logistics_data[[#This Row],[Status]]="Lost","Lost",
 IF(logistics_data[[#This Row],[Status]]="Returned","Returned",
 IF(logistics_data[[#This Row],[Status]]="Delayed","Delayed",
 "Delivered"))))</f>
        <v>Delivered</v>
      </c>
      <c r="M1625" s="2">
        <f>logistics_data[[#This Row],[Cost]]/logistics_data[[#This Row],[Distance_miles]]</f>
        <v>0.12721099434114794</v>
      </c>
      <c r="N1625" t="str">
        <f>IF(logistics_data[[#This Row],[Orginal staus of shipment]]&lt;&gt;"Delivered","not applicabel", IF(logistics_data[[#This Row],[Transit_Days]]&gt;=5,"slow","fast"))</f>
        <v>slow</v>
      </c>
    </row>
    <row r="1626" spans="1:14" x14ac:dyDescent="0.3">
      <c r="A1626" t="s">
        <v>1672</v>
      </c>
      <c r="B1626" t="s">
        <v>56</v>
      </c>
      <c r="C1626" t="s">
        <v>54</v>
      </c>
      <c r="D1626" t="s">
        <v>25</v>
      </c>
      <c r="E1626" s="1">
        <v>44956</v>
      </c>
      <c r="F1626" s="1">
        <v>44960</v>
      </c>
      <c r="G1626">
        <v>16.2</v>
      </c>
      <c r="H1626">
        <v>230.74</v>
      </c>
      <c r="I1626" t="s">
        <v>15</v>
      </c>
      <c r="J1626">
        <v>1651</v>
      </c>
      <c r="K1626">
        <v>4</v>
      </c>
      <c r="L1626" t="str">
        <f>IF(logistics_data[[#This Row],[Delivery_Date]]="","In Transit",
 IF(logistics_data[[#This Row],[Status]]="Lost","Lost",
 IF(logistics_data[[#This Row],[Status]]="Returned","Returned",
 IF(logistics_data[[#This Row],[Status]]="Delayed","Delayed",
 "Delivered"))))</f>
        <v>Delivered</v>
      </c>
      <c r="M1626" s="2">
        <f>logistics_data[[#This Row],[Cost]]/logistics_data[[#This Row],[Distance_miles]]</f>
        <v>0.13975772259236827</v>
      </c>
      <c r="N1626" t="str">
        <f>IF(logistics_data[[#This Row],[Orginal staus of shipment]]&lt;&gt;"Delivered","not applicabel", IF(logistics_data[[#This Row],[Transit_Days]]&gt;=5,"slow","fast"))</f>
        <v>fast</v>
      </c>
    </row>
    <row r="1627" spans="1:14" x14ac:dyDescent="0.3">
      <c r="A1627" t="s">
        <v>1673</v>
      </c>
      <c r="B1627" t="s">
        <v>20</v>
      </c>
      <c r="C1627" t="s">
        <v>54</v>
      </c>
      <c r="D1627" t="s">
        <v>37</v>
      </c>
      <c r="E1627" s="1">
        <v>45291</v>
      </c>
      <c r="F1627" s="1">
        <v>45295</v>
      </c>
      <c r="G1627">
        <v>37</v>
      </c>
      <c r="H1627">
        <v>306.42</v>
      </c>
      <c r="I1627" t="s">
        <v>15</v>
      </c>
      <c r="J1627">
        <v>1658</v>
      </c>
      <c r="K1627">
        <v>4</v>
      </c>
      <c r="L1627" t="str">
        <f>IF(logistics_data[[#This Row],[Delivery_Date]]="","In Transit",
 IF(logistics_data[[#This Row],[Status]]="Lost","Lost",
 IF(logistics_data[[#This Row],[Status]]="Returned","Returned",
 IF(logistics_data[[#This Row],[Status]]="Delayed","Delayed",
 "Delivered"))))</f>
        <v>Delivered</v>
      </c>
      <c r="M1627" s="2">
        <f>logistics_data[[#This Row],[Cost]]/logistics_data[[#This Row],[Distance_miles]]</f>
        <v>0.18481302774427022</v>
      </c>
      <c r="N1627" t="str">
        <f>IF(logistics_data[[#This Row],[Orginal staus of shipment]]&lt;&gt;"Delivered","not applicabel", IF(logistics_data[[#This Row],[Transit_Days]]&gt;=5,"slow","fast"))</f>
        <v>fast</v>
      </c>
    </row>
    <row r="1628" spans="1:14" x14ac:dyDescent="0.3">
      <c r="A1628" t="s">
        <v>1674</v>
      </c>
      <c r="B1628" t="s">
        <v>12</v>
      </c>
      <c r="C1628" t="s">
        <v>81</v>
      </c>
      <c r="D1628" t="s">
        <v>59</v>
      </c>
      <c r="E1628" s="1">
        <v>45271</v>
      </c>
      <c r="F1628" s="1">
        <v>45277</v>
      </c>
      <c r="G1628">
        <v>42.7</v>
      </c>
      <c r="H1628">
        <v>319.58</v>
      </c>
      <c r="I1628" t="s">
        <v>15</v>
      </c>
      <c r="J1628">
        <v>1829</v>
      </c>
      <c r="K1628">
        <v>6</v>
      </c>
      <c r="L1628" t="str">
        <f>IF(logistics_data[[#This Row],[Delivery_Date]]="","In Transit",
 IF(logistics_data[[#This Row],[Status]]="Lost","Lost",
 IF(logistics_data[[#This Row],[Status]]="Returned","Returned",
 IF(logistics_data[[#This Row],[Status]]="Delayed","Delayed",
 "Delivered"))))</f>
        <v>Delivered</v>
      </c>
      <c r="M1628" s="2">
        <f>logistics_data[[#This Row],[Cost]]/logistics_data[[#This Row],[Distance_miles]]</f>
        <v>0.17472936030617822</v>
      </c>
      <c r="N1628" t="str">
        <f>IF(logistics_data[[#This Row],[Orginal staus of shipment]]&lt;&gt;"Delivered","not applicabel", IF(logistics_data[[#This Row],[Transit_Days]]&gt;=5,"slow","fast"))</f>
        <v>slow</v>
      </c>
    </row>
    <row r="1629" spans="1:14" x14ac:dyDescent="0.3">
      <c r="A1629" t="s">
        <v>1675</v>
      </c>
      <c r="B1629" t="s">
        <v>51</v>
      </c>
      <c r="C1629" t="s">
        <v>21</v>
      </c>
      <c r="D1629" t="s">
        <v>18</v>
      </c>
      <c r="E1629" s="1">
        <v>44960</v>
      </c>
      <c r="F1629" s="1">
        <v>44965</v>
      </c>
      <c r="G1629">
        <v>7.4</v>
      </c>
      <c r="H1629">
        <v>252.34</v>
      </c>
      <c r="I1629" t="s">
        <v>15</v>
      </c>
      <c r="J1629">
        <v>1879</v>
      </c>
      <c r="K1629">
        <v>5</v>
      </c>
      <c r="L1629" t="str">
        <f>IF(logistics_data[[#This Row],[Delivery_Date]]="","In Transit",
 IF(logistics_data[[#This Row],[Status]]="Lost","Lost",
 IF(logistics_data[[#This Row],[Status]]="Returned","Returned",
 IF(logistics_data[[#This Row],[Status]]="Delayed","Delayed",
 "Delivered"))))</f>
        <v>Delivered</v>
      </c>
      <c r="M1629" s="2">
        <f>logistics_data[[#This Row],[Cost]]/logistics_data[[#This Row],[Distance_miles]]</f>
        <v>0.13429483767961681</v>
      </c>
      <c r="N1629" t="str">
        <f>IF(logistics_data[[#This Row],[Orginal staus of shipment]]&lt;&gt;"Delivered","not applicabel", IF(logistics_data[[#This Row],[Transit_Days]]&gt;=5,"slow","fast"))</f>
        <v>slow</v>
      </c>
    </row>
    <row r="1630" spans="1:14" x14ac:dyDescent="0.3">
      <c r="A1630" t="s">
        <v>1676</v>
      </c>
      <c r="B1630" t="s">
        <v>39</v>
      </c>
      <c r="C1630" t="s">
        <v>40</v>
      </c>
      <c r="D1630" t="s">
        <v>37</v>
      </c>
      <c r="E1630" s="1">
        <v>45155</v>
      </c>
      <c r="F1630" s="1">
        <v>45160</v>
      </c>
      <c r="G1630">
        <v>23.4</v>
      </c>
      <c r="H1630">
        <v>89.92</v>
      </c>
      <c r="I1630" t="s">
        <v>47</v>
      </c>
      <c r="J1630">
        <v>454</v>
      </c>
      <c r="K1630">
        <v>1</v>
      </c>
      <c r="L1630" t="str">
        <f>IF(logistics_data[[#This Row],[Delivery_Date]]="","In Transit",
 IF(logistics_data[[#This Row],[Status]]="Lost","Lost",
 IF(logistics_data[[#This Row],[Status]]="Returned","Returned",
 IF(logistics_data[[#This Row],[Status]]="Delayed","Delayed",
 "Delivered"))))</f>
        <v>Delayed</v>
      </c>
      <c r="M1630" s="2">
        <f>logistics_data[[#This Row],[Cost]]/logistics_data[[#This Row],[Distance_miles]]</f>
        <v>0.19806167400881058</v>
      </c>
      <c r="N1630" t="str">
        <f>IF(logistics_data[[#This Row],[Orginal staus of shipment]]&lt;&gt;"Delivered","not applicabel", IF(logistics_data[[#This Row],[Transit_Days]]&gt;=5,"slow","fast"))</f>
        <v>not applicabel</v>
      </c>
    </row>
    <row r="1631" spans="1:14" x14ac:dyDescent="0.3">
      <c r="A1631" t="s">
        <v>1677</v>
      </c>
      <c r="B1631" t="s">
        <v>51</v>
      </c>
      <c r="C1631" t="s">
        <v>57</v>
      </c>
      <c r="D1631" t="s">
        <v>37</v>
      </c>
      <c r="E1631" s="1">
        <v>45052</v>
      </c>
      <c r="F1631" s="1">
        <v>45053</v>
      </c>
      <c r="G1631">
        <v>34.9</v>
      </c>
      <c r="H1631">
        <v>61.85</v>
      </c>
      <c r="I1631" t="s">
        <v>15</v>
      </c>
      <c r="J1631">
        <v>197</v>
      </c>
      <c r="K1631">
        <v>1</v>
      </c>
      <c r="L1631" t="str">
        <f>IF(logistics_data[[#This Row],[Delivery_Date]]="","In Transit",
 IF(logistics_data[[#This Row],[Status]]="Lost","Lost",
 IF(logistics_data[[#This Row],[Status]]="Returned","Returned",
 IF(logistics_data[[#This Row],[Status]]="Delayed","Delayed",
 "Delivered"))))</f>
        <v>Delivered</v>
      </c>
      <c r="M1631" s="2">
        <f>logistics_data[[#This Row],[Cost]]/logistics_data[[#This Row],[Distance_miles]]</f>
        <v>0.31395939086294417</v>
      </c>
      <c r="N1631" t="str">
        <f>IF(logistics_data[[#This Row],[Orginal staus of shipment]]&lt;&gt;"Delivered","not applicabel", IF(logistics_data[[#This Row],[Transit_Days]]&gt;=5,"slow","fast"))</f>
        <v>fast</v>
      </c>
    </row>
    <row r="1632" spans="1:14" x14ac:dyDescent="0.3">
      <c r="A1632" t="s">
        <v>1678</v>
      </c>
      <c r="B1632" t="s">
        <v>56</v>
      </c>
      <c r="C1632" t="s">
        <v>44</v>
      </c>
      <c r="D1632" t="s">
        <v>25</v>
      </c>
      <c r="E1632" s="1">
        <v>45070</v>
      </c>
      <c r="F1632" s="1">
        <v>45075</v>
      </c>
      <c r="G1632">
        <v>8.1</v>
      </c>
      <c r="H1632">
        <v>174.87</v>
      </c>
      <c r="I1632" t="s">
        <v>15</v>
      </c>
      <c r="J1632">
        <v>1325</v>
      </c>
      <c r="K1632">
        <v>5</v>
      </c>
      <c r="L1632" t="str">
        <f>IF(logistics_data[[#This Row],[Delivery_Date]]="","In Transit",
 IF(logistics_data[[#This Row],[Status]]="Lost","Lost",
 IF(logistics_data[[#This Row],[Status]]="Returned","Returned",
 IF(logistics_data[[#This Row],[Status]]="Delayed","Delayed",
 "Delivered"))))</f>
        <v>Delivered</v>
      </c>
      <c r="M1632" s="2">
        <f>logistics_data[[#This Row],[Cost]]/logistics_data[[#This Row],[Distance_miles]]</f>
        <v>0.13197735849056605</v>
      </c>
      <c r="N1632" t="str">
        <f>IF(logistics_data[[#This Row],[Orginal staus of shipment]]&lt;&gt;"Delivered","not applicabel", IF(logistics_data[[#This Row],[Transit_Days]]&gt;=5,"slow","fast"))</f>
        <v>slow</v>
      </c>
    </row>
    <row r="1633" spans="1:14" x14ac:dyDescent="0.3">
      <c r="A1633" t="s">
        <v>1679</v>
      </c>
      <c r="B1633" t="s">
        <v>20</v>
      </c>
      <c r="C1633" t="s">
        <v>36</v>
      </c>
      <c r="D1633" t="s">
        <v>32</v>
      </c>
      <c r="E1633" s="1">
        <v>45238</v>
      </c>
      <c r="F1633" s="1">
        <v>45244</v>
      </c>
      <c r="G1633">
        <v>6.2</v>
      </c>
      <c r="H1633">
        <v>268.27</v>
      </c>
      <c r="I1633" t="s">
        <v>15</v>
      </c>
      <c r="J1633">
        <v>1538</v>
      </c>
      <c r="K1633">
        <v>6</v>
      </c>
      <c r="L1633" t="str">
        <f>IF(logistics_data[[#This Row],[Delivery_Date]]="","In Transit",
 IF(logistics_data[[#This Row],[Status]]="Lost","Lost",
 IF(logistics_data[[#This Row],[Status]]="Returned","Returned",
 IF(logistics_data[[#This Row],[Status]]="Delayed","Delayed",
 "Delivered"))))</f>
        <v>Delivered</v>
      </c>
      <c r="M1633" s="2">
        <f>logistics_data[[#This Row],[Cost]]/logistics_data[[#This Row],[Distance_miles]]</f>
        <v>0.17442782834850454</v>
      </c>
      <c r="N1633" t="str">
        <f>IF(logistics_data[[#This Row],[Orginal staus of shipment]]&lt;&gt;"Delivered","not applicabel", IF(logistics_data[[#This Row],[Transit_Days]]&gt;=5,"slow","fast"))</f>
        <v>slow</v>
      </c>
    </row>
    <row r="1634" spans="1:14" x14ac:dyDescent="0.3">
      <c r="A1634" t="s">
        <v>1680</v>
      </c>
      <c r="B1634" t="s">
        <v>27</v>
      </c>
      <c r="C1634" t="s">
        <v>44</v>
      </c>
      <c r="D1634" t="s">
        <v>25</v>
      </c>
      <c r="E1634" s="1">
        <v>44931</v>
      </c>
      <c r="F1634" s="1">
        <v>44936</v>
      </c>
      <c r="G1634">
        <v>14</v>
      </c>
      <c r="H1634">
        <v>151.05000000000001</v>
      </c>
      <c r="I1634" t="s">
        <v>15</v>
      </c>
      <c r="J1634">
        <v>1077</v>
      </c>
      <c r="K1634">
        <v>5</v>
      </c>
      <c r="L1634" t="str">
        <f>IF(logistics_data[[#This Row],[Delivery_Date]]="","In Transit",
 IF(logistics_data[[#This Row],[Status]]="Lost","Lost",
 IF(logistics_data[[#This Row],[Status]]="Returned","Returned",
 IF(logistics_data[[#This Row],[Status]]="Delayed","Delayed",
 "Delivered"))))</f>
        <v>Delivered</v>
      </c>
      <c r="M1634" s="2">
        <f>logistics_data[[#This Row],[Cost]]/logistics_data[[#This Row],[Distance_miles]]</f>
        <v>0.14025069637883009</v>
      </c>
      <c r="N1634" t="str">
        <f>IF(logistics_data[[#This Row],[Orginal staus of shipment]]&lt;&gt;"Delivered","not applicabel", IF(logistics_data[[#This Row],[Transit_Days]]&gt;=5,"slow","fast"))</f>
        <v>slow</v>
      </c>
    </row>
    <row r="1635" spans="1:14" x14ac:dyDescent="0.3">
      <c r="A1635" t="s">
        <v>1681</v>
      </c>
      <c r="B1635" t="s">
        <v>39</v>
      </c>
      <c r="C1635" t="s">
        <v>54</v>
      </c>
      <c r="D1635" t="s">
        <v>18</v>
      </c>
      <c r="E1635" s="1">
        <v>45236</v>
      </c>
      <c r="F1635" s="1">
        <v>45240</v>
      </c>
      <c r="G1635">
        <v>10</v>
      </c>
      <c r="H1635">
        <v>118.15</v>
      </c>
      <c r="I1635" t="s">
        <v>47</v>
      </c>
      <c r="J1635">
        <v>638</v>
      </c>
      <c r="K1635">
        <v>2</v>
      </c>
      <c r="L1635" t="str">
        <f>IF(logistics_data[[#This Row],[Delivery_Date]]="","In Transit",
 IF(logistics_data[[#This Row],[Status]]="Lost","Lost",
 IF(logistics_data[[#This Row],[Status]]="Returned","Returned",
 IF(logistics_data[[#This Row],[Status]]="Delayed","Delayed",
 "Delivered"))))</f>
        <v>Delayed</v>
      </c>
      <c r="M1635" s="2">
        <f>logistics_data[[#This Row],[Cost]]/logistics_data[[#This Row],[Distance_miles]]</f>
        <v>0.18518808777429469</v>
      </c>
      <c r="N1635" t="str">
        <f>IF(logistics_data[[#This Row],[Orginal staus of shipment]]&lt;&gt;"Delivered","not applicabel", IF(logistics_data[[#This Row],[Transit_Days]]&gt;=5,"slow","fast"))</f>
        <v>not applicabel</v>
      </c>
    </row>
    <row r="1636" spans="1:14" x14ac:dyDescent="0.3">
      <c r="A1636" t="s">
        <v>1682</v>
      </c>
      <c r="B1636" t="s">
        <v>27</v>
      </c>
      <c r="C1636" t="s">
        <v>46</v>
      </c>
      <c r="D1636" t="s">
        <v>59</v>
      </c>
      <c r="E1636" s="1">
        <v>45249</v>
      </c>
      <c r="F1636" s="1">
        <v>45258</v>
      </c>
      <c r="G1636">
        <v>43.6</v>
      </c>
      <c r="H1636">
        <v>304.3</v>
      </c>
      <c r="I1636" t="s">
        <v>15</v>
      </c>
      <c r="J1636">
        <v>1947</v>
      </c>
      <c r="K1636">
        <v>9</v>
      </c>
      <c r="L1636" t="str">
        <f>IF(logistics_data[[#This Row],[Delivery_Date]]="","In Transit",
 IF(logistics_data[[#This Row],[Status]]="Lost","Lost",
 IF(logistics_data[[#This Row],[Status]]="Returned","Returned",
 IF(logistics_data[[#This Row],[Status]]="Delayed","Delayed",
 "Delivered"))))</f>
        <v>Delivered</v>
      </c>
      <c r="M1636" s="2">
        <f>logistics_data[[#This Row],[Cost]]/logistics_data[[#This Row],[Distance_miles]]</f>
        <v>0.15629173086800205</v>
      </c>
      <c r="N1636" t="str">
        <f>IF(logistics_data[[#This Row],[Orginal staus of shipment]]&lt;&gt;"Delivered","not applicabel", IF(logistics_data[[#This Row],[Transit_Days]]&gt;=5,"slow","fast"))</f>
        <v>slow</v>
      </c>
    </row>
    <row r="1637" spans="1:14" x14ac:dyDescent="0.3">
      <c r="A1637" t="s">
        <v>1683</v>
      </c>
      <c r="B1637" t="s">
        <v>56</v>
      </c>
      <c r="C1637" t="s">
        <v>17</v>
      </c>
      <c r="D1637" t="s">
        <v>37</v>
      </c>
      <c r="E1637" s="1">
        <v>45099</v>
      </c>
      <c r="F1637" s="1">
        <v>45104</v>
      </c>
      <c r="G1637">
        <v>16.100000000000001</v>
      </c>
      <c r="H1637">
        <v>143</v>
      </c>
      <c r="I1637" t="s">
        <v>15</v>
      </c>
      <c r="J1637">
        <v>1074</v>
      </c>
      <c r="K1637">
        <v>5</v>
      </c>
      <c r="L1637" t="str">
        <f>IF(logistics_data[[#This Row],[Delivery_Date]]="","In Transit",
 IF(logistics_data[[#This Row],[Status]]="Lost","Lost",
 IF(logistics_data[[#This Row],[Status]]="Returned","Returned",
 IF(logistics_data[[#This Row],[Status]]="Delayed","Delayed",
 "Delivered"))))</f>
        <v>Delivered</v>
      </c>
      <c r="M1637" s="2">
        <f>logistics_data[[#This Row],[Cost]]/logistics_data[[#This Row],[Distance_miles]]</f>
        <v>0.13314711359404097</v>
      </c>
      <c r="N1637" t="str">
        <f>IF(logistics_data[[#This Row],[Orginal staus of shipment]]&lt;&gt;"Delivered","not applicabel", IF(logistics_data[[#This Row],[Transit_Days]]&gt;=5,"slow","fast"))</f>
        <v>slow</v>
      </c>
    </row>
    <row r="1638" spans="1:14" x14ac:dyDescent="0.3">
      <c r="A1638" t="s">
        <v>1684</v>
      </c>
      <c r="B1638" t="s">
        <v>30</v>
      </c>
      <c r="C1638" t="s">
        <v>44</v>
      </c>
      <c r="D1638" t="s">
        <v>42</v>
      </c>
      <c r="E1638" s="1">
        <v>45089</v>
      </c>
      <c r="F1638" s="1">
        <v>45092</v>
      </c>
      <c r="G1638">
        <v>21.3</v>
      </c>
      <c r="H1638">
        <v>91.45</v>
      </c>
      <c r="I1638" t="s">
        <v>15</v>
      </c>
      <c r="J1638">
        <v>587</v>
      </c>
      <c r="K1638">
        <v>3</v>
      </c>
      <c r="L1638" t="str">
        <f>IF(logistics_data[[#This Row],[Delivery_Date]]="","In Transit",
 IF(logistics_data[[#This Row],[Status]]="Lost","Lost",
 IF(logistics_data[[#This Row],[Status]]="Returned","Returned",
 IF(logistics_data[[#This Row],[Status]]="Delayed","Delayed",
 "Delivered"))))</f>
        <v>Delivered</v>
      </c>
      <c r="M1638" s="2">
        <f>logistics_data[[#This Row],[Cost]]/logistics_data[[#This Row],[Distance_miles]]</f>
        <v>0.15579216354344122</v>
      </c>
      <c r="N1638" t="str">
        <f>IF(logistics_data[[#This Row],[Orginal staus of shipment]]&lt;&gt;"Delivered","not applicabel", IF(logistics_data[[#This Row],[Transit_Days]]&gt;=5,"slow","fast"))</f>
        <v>fast</v>
      </c>
    </row>
    <row r="1639" spans="1:14" x14ac:dyDescent="0.3">
      <c r="A1639" t="s">
        <v>1685</v>
      </c>
      <c r="B1639" t="s">
        <v>20</v>
      </c>
      <c r="C1639" t="s">
        <v>24</v>
      </c>
      <c r="D1639" t="s">
        <v>59</v>
      </c>
      <c r="E1639" s="1">
        <v>45007</v>
      </c>
      <c r="F1639" s="1">
        <v>45011</v>
      </c>
      <c r="G1639">
        <v>66.3</v>
      </c>
      <c r="H1639">
        <v>204.27</v>
      </c>
      <c r="I1639" t="s">
        <v>15</v>
      </c>
      <c r="J1639">
        <v>1135</v>
      </c>
      <c r="K1639">
        <v>4</v>
      </c>
      <c r="L1639" t="str">
        <f>IF(logistics_data[[#This Row],[Delivery_Date]]="","In Transit",
 IF(logistics_data[[#This Row],[Status]]="Lost","Lost",
 IF(logistics_data[[#This Row],[Status]]="Returned","Returned",
 IF(logistics_data[[#This Row],[Status]]="Delayed","Delayed",
 "Delivered"))))</f>
        <v>Delivered</v>
      </c>
      <c r="M1639" s="2">
        <f>logistics_data[[#This Row],[Cost]]/logistics_data[[#This Row],[Distance_miles]]</f>
        <v>0.17997356828193833</v>
      </c>
      <c r="N1639" t="str">
        <f>IF(logistics_data[[#This Row],[Orginal staus of shipment]]&lt;&gt;"Delivered","not applicabel", IF(logistics_data[[#This Row],[Transit_Days]]&gt;=5,"slow","fast"))</f>
        <v>fast</v>
      </c>
    </row>
    <row r="1640" spans="1:14" x14ac:dyDescent="0.3">
      <c r="A1640" t="s">
        <v>1686</v>
      </c>
      <c r="B1640" t="s">
        <v>12</v>
      </c>
      <c r="C1640" t="s">
        <v>17</v>
      </c>
      <c r="D1640" t="s">
        <v>25</v>
      </c>
      <c r="E1640" s="1">
        <v>44978</v>
      </c>
      <c r="F1640" s="1">
        <v>44981</v>
      </c>
      <c r="G1640">
        <v>5.9</v>
      </c>
      <c r="H1640">
        <v>103.51</v>
      </c>
      <c r="I1640" t="s">
        <v>15</v>
      </c>
      <c r="J1640">
        <v>746</v>
      </c>
      <c r="K1640">
        <v>3</v>
      </c>
      <c r="L1640" t="str">
        <f>IF(logistics_data[[#This Row],[Delivery_Date]]="","In Transit",
 IF(logistics_data[[#This Row],[Status]]="Lost","Lost",
 IF(logistics_data[[#This Row],[Status]]="Returned","Returned",
 IF(logistics_data[[#This Row],[Status]]="Delayed","Delayed",
 "Delivered"))))</f>
        <v>Delivered</v>
      </c>
      <c r="M1640" s="2">
        <f>logistics_data[[#This Row],[Cost]]/logistics_data[[#This Row],[Distance_miles]]</f>
        <v>0.13875335120643431</v>
      </c>
      <c r="N1640" t="str">
        <f>IF(logistics_data[[#This Row],[Orginal staus of shipment]]&lt;&gt;"Delivered","not applicabel", IF(logistics_data[[#This Row],[Transit_Days]]&gt;=5,"slow","fast"))</f>
        <v>fast</v>
      </c>
    </row>
    <row r="1641" spans="1:14" x14ac:dyDescent="0.3">
      <c r="A1641" t="s">
        <v>1687</v>
      </c>
      <c r="B1641" t="s">
        <v>23</v>
      </c>
      <c r="C1641" t="s">
        <v>46</v>
      </c>
      <c r="D1641" t="s">
        <v>59</v>
      </c>
      <c r="E1641" s="1">
        <v>45202</v>
      </c>
      <c r="F1641" s="1">
        <v>45206</v>
      </c>
      <c r="G1641">
        <v>28.9</v>
      </c>
      <c r="H1641">
        <v>227.91</v>
      </c>
      <c r="I1641" t="s">
        <v>60</v>
      </c>
      <c r="J1641">
        <v>1675</v>
      </c>
      <c r="K1641">
        <v>4</v>
      </c>
      <c r="L1641" t="str">
        <f>IF(logistics_data[[#This Row],[Delivery_Date]]="","In Transit",
 IF(logistics_data[[#This Row],[Status]]="Lost","Lost",
 IF(logistics_data[[#This Row],[Status]]="Returned","Returned",
 IF(logistics_data[[#This Row],[Status]]="Delayed","Delayed",
 "Delivered"))))</f>
        <v>Lost</v>
      </c>
      <c r="M1641" s="2">
        <f>logistics_data[[#This Row],[Cost]]/logistics_data[[#This Row],[Distance_miles]]</f>
        <v>0.13606567164179104</v>
      </c>
      <c r="N1641" t="str">
        <f>IF(logistics_data[[#This Row],[Orginal staus of shipment]]&lt;&gt;"Delivered","not applicabel", IF(logistics_data[[#This Row],[Transit_Days]]&gt;=5,"slow","fast"))</f>
        <v>not applicabel</v>
      </c>
    </row>
    <row r="1642" spans="1:14" x14ac:dyDescent="0.3">
      <c r="A1642" t="s">
        <v>1688</v>
      </c>
      <c r="B1642" t="s">
        <v>20</v>
      </c>
      <c r="C1642" t="s">
        <v>46</v>
      </c>
      <c r="D1642" t="s">
        <v>59</v>
      </c>
      <c r="E1642" s="1">
        <v>45230</v>
      </c>
      <c r="F1642" s="1">
        <v>45237</v>
      </c>
      <c r="G1642">
        <v>32.4</v>
      </c>
      <c r="H1642">
        <v>226.41</v>
      </c>
      <c r="I1642" t="s">
        <v>15</v>
      </c>
      <c r="J1642">
        <v>1636</v>
      </c>
      <c r="K1642">
        <v>7</v>
      </c>
      <c r="L1642" t="str">
        <f>IF(logistics_data[[#This Row],[Delivery_Date]]="","In Transit",
 IF(logistics_data[[#This Row],[Status]]="Lost","Lost",
 IF(logistics_data[[#This Row],[Status]]="Returned","Returned",
 IF(logistics_data[[#This Row],[Status]]="Delayed","Delayed",
 "Delivered"))))</f>
        <v>Delivered</v>
      </c>
      <c r="M1642" s="2">
        <f>logistics_data[[#This Row],[Cost]]/logistics_data[[#This Row],[Distance_miles]]</f>
        <v>0.1383924205378973</v>
      </c>
      <c r="N1642" t="str">
        <f>IF(logistics_data[[#This Row],[Orginal staus of shipment]]&lt;&gt;"Delivered","not applicabel", IF(logistics_data[[#This Row],[Transit_Days]]&gt;=5,"slow","fast"))</f>
        <v>slow</v>
      </c>
    </row>
    <row r="1643" spans="1:14" x14ac:dyDescent="0.3">
      <c r="A1643" t="s">
        <v>1689</v>
      </c>
      <c r="B1643" t="s">
        <v>39</v>
      </c>
      <c r="C1643" t="s">
        <v>13</v>
      </c>
      <c r="D1643" t="s">
        <v>59</v>
      </c>
      <c r="E1643" s="1">
        <v>44945</v>
      </c>
      <c r="F1643" s="1">
        <v>44952</v>
      </c>
      <c r="G1643">
        <v>53</v>
      </c>
      <c r="H1643">
        <v>322.97000000000003</v>
      </c>
      <c r="I1643" t="s">
        <v>15</v>
      </c>
      <c r="J1643">
        <v>2490</v>
      </c>
      <c r="K1643">
        <v>7</v>
      </c>
      <c r="L1643" t="str">
        <f>IF(logistics_data[[#This Row],[Delivery_Date]]="","In Transit",
 IF(logistics_data[[#This Row],[Status]]="Lost","Lost",
 IF(logistics_data[[#This Row],[Status]]="Returned","Returned",
 IF(logistics_data[[#This Row],[Status]]="Delayed","Delayed",
 "Delivered"))))</f>
        <v>Delivered</v>
      </c>
      <c r="M1643" s="2">
        <f>logistics_data[[#This Row],[Cost]]/logistics_data[[#This Row],[Distance_miles]]</f>
        <v>0.12970682730923697</v>
      </c>
      <c r="N1643" t="str">
        <f>IF(logistics_data[[#This Row],[Orginal staus of shipment]]&lt;&gt;"Delivered","not applicabel", IF(logistics_data[[#This Row],[Transit_Days]]&gt;=5,"slow","fast"))</f>
        <v>slow</v>
      </c>
    </row>
    <row r="1644" spans="1:14" x14ac:dyDescent="0.3">
      <c r="A1644" t="s">
        <v>1690</v>
      </c>
      <c r="B1644" t="s">
        <v>12</v>
      </c>
      <c r="C1644" t="s">
        <v>36</v>
      </c>
      <c r="D1644" t="s">
        <v>59</v>
      </c>
      <c r="E1644" s="1">
        <v>45046</v>
      </c>
      <c r="F1644" s="1">
        <v>45059</v>
      </c>
      <c r="G1644">
        <v>37</v>
      </c>
      <c r="H1644">
        <v>211.45</v>
      </c>
      <c r="I1644" t="s">
        <v>47</v>
      </c>
      <c r="J1644">
        <v>1433</v>
      </c>
      <c r="K1644">
        <v>4</v>
      </c>
      <c r="L1644" t="str">
        <f>IF(logistics_data[[#This Row],[Delivery_Date]]="","In Transit",
 IF(logistics_data[[#This Row],[Status]]="Lost","Lost",
 IF(logistics_data[[#This Row],[Status]]="Returned","Returned",
 IF(logistics_data[[#This Row],[Status]]="Delayed","Delayed",
 "Delivered"))))</f>
        <v>Delayed</v>
      </c>
      <c r="M1644" s="2">
        <f>logistics_data[[#This Row],[Cost]]/logistics_data[[#This Row],[Distance_miles]]</f>
        <v>0.14755757152826238</v>
      </c>
      <c r="N1644" t="str">
        <f>IF(logistics_data[[#This Row],[Orginal staus of shipment]]&lt;&gt;"Delivered","not applicabel", IF(logistics_data[[#This Row],[Transit_Days]]&gt;=5,"slow","fast"))</f>
        <v>not applicabel</v>
      </c>
    </row>
    <row r="1645" spans="1:14" x14ac:dyDescent="0.3">
      <c r="A1645" t="s">
        <v>1691</v>
      </c>
      <c r="B1645" t="s">
        <v>30</v>
      </c>
      <c r="C1645" t="s">
        <v>40</v>
      </c>
      <c r="D1645" t="s">
        <v>25</v>
      </c>
      <c r="E1645" s="1">
        <v>45061</v>
      </c>
      <c r="F1645" s="1">
        <v>45063</v>
      </c>
      <c r="G1645">
        <v>33.799999999999997</v>
      </c>
      <c r="H1645">
        <v>134.61000000000001</v>
      </c>
      <c r="I1645" t="s">
        <v>60</v>
      </c>
      <c r="J1645">
        <v>775</v>
      </c>
      <c r="K1645">
        <v>2</v>
      </c>
      <c r="L1645" t="str">
        <f>IF(logistics_data[[#This Row],[Delivery_Date]]="","In Transit",
 IF(logistics_data[[#This Row],[Status]]="Lost","Lost",
 IF(logistics_data[[#This Row],[Status]]="Returned","Returned",
 IF(logistics_data[[#This Row],[Status]]="Delayed","Delayed",
 "Delivered"))))</f>
        <v>Lost</v>
      </c>
      <c r="M1645" s="2">
        <f>logistics_data[[#This Row],[Cost]]/logistics_data[[#This Row],[Distance_miles]]</f>
        <v>0.17369032258064518</v>
      </c>
      <c r="N1645" t="str">
        <f>IF(logistics_data[[#This Row],[Orginal staus of shipment]]&lt;&gt;"Delivered","not applicabel", IF(logistics_data[[#This Row],[Transit_Days]]&gt;=5,"slow","fast"))</f>
        <v>not applicabel</v>
      </c>
    </row>
    <row r="1646" spans="1:14" x14ac:dyDescent="0.3">
      <c r="A1646" t="s">
        <v>1692</v>
      </c>
      <c r="B1646" t="s">
        <v>39</v>
      </c>
      <c r="C1646" t="s">
        <v>13</v>
      </c>
      <c r="D1646" t="s">
        <v>25</v>
      </c>
      <c r="E1646" s="1">
        <v>45160</v>
      </c>
      <c r="F1646" s="1">
        <v>45166</v>
      </c>
      <c r="G1646">
        <v>12.3</v>
      </c>
      <c r="H1646">
        <v>190.39</v>
      </c>
      <c r="I1646" t="s">
        <v>15</v>
      </c>
      <c r="J1646">
        <v>1393</v>
      </c>
      <c r="K1646">
        <v>6</v>
      </c>
      <c r="L1646" t="str">
        <f>IF(logistics_data[[#This Row],[Delivery_Date]]="","In Transit",
 IF(logistics_data[[#This Row],[Status]]="Lost","Lost",
 IF(logistics_data[[#This Row],[Status]]="Returned","Returned",
 IF(logistics_data[[#This Row],[Status]]="Delayed","Delayed",
 "Delivered"))))</f>
        <v>Delivered</v>
      </c>
      <c r="M1646" s="2">
        <f>logistics_data[[#This Row],[Cost]]/logistics_data[[#This Row],[Distance_miles]]</f>
        <v>0.13667623833452977</v>
      </c>
      <c r="N1646" t="str">
        <f>IF(logistics_data[[#This Row],[Orginal staus of shipment]]&lt;&gt;"Delivered","not applicabel", IF(logistics_data[[#This Row],[Transit_Days]]&gt;=5,"slow","fast"))</f>
        <v>slow</v>
      </c>
    </row>
    <row r="1647" spans="1:14" x14ac:dyDescent="0.3">
      <c r="A1647" t="s">
        <v>1693</v>
      </c>
      <c r="B1647" t="s">
        <v>20</v>
      </c>
      <c r="C1647" t="s">
        <v>70</v>
      </c>
      <c r="D1647" t="s">
        <v>18</v>
      </c>
      <c r="E1647" s="1">
        <v>44959</v>
      </c>
      <c r="F1647" s="1">
        <v>44965</v>
      </c>
      <c r="G1647">
        <v>15.5</v>
      </c>
      <c r="H1647">
        <v>351.5</v>
      </c>
      <c r="I1647" t="s">
        <v>15</v>
      </c>
      <c r="J1647">
        <v>2499</v>
      </c>
      <c r="K1647">
        <v>6</v>
      </c>
      <c r="L1647" t="str">
        <f>IF(logistics_data[[#This Row],[Delivery_Date]]="","In Transit",
 IF(logistics_data[[#This Row],[Status]]="Lost","Lost",
 IF(logistics_data[[#This Row],[Status]]="Returned","Returned",
 IF(logistics_data[[#This Row],[Status]]="Delayed","Delayed",
 "Delivered"))))</f>
        <v>Delivered</v>
      </c>
      <c r="M1647" s="2">
        <f>logistics_data[[#This Row],[Cost]]/logistics_data[[#This Row],[Distance_miles]]</f>
        <v>0.14065626250500199</v>
      </c>
      <c r="N1647" t="str">
        <f>IF(logistics_data[[#This Row],[Orginal staus of shipment]]&lt;&gt;"Delivered","not applicabel", IF(logistics_data[[#This Row],[Transit_Days]]&gt;=5,"slow","fast"))</f>
        <v>slow</v>
      </c>
    </row>
    <row r="1648" spans="1:14" x14ac:dyDescent="0.3">
      <c r="A1648" t="s">
        <v>1694</v>
      </c>
      <c r="B1648" t="s">
        <v>30</v>
      </c>
      <c r="C1648" t="s">
        <v>52</v>
      </c>
      <c r="D1648" t="s">
        <v>25</v>
      </c>
      <c r="E1648" s="1">
        <v>45071</v>
      </c>
      <c r="F1648" s="1">
        <v>45074</v>
      </c>
      <c r="G1648">
        <v>29.2</v>
      </c>
      <c r="H1648">
        <v>126.94</v>
      </c>
      <c r="I1648" t="s">
        <v>15</v>
      </c>
      <c r="J1648">
        <v>680</v>
      </c>
      <c r="K1648">
        <v>3</v>
      </c>
      <c r="L1648" t="str">
        <f>IF(logistics_data[[#This Row],[Delivery_Date]]="","In Transit",
 IF(logistics_data[[#This Row],[Status]]="Lost","Lost",
 IF(logistics_data[[#This Row],[Status]]="Returned","Returned",
 IF(logistics_data[[#This Row],[Status]]="Delayed","Delayed",
 "Delivered"))))</f>
        <v>Delivered</v>
      </c>
      <c r="M1648" s="2">
        <f>logistics_data[[#This Row],[Cost]]/logistics_data[[#This Row],[Distance_miles]]</f>
        <v>0.18667647058823528</v>
      </c>
      <c r="N1648" t="str">
        <f>IF(logistics_data[[#This Row],[Orginal staus of shipment]]&lt;&gt;"Delivered","not applicabel", IF(logistics_data[[#This Row],[Transit_Days]]&gt;=5,"slow","fast"))</f>
        <v>fast</v>
      </c>
    </row>
    <row r="1649" spans="1:14" x14ac:dyDescent="0.3">
      <c r="A1649" t="s">
        <v>1695</v>
      </c>
      <c r="B1649" t="s">
        <v>35</v>
      </c>
      <c r="C1649" t="s">
        <v>21</v>
      </c>
      <c r="D1649" t="s">
        <v>18</v>
      </c>
      <c r="E1649" s="1">
        <v>44985</v>
      </c>
      <c r="F1649" s="1">
        <v>44992</v>
      </c>
      <c r="G1649">
        <v>39.9</v>
      </c>
      <c r="H1649">
        <v>36.450000000000003</v>
      </c>
      <c r="I1649" t="s">
        <v>47</v>
      </c>
      <c r="J1649">
        <v>2190</v>
      </c>
      <c r="K1649">
        <v>6</v>
      </c>
      <c r="L1649" t="str">
        <f>IF(logistics_data[[#This Row],[Delivery_Date]]="","In Transit",
 IF(logistics_data[[#This Row],[Status]]="Lost","Lost",
 IF(logistics_data[[#This Row],[Status]]="Returned","Returned",
 IF(logistics_data[[#This Row],[Status]]="Delayed","Delayed",
 "Delivered"))))</f>
        <v>Delayed</v>
      </c>
      <c r="M1649" s="2">
        <f>logistics_data[[#This Row],[Cost]]/logistics_data[[#This Row],[Distance_miles]]</f>
        <v>1.6643835616438358E-2</v>
      </c>
      <c r="N1649" t="str">
        <f>IF(logistics_data[[#This Row],[Orginal staus of shipment]]&lt;&gt;"Delivered","not applicabel", IF(logistics_data[[#This Row],[Transit_Days]]&gt;=5,"slow","fast"))</f>
        <v>not applicabel</v>
      </c>
    </row>
    <row r="1650" spans="1:14" x14ac:dyDescent="0.3">
      <c r="A1650" t="s">
        <v>1696</v>
      </c>
      <c r="B1650" t="s">
        <v>20</v>
      </c>
      <c r="C1650" t="s">
        <v>70</v>
      </c>
      <c r="D1650" t="s">
        <v>18</v>
      </c>
      <c r="E1650" s="1">
        <v>45134</v>
      </c>
      <c r="F1650" s="1">
        <v>45140</v>
      </c>
      <c r="G1650">
        <v>24.6</v>
      </c>
      <c r="H1650">
        <v>295.52</v>
      </c>
      <c r="I1650" t="s">
        <v>15</v>
      </c>
      <c r="J1650">
        <v>1899</v>
      </c>
      <c r="K1650">
        <v>6</v>
      </c>
      <c r="L1650" t="str">
        <f>IF(logistics_data[[#This Row],[Delivery_Date]]="","In Transit",
 IF(logistics_data[[#This Row],[Status]]="Lost","Lost",
 IF(logistics_data[[#This Row],[Status]]="Returned","Returned",
 IF(logistics_data[[#This Row],[Status]]="Delayed","Delayed",
 "Delivered"))))</f>
        <v>Delivered</v>
      </c>
      <c r="M1650" s="2">
        <f>logistics_data[[#This Row],[Cost]]/logistics_data[[#This Row],[Distance_miles]]</f>
        <v>0.15561874670879408</v>
      </c>
      <c r="N1650" t="str">
        <f>IF(logistics_data[[#This Row],[Orginal staus of shipment]]&lt;&gt;"Delivered","not applicabel", IF(logistics_data[[#This Row],[Transit_Days]]&gt;=5,"slow","fast"))</f>
        <v>slow</v>
      </c>
    </row>
    <row r="1651" spans="1:14" x14ac:dyDescent="0.3">
      <c r="A1651" t="s">
        <v>1697</v>
      </c>
      <c r="B1651" t="s">
        <v>30</v>
      </c>
      <c r="C1651" t="s">
        <v>52</v>
      </c>
      <c r="D1651" t="s">
        <v>32</v>
      </c>
      <c r="E1651" s="1">
        <v>44979</v>
      </c>
      <c r="F1651" s="1">
        <v>44984</v>
      </c>
      <c r="G1651">
        <v>27.4</v>
      </c>
      <c r="H1651">
        <v>336.51</v>
      </c>
      <c r="I1651" t="s">
        <v>15</v>
      </c>
      <c r="J1651">
        <v>2166</v>
      </c>
      <c r="K1651">
        <v>5</v>
      </c>
      <c r="L1651" t="str">
        <f>IF(logistics_data[[#This Row],[Delivery_Date]]="","In Transit",
 IF(logistics_data[[#This Row],[Status]]="Lost","Lost",
 IF(logistics_data[[#This Row],[Status]]="Returned","Returned",
 IF(logistics_data[[#This Row],[Status]]="Delayed","Delayed",
 "Delivered"))))</f>
        <v>Delivered</v>
      </c>
      <c r="M1651" s="2">
        <f>logistics_data[[#This Row],[Cost]]/logistics_data[[#This Row],[Distance_miles]]</f>
        <v>0.1553601108033241</v>
      </c>
      <c r="N1651" t="str">
        <f>IF(logistics_data[[#This Row],[Orginal staus of shipment]]&lt;&gt;"Delivered","not applicabel", IF(logistics_data[[#This Row],[Transit_Days]]&gt;=5,"slow","fast"))</f>
        <v>slow</v>
      </c>
    </row>
    <row r="1652" spans="1:14" x14ac:dyDescent="0.3">
      <c r="A1652" t="s">
        <v>1698</v>
      </c>
      <c r="B1652" t="s">
        <v>35</v>
      </c>
      <c r="C1652" t="s">
        <v>28</v>
      </c>
      <c r="D1652" t="s">
        <v>25</v>
      </c>
      <c r="E1652" s="1">
        <v>45165</v>
      </c>
      <c r="F1652" s="1">
        <v>45168</v>
      </c>
      <c r="G1652">
        <v>9.9</v>
      </c>
      <c r="H1652">
        <v>67.66</v>
      </c>
      <c r="I1652" t="s">
        <v>15</v>
      </c>
      <c r="J1652">
        <v>520</v>
      </c>
      <c r="K1652">
        <v>3</v>
      </c>
      <c r="L1652" t="str">
        <f>IF(logistics_data[[#This Row],[Delivery_Date]]="","In Transit",
 IF(logistics_data[[#This Row],[Status]]="Lost","Lost",
 IF(logistics_data[[#This Row],[Status]]="Returned","Returned",
 IF(logistics_data[[#This Row],[Status]]="Delayed","Delayed",
 "Delivered"))))</f>
        <v>Delivered</v>
      </c>
      <c r="M1652" s="2">
        <f>logistics_data[[#This Row],[Cost]]/logistics_data[[#This Row],[Distance_miles]]</f>
        <v>0.1301153846153846</v>
      </c>
      <c r="N1652" t="str">
        <f>IF(logistics_data[[#This Row],[Orginal staus of shipment]]&lt;&gt;"Delivered","not applicabel", IF(logistics_data[[#This Row],[Transit_Days]]&gt;=5,"slow","fast"))</f>
        <v>fast</v>
      </c>
    </row>
    <row r="1653" spans="1:14" x14ac:dyDescent="0.3">
      <c r="A1653" t="s">
        <v>1699</v>
      </c>
      <c r="B1653" t="s">
        <v>56</v>
      </c>
      <c r="C1653" t="s">
        <v>31</v>
      </c>
      <c r="D1653" t="s">
        <v>37</v>
      </c>
      <c r="E1653" s="1">
        <v>44956</v>
      </c>
      <c r="F1653" s="1">
        <v>44958</v>
      </c>
      <c r="G1653">
        <v>16.2</v>
      </c>
      <c r="H1653">
        <v>106.95</v>
      </c>
      <c r="I1653" t="s">
        <v>15</v>
      </c>
      <c r="J1653">
        <v>715</v>
      </c>
      <c r="K1653">
        <v>2</v>
      </c>
      <c r="L1653" t="str">
        <f>IF(logistics_data[[#This Row],[Delivery_Date]]="","In Transit",
 IF(logistics_data[[#This Row],[Status]]="Lost","Lost",
 IF(logistics_data[[#This Row],[Status]]="Returned","Returned",
 IF(logistics_data[[#This Row],[Status]]="Delayed","Delayed",
 "Delivered"))))</f>
        <v>Delivered</v>
      </c>
      <c r="M1653" s="2">
        <f>logistics_data[[#This Row],[Cost]]/logistics_data[[#This Row],[Distance_miles]]</f>
        <v>0.14958041958041959</v>
      </c>
      <c r="N1653" t="str">
        <f>IF(logistics_data[[#This Row],[Orginal staus of shipment]]&lt;&gt;"Delivered","not applicabel", IF(logistics_data[[#This Row],[Transit_Days]]&gt;=5,"slow","fast"))</f>
        <v>fast</v>
      </c>
    </row>
    <row r="1654" spans="1:14" x14ac:dyDescent="0.3">
      <c r="A1654" t="s">
        <v>1700</v>
      </c>
      <c r="B1654" t="s">
        <v>30</v>
      </c>
      <c r="C1654" t="s">
        <v>28</v>
      </c>
      <c r="D1654" t="s">
        <v>42</v>
      </c>
      <c r="E1654" s="1">
        <v>45219</v>
      </c>
      <c r="F1654" s="1">
        <v>45224</v>
      </c>
      <c r="G1654">
        <v>27.9</v>
      </c>
      <c r="H1654">
        <v>261.5</v>
      </c>
      <c r="I1654" t="s">
        <v>62</v>
      </c>
      <c r="J1654">
        <v>1773</v>
      </c>
      <c r="K1654">
        <v>5</v>
      </c>
      <c r="L1654" t="str">
        <f>IF(logistics_data[[#This Row],[Delivery_Date]]="","In Transit",
 IF(logistics_data[[#This Row],[Status]]="Lost","Lost",
 IF(logistics_data[[#This Row],[Status]]="Returned","Returned",
 IF(logistics_data[[#This Row],[Status]]="Delayed","Delayed",
 "Delivered"))))</f>
        <v>Delivered</v>
      </c>
      <c r="M1654" s="2">
        <f>logistics_data[[#This Row],[Cost]]/logistics_data[[#This Row],[Distance_miles]]</f>
        <v>0.14749012972363226</v>
      </c>
      <c r="N1654" t="str">
        <f>IF(logistics_data[[#This Row],[Orginal staus of shipment]]&lt;&gt;"Delivered","not applicabel", IF(logistics_data[[#This Row],[Transit_Days]]&gt;=5,"slow","fast"))</f>
        <v>slow</v>
      </c>
    </row>
    <row r="1655" spans="1:14" x14ac:dyDescent="0.3">
      <c r="A1655" t="s">
        <v>1701</v>
      </c>
      <c r="B1655" t="s">
        <v>49</v>
      </c>
      <c r="C1655" t="s">
        <v>40</v>
      </c>
      <c r="D1655" t="s">
        <v>18</v>
      </c>
      <c r="E1655" s="1">
        <v>45061</v>
      </c>
      <c r="F1655" s="1">
        <v>45063</v>
      </c>
      <c r="G1655">
        <v>16.2</v>
      </c>
      <c r="H1655">
        <v>75.069999999999993</v>
      </c>
      <c r="I1655" t="s">
        <v>15</v>
      </c>
      <c r="J1655">
        <v>369</v>
      </c>
      <c r="K1655">
        <v>2</v>
      </c>
      <c r="L1655" t="str">
        <f>IF(logistics_data[[#This Row],[Delivery_Date]]="","In Transit",
 IF(logistics_data[[#This Row],[Status]]="Lost","Lost",
 IF(logistics_data[[#This Row],[Status]]="Returned","Returned",
 IF(logistics_data[[#This Row],[Status]]="Delayed","Delayed",
 "Delivered"))))</f>
        <v>Delivered</v>
      </c>
      <c r="M1655" s="2">
        <f>logistics_data[[#This Row],[Cost]]/logistics_data[[#This Row],[Distance_miles]]</f>
        <v>0.20344173441734414</v>
      </c>
      <c r="N1655" t="str">
        <f>IF(logistics_data[[#This Row],[Orginal staus of shipment]]&lt;&gt;"Delivered","not applicabel", IF(logistics_data[[#This Row],[Transit_Days]]&gt;=5,"slow","fast"))</f>
        <v>fast</v>
      </c>
    </row>
    <row r="1656" spans="1:14" x14ac:dyDescent="0.3">
      <c r="A1656" t="s">
        <v>1702</v>
      </c>
      <c r="B1656" t="s">
        <v>51</v>
      </c>
      <c r="C1656" t="s">
        <v>70</v>
      </c>
      <c r="D1656" t="s">
        <v>32</v>
      </c>
      <c r="E1656" s="1">
        <v>45156</v>
      </c>
      <c r="F1656" s="1">
        <v>45158</v>
      </c>
      <c r="G1656">
        <v>5.3</v>
      </c>
      <c r="H1656">
        <v>107.55</v>
      </c>
      <c r="I1656" t="s">
        <v>15</v>
      </c>
      <c r="J1656">
        <v>846</v>
      </c>
      <c r="K1656">
        <v>2</v>
      </c>
      <c r="L1656" t="str">
        <f>IF(logistics_data[[#This Row],[Delivery_Date]]="","In Transit",
 IF(logistics_data[[#This Row],[Status]]="Lost","Lost",
 IF(logistics_data[[#This Row],[Status]]="Returned","Returned",
 IF(logistics_data[[#This Row],[Status]]="Delayed","Delayed",
 "Delivered"))))</f>
        <v>Delivered</v>
      </c>
      <c r="M1656" s="2">
        <f>logistics_data[[#This Row],[Cost]]/logistics_data[[#This Row],[Distance_miles]]</f>
        <v>0.12712765957446809</v>
      </c>
      <c r="N1656" t="str">
        <f>IF(logistics_data[[#This Row],[Orginal staus of shipment]]&lt;&gt;"Delivered","not applicabel", IF(logistics_data[[#This Row],[Transit_Days]]&gt;=5,"slow","fast"))</f>
        <v>fast</v>
      </c>
    </row>
    <row r="1657" spans="1:14" x14ac:dyDescent="0.3">
      <c r="A1657" t="s">
        <v>1703</v>
      </c>
      <c r="B1657" t="s">
        <v>20</v>
      </c>
      <c r="C1657" t="s">
        <v>46</v>
      </c>
      <c r="D1657" t="s">
        <v>37</v>
      </c>
      <c r="E1657" s="1">
        <v>45167</v>
      </c>
      <c r="F1657" s="1">
        <v>45170</v>
      </c>
      <c r="G1657">
        <v>23.7</v>
      </c>
      <c r="H1657">
        <v>137.37</v>
      </c>
      <c r="I1657" t="s">
        <v>15</v>
      </c>
      <c r="J1657">
        <v>905</v>
      </c>
      <c r="K1657">
        <v>3</v>
      </c>
      <c r="L1657" t="str">
        <f>IF(logistics_data[[#This Row],[Delivery_Date]]="","In Transit",
 IF(logistics_data[[#This Row],[Status]]="Lost","Lost",
 IF(logistics_data[[#This Row],[Status]]="Returned","Returned",
 IF(logistics_data[[#This Row],[Status]]="Delayed","Delayed",
 "Delivered"))))</f>
        <v>Delivered</v>
      </c>
      <c r="M1657" s="2">
        <f>logistics_data[[#This Row],[Cost]]/logistics_data[[#This Row],[Distance_miles]]</f>
        <v>0.1517900552486188</v>
      </c>
      <c r="N1657" t="str">
        <f>IF(logistics_data[[#This Row],[Orginal staus of shipment]]&lt;&gt;"Delivered","not applicabel", IF(logistics_data[[#This Row],[Transit_Days]]&gt;=5,"slow","fast"))</f>
        <v>fast</v>
      </c>
    </row>
    <row r="1658" spans="1:14" x14ac:dyDescent="0.3">
      <c r="A1658" t="s">
        <v>1704</v>
      </c>
      <c r="B1658" t="s">
        <v>23</v>
      </c>
      <c r="C1658" t="s">
        <v>70</v>
      </c>
      <c r="D1658" t="s">
        <v>18</v>
      </c>
      <c r="E1658" s="1">
        <v>45262</v>
      </c>
      <c r="F1658" s="1">
        <v>45264</v>
      </c>
      <c r="G1658">
        <v>5.6</v>
      </c>
      <c r="H1658">
        <v>36.1</v>
      </c>
      <c r="I1658" t="s">
        <v>15</v>
      </c>
      <c r="J1658">
        <v>171</v>
      </c>
      <c r="K1658">
        <v>2</v>
      </c>
      <c r="L1658" t="str">
        <f>IF(logistics_data[[#This Row],[Delivery_Date]]="","In Transit",
 IF(logistics_data[[#This Row],[Status]]="Lost","Lost",
 IF(logistics_data[[#This Row],[Status]]="Returned","Returned",
 IF(logistics_data[[#This Row],[Status]]="Delayed","Delayed",
 "Delivered"))))</f>
        <v>Delivered</v>
      </c>
      <c r="M1658" s="2">
        <f>logistics_data[[#This Row],[Cost]]/logistics_data[[#This Row],[Distance_miles]]</f>
        <v>0.21111111111111111</v>
      </c>
      <c r="N1658" t="str">
        <f>IF(logistics_data[[#This Row],[Orginal staus of shipment]]&lt;&gt;"Delivered","not applicabel", IF(logistics_data[[#This Row],[Transit_Days]]&gt;=5,"slow","fast"))</f>
        <v>fast</v>
      </c>
    </row>
    <row r="1659" spans="1:14" x14ac:dyDescent="0.3">
      <c r="A1659" t="s">
        <v>1705</v>
      </c>
      <c r="B1659" t="s">
        <v>12</v>
      </c>
      <c r="C1659" t="s">
        <v>57</v>
      </c>
      <c r="D1659" t="s">
        <v>18</v>
      </c>
      <c r="E1659" s="1">
        <v>44975</v>
      </c>
      <c r="F1659" s="1">
        <v>44981</v>
      </c>
      <c r="G1659">
        <v>8.9</v>
      </c>
      <c r="H1659">
        <v>296.47000000000003</v>
      </c>
      <c r="I1659" t="s">
        <v>15</v>
      </c>
      <c r="J1659">
        <v>2222</v>
      </c>
      <c r="K1659">
        <v>6</v>
      </c>
      <c r="L1659" t="str">
        <f>IF(logistics_data[[#This Row],[Delivery_Date]]="","In Transit",
 IF(logistics_data[[#This Row],[Status]]="Lost","Lost",
 IF(logistics_data[[#This Row],[Status]]="Returned","Returned",
 IF(logistics_data[[#This Row],[Status]]="Delayed","Delayed",
 "Delivered"))))</f>
        <v>Delivered</v>
      </c>
      <c r="M1659" s="2">
        <f>logistics_data[[#This Row],[Cost]]/logistics_data[[#This Row],[Distance_miles]]</f>
        <v>0.13342484248424843</v>
      </c>
      <c r="N1659" t="str">
        <f>IF(logistics_data[[#This Row],[Orginal staus of shipment]]&lt;&gt;"Delivered","not applicabel", IF(logistics_data[[#This Row],[Transit_Days]]&gt;=5,"slow","fast"))</f>
        <v>slow</v>
      </c>
    </row>
    <row r="1660" spans="1:14" x14ac:dyDescent="0.3">
      <c r="A1660" t="s">
        <v>1706</v>
      </c>
      <c r="B1660" t="s">
        <v>49</v>
      </c>
      <c r="C1660" t="s">
        <v>54</v>
      </c>
      <c r="D1660" t="s">
        <v>32</v>
      </c>
      <c r="E1660" s="1">
        <v>44965</v>
      </c>
      <c r="F1660" s="1">
        <v>44971</v>
      </c>
      <c r="G1660">
        <v>27.2</v>
      </c>
      <c r="H1660">
        <v>375.67</v>
      </c>
      <c r="I1660" t="s">
        <v>15</v>
      </c>
      <c r="J1660">
        <v>2462</v>
      </c>
      <c r="K1660">
        <v>6</v>
      </c>
      <c r="L1660" t="str">
        <f>IF(logistics_data[[#This Row],[Delivery_Date]]="","In Transit",
 IF(logistics_data[[#This Row],[Status]]="Lost","Lost",
 IF(logistics_data[[#This Row],[Status]]="Returned","Returned",
 IF(logistics_data[[#This Row],[Status]]="Delayed","Delayed",
 "Delivered"))))</f>
        <v>Delivered</v>
      </c>
      <c r="M1660" s="2">
        <f>logistics_data[[#This Row],[Cost]]/logistics_data[[#This Row],[Distance_miles]]</f>
        <v>0.15258732737611699</v>
      </c>
      <c r="N1660" t="str">
        <f>IF(logistics_data[[#This Row],[Orginal staus of shipment]]&lt;&gt;"Delivered","not applicabel", IF(logistics_data[[#This Row],[Transit_Days]]&gt;=5,"slow","fast"))</f>
        <v>slow</v>
      </c>
    </row>
    <row r="1661" spans="1:14" x14ac:dyDescent="0.3">
      <c r="A1661" t="s">
        <v>1707</v>
      </c>
      <c r="B1661" t="s">
        <v>30</v>
      </c>
      <c r="C1661" t="s">
        <v>57</v>
      </c>
      <c r="D1661" t="s">
        <v>25</v>
      </c>
      <c r="E1661" s="1">
        <v>45113</v>
      </c>
      <c r="F1661" s="1">
        <v>45118</v>
      </c>
      <c r="G1661">
        <v>9.6999999999999993</v>
      </c>
      <c r="H1661">
        <v>191.62</v>
      </c>
      <c r="I1661" t="s">
        <v>15</v>
      </c>
      <c r="J1661">
        <v>1529</v>
      </c>
      <c r="K1661">
        <v>5</v>
      </c>
      <c r="L1661" t="str">
        <f>IF(logistics_data[[#This Row],[Delivery_Date]]="","In Transit",
 IF(logistics_data[[#This Row],[Status]]="Lost","Lost",
 IF(logistics_data[[#This Row],[Status]]="Returned","Returned",
 IF(logistics_data[[#This Row],[Status]]="Delayed","Delayed",
 "Delivered"))))</f>
        <v>Delivered</v>
      </c>
      <c r="M1661" s="2">
        <f>logistics_data[[#This Row],[Cost]]/logistics_data[[#This Row],[Distance_miles]]</f>
        <v>0.12532374100719423</v>
      </c>
      <c r="N1661" t="str">
        <f>IF(logistics_data[[#This Row],[Orginal staus of shipment]]&lt;&gt;"Delivered","not applicabel", IF(logistics_data[[#This Row],[Transit_Days]]&gt;=5,"slow","fast"))</f>
        <v>slow</v>
      </c>
    </row>
    <row r="1662" spans="1:14" x14ac:dyDescent="0.3">
      <c r="A1662" t="s">
        <v>1708</v>
      </c>
      <c r="B1662" t="s">
        <v>23</v>
      </c>
      <c r="C1662" t="s">
        <v>54</v>
      </c>
      <c r="D1662" t="s">
        <v>14</v>
      </c>
      <c r="E1662" s="1">
        <v>45046</v>
      </c>
      <c r="F1662" s="1">
        <v>45051</v>
      </c>
      <c r="G1662">
        <v>3</v>
      </c>
      <c r="H1662">
        <v>237.95</v>
      </c>
      <c r="I1662" t="s">
        <v>15</v>
      </c>
      <c r="J1662">
        <v>1912</v>
      </c>
      <c r="K1662">
        <v>5</v>
      </c>
      <c r="L1662" t="str">
        <f>IF(logistics_data[[#This Row],[Delivery_Date]]="","In Transit",
 IF(logistics_data[[#This Row],[Status]]="Lost","Lost",
 IF(logistics_data[[#This Row],[Status]]="Returned","Returned",
 IF(logistics_data[[#This Row],[Status]]="Delayed","Delayed",
 "Delivered"))))</f>
        <v>Delivered</v>
      </c>
      <c r="M1662" s="2">
        <f>logistics_data[[#This Row],[Cost]]/logistics_data[[#This Row],[Distance_miles]]</f>
        <v>0.12445083682008368</v>
      </c>
      <c r="N1662" t="str">
        <f>IF(logistics_data[[#This Row],[Orginal staus of shipment]]&lt;&gt;"Delivered","not applicabel", IF(logistics_data[[#This Row],[Transit_Days]]&gt;=5,"slow","fast"))</f>
        <v>slow</v>
      </c>
    </row>
    <row r="1663" spans="1:14" x14ac:dyDescent="0.3">
      <c r="A1663" t="s">
        <v>1709</v>
      </c>
      <c r="B1663" t="s">
        <v>20</v>
      </c>
      <c r="C1663" t="s">
        <v>31</v>
      </c>
      <c r="D1663" t="s">
        <v>42</v>
      </c>
      <c r="E1663" s="1">
        <v>45277</v>
      </c>
      <c r="F1663" s="1">
        <v>45280</v>
      </c>
      <c r="G1663">
        <v>60.3</v>
      </c>
      <c r="H1663">
        <v>272.77999999999997</v>
      </c>
      <c r="I1663" t="s">
        <v>15</v>
      </c>
      <c r="J1663">
        <v>1194</v>
      </c>
      <c r="K1663">
        <v>3</v>
      </c>
      <c r="L1663" t="str">
        <f>IF(logistics_data[[#This Row],[Delivery_Date]]="","In Transit",
 IF(logistics_data[[#This Row],[Status]]="Lost","Lost",
 IF(logistics_data[[#This Row],[Status]]="Returned","Returned",
 IF(logistics_data[[#This Row],[Status]]="Delayed","Delayed",
 "Delivered"))))</f>
        <v>Delivered</v>
      </c>
      <c r="M1663" s="2">
        <f>logistics_data[[#This Row],[Cost]]/logistics_data[[#This Row],[Distance_miles]]</f>
        <v>0.22845896147403683</v>
      </c>
      <c r="N1663" t="str">
        <f>IF(logistics_data[[#This Row],[Orginal staus of shipment]]&lt;&gt;"Delivered","not applicabel", IF(logistics_data[[#This Row],[Transit_Days]]&gt;=5,"slow","fast"))</f>
        <v>fast</v>
      </c>
    </row>
    <row r="1664" spans="1:14" x14ac:dyDescent="0.3">
      <c r="A1664" t="s">
        <v>1710</v>
      </c>
      <c r="B1664" t="s">
        <v>35</v>
      </c>
      <c r="C1664" t="s">
        <v>40</v>
      </c>
      <c r="D1664" t="s">
        <v>14</v>
      </c>
      <c r="E1664" s="1">
        <v>45269</v>
      </c>
      <c r="F1664" s="1">
        <v>45280</v>
      </c>
      <c r="G1664">
        <v>10.3</v>
      </c>
      <c r="I1664" t="s">
        <v>47</v>
      </c>
      <c r="J1664">
        <v>283</v>
      </c>
      <c r="K1664">
        <v>1</v>
      </c>
      <c r="L1664" t="str">
        <f>IF(logistics_data[[#This Row],[Delivery_Date]]="","In Transit",
 IF(logistics_data[[#This Row],[Status]]="Lost","Lost",
 IF(logistics_data[[#This Row],[Status]]="Returned","Returned",
 IF(logistics_data[[#This Row],[Status]]="Delayed","Delayed",
 "Delivered"))))</f>
        <v>Delayed</v>
      </c>
      <c r="M1664" s="2">
        <f>logistics_data[[#This Row],[Cost]]/logistics_data[[#This Row],[Distance_miles]]</f>
        <v>0</v>
      </c>
      <c r="N1664" t="str">
        <f>IF(logistics_data[[#This Row],[Orginal staus of shipment]]&lt;&gt;"Delivered","not applicabel", IF(logistics_data[[#This Row],[Transit_Days]]&gt;=5,"slow","fast"))</f>
        <v>not applicabel</v>
      </c>
    </row>
    <row r="1665" spans="1:14" x14ac:dyDescent="0.3">
      <c r="A1665" t="s">
        <v>1711</v>
      </c>
      <c r="B1665" t="s">
        <v>27</v>
      </c>
      <c r="C1665" t="s">
        <v>36</v>
      </c>
      <c r="D1665" t="s">
        <v>42</v>
      </c>
      <c r="E1665" s="1">
        <v>45088</v>
      </c>
      <c r="F1665" s="1">
        <v>45094</v>
      </c>
      <c r="G1665">
        <v>34.299999999999997</v>
      </c>
      <c r="H1665">
        <v>296.22000000000003</v>
      </c>
      <c r="I1665" t="s">
        <v>15</v>
      </c>
      <c r="J1665">
        <v>1916</v>
      </c>
      <c r="K1665">
        <v>6</v>
      </c>
      <c r="L1665" t="str">
        <f>IF(logistics_data[[#This Row],[Delivery_Date]]="","In Transit",
 IF(logistics_data[[#This Row],[Status]]="Lost","Lost",
 IF(logistics_data[[#This Row],[Status]]="Returned","Returned",
 IF(logistics_data[[#This Row],[Status]]="Delayed","Delayed",
 "Delivered"))))</f>
        <v>Delivered</v>
      </c>
      <c r="M1665" s="2">
        <f>logistics_data[[#This Row],[Cost]]/logistics_data[[#This Row],[Distance_miles]]</f>
        <v>0.1546033402922756</v>
      </c>
      <c r="N1665" t="str">
        <f>IF(logistics_data[[#This Row],[Orginal staus of shipment]]&lt;&gt;"Delivered","not applicabel", IF(logistics_data[[#This Row],[Transit_Days]]&gt;=5,"slow","fast"))</f>
        <v>slow</v>
      </c>
    </row>
    <row r="1666" spans="1:14" x14ac:dyDescent="0.3">
      <c r="A1666" t="s">
        <v>1712</v>
      </c>
      <c r="B1666" t="s">
        <v>12</v>
      </c>
      <c r="C1666" t="s">
        <v>81</v>
      </c>
      <c r="D1666" t="s">
        <v>14</v>
      </c>
      <c r="E1666" s="1">
        <v>45024</v>
      </c>
      <c r="F1666" s="1">
        <v>45029</v>
      </c>
      <c r="G1666">
        <v>34.200000000000003</v>
      </c>
      <c r="H1666">
        <v>113.11</v>
      </c>
      <c r="I1666" t="s">
        <v>15</v>
      </c>
      <c r="J1666">
        <v>504</v>
      </c>
      <c r="K1666">
        <v>5</v>
      </c>
      <c r="L1666" t="str">
        <f>IF(logistics_data[[#This Row],[Delivery_Date]]="","In Transit",
 IF(logistics_data[[#This Row],[Status]]="Lost","Lost",
 IF(logistics_data[[#This Row],[Status]]="Returned","Returned",
 IF(logistics_data[[#This Row],[Status]]="Delayed","Delayed",
 "Delivered"))))</f>
        <v>Delivered</v>
      </c>
      <c r="M1666" s="2">
        <f>logistics_data[[#This Row],[Cost]]/logistics_data[[#This Row],[Distance_miles]]</f>
        <v>0.22442460317460317</v>
      </c>
      <c r="N1666" t="str">
        <f>IF(logistics_data[[#This Row],[Orginal staus of shipment]]&lt;&gt;"Delivered","not applicabel", IF(logistics_data[[#This Row],[Transit_Days]]&gt;=5,"slow","fast"))</f>
        <v>slow</v>
      </c>
    </row>
    <row r="1667" spans="1:14" x14ac:dyDescent="0.3">
      <c r="A1667" t="s">
        <v>1713</v>
      </c>
      <c r="B1667" t="s">
        <v>49</v>
      </c>
      <c r="C1667" t="s">
        <v>44</v>
      </c>
      <c r="D1667" t="s">
        <v>37</v>
      </c>
      <c r="E1667" s="1">
        <v>45139</v>
      </c>
      <c r="F1667" s="1">
        <v>45147</v>
      </c>
      <c r="G1667">
        <v>70.5</v>
      </c>
      <c r="H1667">
        <v>367.67</v>
      </c>
      <c r="I1667" t="s">
        <v>15</v>
      </c>
      <c r="J1667">
        <v>2442</v>
      </c>
      <c r="K1667">
        <v>8</v>
      </c>
      <c r="L1667" t="str">
        <f>IF(logistics_data[[#This Row],[Delivery_Date]]="","In Transit",
 IF(logistics_data[[#This Row],[Status]]="Lost","Lost",
 IF(logistics_data[[#This Row],[Status]]="Returned","Returned",
 IF(logistics_data[[#This Row],[Status]]="Delayed","Delayed",
 "Delivered"))))</f>
        <v>Delivered</v>
      </c>
      <c r="M1667" s="2">
        <f>logistics_data[[#This Row],[Cost]]/logistics_data[[#This Row],[Distance_miles]]</f>
        <v>0.15056101556101556</v>
      </c>
      <c r="N1667" t="str">
        <f>IF(logistics_data[[#This Row],[Orginal staus of shipment]]&lt;&gt;"Delivered","not applicabel", IF(logistics_data[[#This Row],[Transit_Days]]&gt;=5,"slow","fast"))</f>
        <v>slow</v>
      </c>
    </row>
    <row r="1668" spans="1:14" x14ac:dyDescent="0.3">
      <c r="A1668" t="s">
        <v>1714</v>
      </c>
      <c r="B1668" t="s">
        <v>20</v>
      </c>
      <c r="C1668" t="s">
        <v>24</v>
      </c>
      <c r="D1668" t="s">
        <v>42</v>
      </c>
      <c r="E1668" s="1">
        <v>45012</v>
      </c>
      <c r="F1668" s="1">
        <v>45017</v>
      </c>
      <c r="G1668">
        <v>13.1</v>
      </c>
      <c r="H1668">
        <v>162.21</v>
      </c>
      <c r="I1668" t="s">
        <v>15</v>
      </c>
      <c r="J1668">
        <v>1135</v>
      </c>
      <c r="K1668">
        <v>5</v>
      </c>
      <c r="L1668" t="str">
        <f>IF(logistics_data[[#This Row],[Delivery_Date]]="","In Transit",
 IF(logistics_data[[#This Row],[Status]]="Lost","Lost",
 IF(logistics_data[[#This Row],[Status]]="Returned","Returned",
 IF(logistics_data[[#This Row],[Status]]="Delayed","Delayed",
 "Delivered"))))</f>
        <v>Delivered</v>
      </c>
      <c r="M1668" s="2">
        <f>logistics_data[[#This Row],[Cost]]/logistics_data[[#This Row],[Distance_miles]]</f>
        <v>0.14291629955947138</v>
      </c>
      <c r="N1668" t="str">
        <f>IF(logistics_data[[#This Row],[Orginal staus of shipment]]&lt;&gt;"Delivered","not applicabel", IF(logistics_data[[#This Row],[Transit_Days]]&gt;=5,"slow","fast"))</f>
        <v>slow</v>
      </c>
    </row>
    <row r="1669" spans="1:14" x14ac:dyDescent="0.3">
      <c r="A1669" t="s">
        <v>1715</v>
      </c>
      <c r="B1669" t="s">
        <v>35</v>
      </c>
      <c r="C1669" t="s">
        <v>52</v>
      </c>
      <c r="D1669" t="s">
        <v>42</v>
      </c>
      <c r="E1669" s="1">
        <v>45229</v>
      </c>
      <c r="F1669" s="1">
        <v>45234</v>
      </c>
      <c r="G1669">
        <v>26.5</v>
      </c>
      <c r="H1669">
        <v>254.13</v>
      </c>
      <c r="I1669" t="s">
        <v>15</v>
      </c>
      <c r="J1669">
        <v>1815</v>
      </c>
      <c r="K1669">
        <v>5</v>
      </c>
      <c r="L1669" t="str">
        <f>IF(logistics_data[[#This Row],[Delivery_Date]]="","In Transit",
 IF(logistics_data[[#This Row],[Status]]="Lost","Lost",
 IF(logistics_data[[#This Row],[Status]]="Returned","Returned",
 IF(logistics_data[[#This Row],[Status]]="Delayed","Delayed",
 "Delivered"))))</f>
        <v>Delivered</v>
      </c>
      <c r="M1669" s="2">
        <f>logistics_data[[#This Row],[Cost]]/logistics_data[[#This Row],[Distance_miles]]</f>
        <v>0.14001652892561983</v>
      </c>
      <c r="N1669" t="str">
        <f>IF(logistics_data[[#This Row],[Orginal staus of shipment]]&lt;&gt;"Delivered","not applicabel", IF(logistics_data[[#This Row],[Transit_Days]]&gt;=5,"slow","fast"))</f>
        <v>slow</v>
      </c>
    </row>
    <row r="1670" spans="1:14" x14ac:dyDescent="0.3">
      <c r="A1670" t="s">
        <v>1716</v>
      </c>
      <c r="B1670" t="s">
        <v>56</v>
      </c>
      <c r="C1670" t="s">
        <v>81</v>
      </c>
      <c r="D1670" t="s">
        <v>32</v>
      </c>
      <c r="E1670" s="1">
        <v>45287</v>
      </c>
      <c r="F1670" s="1">
        <v>45290</v>
      </c>
      <c r="G1670">
        <v>13.6</v>
      </c>
      <c r="H1670">
        <v>166.26</v>
      </c>
      <c r="I1670" t="s">
        <v>62</v>
      </c>
      <c r="J1670">
        <v>834</v>
      </c>
      <c r="K1670">
        <v>3</v>
      </c>
      <c r="L1670" t="str">
        <f>IF(logistics_data[[#This Row],[Delivery_Date]]="","In Transit",
 IF(logistics_data[[#This Row],[Status]]="Lost","Lost",
 IF(logistics_data[[#This Row],[Status]]="Returned","Returned",
 IF(logistics_data[[#This Row],[Status]]="Delayed","Delayed",
 "Delivered"))))</f>
        <v>Delivered</v>
      </c>
      <c r="M1670" s="2">
        <f>logistics_data[[#This Row],[Cost]]/logistics_data[[#This Row],[Distance_miles]]</f>
        <v>0.19935251798561149</v>
      </c>
      <c r="N1670" t="str">
        <f>IF(logistics_data[[#This Row],[Orginal staus of shipment]]&lt;&gt;"Delivered","not applicabel", IF(logistics_data[[#This Row],[Transit_Days]]&gt;=5,"slow","fast"))</f>
        <v>fast</v>
      </c>
    </row>
    <row r="1671" spans="1:14" x14ac:dyDescent="0.3">
      <c r="A1671" t="s">
        <v>1717</v>
      </c>
      <c r="B1671" t="s">
        <v>30</v>
      </c>
      <c r="C1671" t="s">
        <v>24</v>
      </c>
      <c r="D1671" t="s">
        <v>18</v>
      </c>
      <c r="E1671" s="1">
        <v>45257</v>
      </c>
      <c r="F1671" s="1">
        <v>45260</v>
      </c>
      <c r="G1671">
        <v>18.600000000000001</v>
      </c>
      <c r="H1671">
        <v>202.15</v>
      </c>
      <c r="I1671" t="s">
        <v>15</v>
      </c>
      <c r="J1671">
        <v>997</v>
      </c>
      <c r="K1671">
        <v>3</v>
      </c>
      <c r="L1671" t="str">
        <f>IF(logistics_data[[#This Row],[Delivery_Date]]="","In Transit",
 IF(logistics_data[[#This Row],[Status]]="Lost","Lost",
 IF(logistics_data[[#This Row],[Status]]="Returned","Returned",
 IF(logistics_data[[#This Row],[Status]]="Delayed","Delayed",
 "Delivered"))))</f>
        <v>Delivered</v>
      </c>
      <c r="M1671" s="2">
        <f>logistics_data[[#This Row],[Cost]]/logistics_data[[#This Row],[Distance_miles]]</f>
        <v>0.20275827482447342</v>
      </c>
      <c r="N1671" t="str">
        <f>IF(logistics_data[[#This Row],[Orginal staus of shipment]]&lt;&gt;"Delivered","not applicabel", IF(logistics_data[[#This Row],[Transit_Days]]&gt;=5,"slow","fast"))</f>
        <v>fast</v>
      </c>
    </row>
    <row r="1672" spans="1:14" x14ac:dyDescent="0.3">
      <c r="A1672" t="s">
        <v>1718</v>
      </c>
      <c r="B1672" t="s">
        <v>20</v>
      </c>
      <c r="C1672" t="s">
        <v>52</v>
      </c>
      <c r="D1672" t="s">
        <v>37</v>
      </c>
      <c r="E1672" s="1">
        <v>44984</v>
      </c>
      <c r="F1672" s="1">
        <v>44986</v>
      </c>
      <c r="G1672">
        <v>32.6</v>
      </c>
      <c r="H1672">
        <v>89.42</v>
      </c>
      <c r="I1672" t="s">
        <v>15</v>
      </c>
      <c r="J1672">
        <v>373</v>
      </c>
      <c r="K1672">
        <v>2</v>
      </c>
      <c r="L1672" t="str">
        <f>IF(logistics_data[[#This Row],[Delivery_Date]]="","In Transit",
 IF(logistics_data[[#This Row],[Status]]="Lost","Lost",
 IF(logistics_data[[#This Row],[Status]]="Returned","Returned",
 IF(logistics_data[[#This Row],[Status]]="Delayed","Delayed",
 "Delivered"))))</f>
        <v>Delivered</v>
      </c>
      <c r="M1672" s="2">
        <f>logistics_data[[#This Row],[Cost]]/logistics_data[[#This Row],[Distance_miles]]</f>
        <v>0.23973190348525469</v>
      </c>
      <c r="N1672" t="str">
        <f>IF(logistics_data[[#This Row],[Orginal staus of shipment]]&lt;&gt;"Delivered","not applicabel", IF(logistics_data[[#This Row],[Transit_Days]]&gt;=5,"slow","fast"))</f>
        <v>fast</v>
      </c>
    </row>
    <row r="1673" spans="1:14" x14ac:dyDescent="0.3">
      <c r="A1673" t="s">
        <v>1719</v>
      </c>
      <c r="B1673" t="s">
        <v>12</v>
      </c>
      <c r="C1673" t="s">
        <v>44</v>
      </c>
      <c r="D1673" t="s">
        <v>32</v>
      </c>
      <c r="E1673" s="1">
        <v>45266</v>
      </c>
      <c r="F1673" s="1">
        <v>45273</v>
      </c>
      <c r="G1673">
        <v>9</v>
      </c>
      <c r="H1673">
        <v>352.78</v>
      </c>
      <c r="I1673" t="s">
        <v>15</v>
      </c>
      <c r="J1673">
        <v>1993</v>
      </c>
      <c r="K1673">
        <v>7</v>
      </c>
      <c r="L1673" t="str">
        <f>IF(logistics_data[[#This Row],[Delivery_Date]]="","In Transit",
 IF(logistics_data[[#This Row],[Status]]="Lost","Lost",
 IF(logistics_data[[#This Row],[Status]]="Returned","Returned",
 IF(logistics_data[[#This Row],[Status]]="Delayed","Delayed",
 "Delivered"))))</f>
        <v>Delivered</v>
      </c>
      <c r="M1673" s="2">
        <f>logistics_data[[#This Row],[Cost]]/logistics_data[[#This Row],[Distance_miles]]</f>
        <v>0.17700953336678374</v>
      </c>
      <c r="N1673" t="str">
        <f>IF(logistics_data[[#This Row],[Orginal staus of shipment]]&lt;&gt;"Delivered","not applicabel", IF(logistics_data[[#This Row],[Transit_Days]]&gt;=5,"slow","fast"))</f>
        <v>slow</v>
      </c>
    </row>
    <row r="1674" spans="1:14" x14ac:dyDescent="0.3">
      <c r="A1674" t="s">
        <v>1720</v>
      </c>
      <c r="B1674" t="s">
        <v>51</v>
      </c>
      <c r="C1674" t="s">
        <v>13</v>
      </c>
      <c r="D1674" t="s">
        <v>42</v>
      </c>
      <c r="E1674" s="1">
        <v>45051</v>
      </c>
      <c r="F1674" s="1">
        <v>45058</v>
      </c>
      <c r="G1674">
        <v>19.399999999999999</v>
      </c>
      <c r="H1674">
        <v>322.16000000000003</v>
      </c>
      <c r="I1674" t="s">
        <v>15</v>
      </c>
      <c r="J1674">
        <v>2423</v>
      </c>
      <c r="K1674">
        <v>7</v>
      </c>
      <c r="L1674" t="str">
        <f>IF(logistics_data[[#This Row],[Delivery_Date]]="","In Transit",
 IF(logistics_data[[#This Row],[Status]]="Lost","Lost",
 IF(logistics_data[[#This Row],[Status]]="Returned","Returned",
 IF(logistics_data[[#This Row],[Status]]="Delayed","Delayed",
 "Delivered"))))</f>
        <v>Delivered</v>
      </c>
      <c r="M1674" s="2">
        <f>logistics_data[[#This Row],[Cost]]/logistics_data[[#This Row],[Distance_miles]]</f>
        <v>0.13295914156004954</v>
      </c>
      <c r="N1674" t="str">
        <f>IF(logistics_data[[#This Row],[Orginal staus of shipment]]&lt;&gt;"Delivered","not applicabel", IF(logistics_data[[#This Row],[Transit_Days]]&gt;=5,"slow","fast"))</f>
        <v>slow</v>
      </c>
    </row>
    <row r="1675" spans="1:14" x14ac:dyDescent="0.3">
      <c r="A1675" t="s">
        <v>1721</v>
      </c>
      <c r="B1675" t="s">
        <v>23</v>
      </c>
      <c r="C1675" t="s">
        <v>28</v>
      </c>
      <c r="D1675" t="s">
        <v>42</v>
      </c>
      <c r="E1675" s="1">
        <v>45069</v>
      </c>
      <c r="F1675" s="1">
        <v>45073</v>
      </c>
      <c r="G1675">
        <v>4.7</v>
      </c>
      <c r="H1675">
        <v>228.78</v>
      </c>
      <c r="I1675" t="s">
        <v>15</v>
      </c>
      <c r="J1675">
        <v>1732</v>
      </c>
      <c r="K1675">
        <v>4</v>
      </c>
      <c r="L1675" t="str">
        <f>IF(logistics_data[[#This Row],[Delivery_Date]]="","In Transit",
 IF(logistics_data[[#This Row],[Status]]="Lost","Lost",
 IF(logistics_data[[#This Row],[Status]]="Returned","Returned",
 IF(logistics_data[[#This Row],[Status]]="Delayed","Delayed",
 "Delivered"))))</f>
        <v>Delivered</v>
      </c>
      <c r="M1675" s="2">
        <f>logistics_data[[#This Row],[Cost]]/logistics_data[[#This Row],[Distance_miles]]</f>
        <v>0.13209006928406467</v>
      </c>
      <c r="N1675" t="str">
        <f>IF(logistics_data[[#This Row],[Orginal staus of shipment]]&lt;&gt;"Delivered","not applicabel", IF(logistics_data[[#This Row],[Transit_Days]]&gt;=5,"slow","fast"))</f>
        <v>fast</v>
      </c>
    </row>
    <row r="1676" spans="1:14" x14ac:dyDescent="0.3">
      <c r="A1676" t="s">
        <v>1722</v>
      </c>
      <c r="B1676" t="s">
        <v>12</v>
      </c>
      <c r="C1676" t="s">
        <v>36</v>
      </c>
      <c r="D1676" t="s">
        <v>59</v>
      </c>
      <c r="E1676" s="1">
        <v>45106</v>
      </c>
      <c r="F1676" s="1">
        <v>45108</v>
      </c>
      <c r="G1676">
        <v>15.9</v>
      </c>
      <c r="H1676">
        <v>119.24</v>
      </c>
      <c r="I1676" t="s">
        <v>15</v>
      </c>
      <c r="J1676">
        <v>928</v>
      </c>
      <c r="K1676">
        <v>2</v>
      </c>
      <c r="L1676" t="str">
        <f>IF(logistics_data[[#This Row],[Delivery_Date]]="","In Transit",
 IF(logistics_data[[#This Row],[Status]]="Lost","Lost",
 IF(logistics_data[[#This Row],[Status]]="Returned","Returned",
 IF(logistics_data[[#This Row],[Status]]="Delayed","Delayed",
 "Delivered"))))</f>
        <v>Delivered</v>
      </c>
      <c r="M1676" s="2">
        <f>logistics_data[[#This Row],[Cost]]/logistics_data[[#This Row],[Distance_miles]]</f>
        <v>0.12849137931034482</v>
      </c>
      <c r="N1676" t="str">
        <f>IF(logistics_data[[#This Row],[Orginal staus of shipment]]&lt;&gt;"Delivered","not applicabel", IF(logistics_data[[#This Row],[Transit_Days]]&gt;=5,"slow","fast"))</f>
        <v>fast</v>
      </c>
    </row>
    <row r="1677" spans="1:14" x14ac:dyDescent="0.3">
      <c r="A1677" t="s">
        <v>1723</v>
      </c>
      <c r="B1677" t="s">
        <v>49</v>
      </c>
      <c r="C1677" t="s">
        <v>40</v>
      </c>
      <c r="D1677" t="s">
        <v>32</v>
      </c>
      <c r="E1677" s="1">
        <v>45022</v>
      </c>
      <c r="F1677" s="1">
        <v>45026</v>
      </c>
      <c r="G1677">
        <v>16</v>
      </c>
      <c r="H1677">
        <v>220.43</v>
      </c>
      <c r="I1677" t="s">
        <v>15</v>
      </c>
      <c r="J1677">
        <v>1521</v>
      </c>
      <c r="K1677">
        <v>4</v>
      </c>
      <c r="L1677" t="str">
        <f>IF(logistics_data[[#This Row],[Delivery_Date]]="","In Transit",
 IF(logistics_data[[#This Row],[Status]]="Lost","Lost",
 IF(logistics_data[[#This Row],[Status]]="Returned","Returned",
 IF(logistics_data[[#This Row],[Status]]="Delayed","Delayed",
 "Delivered"))))</f>
        <v>Delivered</v>
      </c>
      <c r="M1677" s="2">
        <f>logistics_data[[#This Row],[Cost]]/logistics_data[[#This Row],[Distance_miles]]</f>
        <v>0.14492439184746878</v>
      </c>
      <c r="N1677" t="str">
        <f>IF(logistics_data[[#This Row],[Orginal staus of shipment]]&lt;&gt;"Delivered","not applicabel", IF(logistics_data[[#This Row],[Transit_Days]]&gt;=5,"slow","fast"))</f>
        <v>fast</v>
      </c>
    </row>
    <row r="1678" spans="1:14" x14ac:dyDescent="0.3">
      <c r="A1678" t="s">
        <v>1724</v>
      </c>
      <c r="B1678" t="s">
        <v>30</v>
      </c>
      <c r="C1678" t="s">
        <v>40</v>
      </c>
      <c r="D1678" t="s">
        <v>37</v>
      </c>
      <c r="E1678" s="1">
        <v>45143</v>
      </c>
      <c r="F1678" s="1">
        <v>45150</v>
      </c>
      <c r="G1678">
        <v>11.4</v>
      </c>
      <c r="H1678">
        <v>263.33999999999997</v>
      </c>
      <c r="I1678" t="s">
        <v>15</v>
      </c>
      <c r="J1678">
        <v>2178</v>
      </c>
      <c r="K1678">
        <v>7</v>
      </c>
      <c r="L1678" t="str">
        <f>IF(logistics_data[[#This Row],[Delivery_Date]]="","In Transit",
 IF(logistics_data[[#This Row],[Status]]="Lost","Lost",
 IF(logistics_data[[#This Row],[Status]]="Returned","Returned",
 IF(logistics_data[[#This Row],[Status]]="Delayed","Delayed",
 "Delivered"))))</f>
        <v>Delivered</v>
      </c>
      <c r="M1678" s="2">
        <f>logistics_data[[#This Row],[Cost]]/logistics_data[[#This Row],[Distance_miles]]</f>
        <v>0.1209090909090909</v>
      </c>
      <c r="N1678" t="str">
        <f>IF(logistics_data[[#This Row],[Orginal staus of shipment]]&lt;&gt;"Delivered","not applicabel", IF(logistics_data[[#This Row],[Transit_Days]]&gt;=5,"slow","fast"))</f>
        <v>slow</v>
      </c>
    </row>
    <row r="1679" spans="1:14" x14ac:dyDescent="0.3">
      <c r="A1679" t="s">
        <v>1725</v>
      </c>
      <c r="B1679" t="s">
        <v>39</v>
      </c>
      <c r="C1679" t="s">
        <v>17</v>
      </c>
      <c r="D1679" t="s">
        <v>25</v>
      </c>
      <c r="E1679" s="1">
        <v>45080</v>
      </c>
      <c r="F1679" s="1">
        <v>45094</v>
      </c>
      <c r="G1679">
        <v>43.6</v>
      </c>
      <c r="H1679">
        <v>155.15</v>
      </c>
      <c r="I1679" t="s">
        <v>47</v>
      </c>
      <c r="J1679">
        <v>800</v>
      </c>
      <c r="K1679">
        <v>4</v>
      </c>
      <c r="L1679" t="str">
        <f>IF(logistics_data[[#This Row],[Delivery_Date]]="","In Transit",
 IF(logistics_data[[#This Row],[Status]]="Lost","Lost",
 IF(logistics_data[[#This Row],[Status]]="Returned","Returned",
 IF(logistics_data[[#This Row],[Status]]="Delayed","Delayed",
 "Delivered"))))</f>
        <v>Delayed</v>
      </c>
      <c r="M1679" s="2">
        <f>logistics_data[[#This Row],[Cost]]/logistics_data[[#This Row],[Distance_miles]]</f>
        <v>0.19393750000000001</v>
      </c>
      <c r="N1679" t="str">
        <f>IF(logistics_data[[#This Row],[Orginal staus of shipment]]&lt;&gt;"Delivered","not applicabel", IF(logistics_data[[#This Row],[Transit_Days]]&gt;=5,"slow","fast"))</f>
        <v>not applicabel</v>
      </c>
    </row>
    <row r="1680" spans="1:14" x14ac:dyDescent="0.3">
      <c r="A1680" t="s">
        <v>1726</v>
      </c>
      <c r="B1680" t="s">
        <v>56</v>
      </c>
      <c r="C1680" t="s">
        <v>46</v>
      </c>
      <c r="D1680" t="s">
        <v>42</v>
      </c>
      <c r="E1680" s="1">
        <v>45161</v>
      </c>
      <c r="F1680" s="1">
        <v>45166</v>
      </c>
      <c r="G1680">
        <v>45.5</v>
      </c>
      <c r="H1680">
        <v>293.95</v>
      </c>
      <c r="I1680" t="s">
        <v>15</v>
      </c>
      <c r="J1680">
        <v>2201</v>
      </c>
      <c r="K1680">
        <v>5</v>
      </c>
      <c r="L1680" t="str">
        <f>IF(logistics_data[[#This Row],[Delivery_Date]]="","In Transit",
 IF(logistics_data[[#This Row],[Status]]="Lost","Lost",
 IF(logistics_data[[#This Row],[Status]]="Returned","Returned",
 IF(logistics_data[[#This Row],[Status]]="Delayed","Delayed",
 "Delivered"))))</f>
        <v>Delivered</v>
      </c>
      <c r="M1680" s="2">
        <f>logistics_data[[#This Row],[Cost]]/logistics_data[[#This Row],[Distance_miles]]</f>
        <v>0.13355293048614267</v>
      </c>
      <c r="N1680" t="str">
        <f>IF(logistics_data[[#This Row],[Orginal staus of shipment]]&lt;&gt;"Delivered","not applicabel", IF(logistics_data[[#This Row],[Transit_Days]]&gt;=5,"slow","fast"))</f>
        <v>slow</v>
      </c>
    </row>
    <row r="1681" spans="1:14" x14ac:dyDescent="0.3">
      <c r="A1681" t="s">
        <v>1727</v>
      </c>
      <c r="B1681" t="s">
        <v>27</v>
      </c>
      <c r="C1681" t="s">
        <v>52</v>
      </c>
      <c r="D1681" t="s">
        <v>59</v>
      </c>
      <c r="E1681" s="1">
        <v>45063</v>
      </c>
      <c r="F1681" s="1">
        <v>45064</v>
      </c>
      <c r="G1681">
        <v>18.3</v>
      </c>
      <c r="H1681">
        <v>31.27</v>
      </c>
      <c r="I1681" t="s">
        <v>15</v>
      </c>
      <c r="J1681">
        <v>117</v>
      </c>
      <c r="K1681">
        <v>1</v>
      </c>
      <c r="L1681" t="str">
        <f>IF(logistics_data[[#This Row],[Delivery_Date]]="","In Transit",
 IF(logistics_data[[#This Row],[Status]]="Lost","Lost",
 IF(logistics_data[[#This Row],[Status]]="Returned","Returned",
 IF(logistics_data[[#This Row],[Status]]="Delayed","Delayed",
 "Delivered"))))</f>
        <v>Delivered</v>
      </c>
      <c r="M1681" s="2">
        <f>logistics_data[[#This Row],[Cost]]/logistics_data[[#This Row],[Distance_miles]]</f>
        <v>0.26726495726495725</v>
      </c>
      <c r="N1681" t="str">
        <f>IF(logistics_data[[#This Row],[Orginal staus of shipment]]&lt;&gt;"Delivered","not applicabel", IF(logistics_data[[#This Row],[Transit_Days]]&gt;=5,"slow","fast"))</f>
        <v>fast</v>
      </c>
    </row>
    <row r="1682" spans="1:14" x14ac:dyDescent="0.3">
      <c r="A1682" t="s">
        <v>1728</v>
      </c>
      <c r="B1682" t="s">
        <v>30</v>
      </c>
      <c r="C1682" t="s">
        <v>46</v>
      </c>
      <c r="D1682" t="s">
        <v>18</v>
      </c>
      <c r="E1682" s="1">
        <v>45092</v>
      </c>
      <c r="F1682" s="1">
        <v>45097</v>
      </c>
      <c r="G1682">
        <v>29.2</v>
      </c>
      <c r="H1682">
        <v>280.92</v>
      </c>
      <c r="I1682" t="s">
        <v>15</v>
      </c>
      <c r="J1682">
        <v>1739</v>
      </c>
      <c r="K1682">
        <v>5</v>
      </c>
      <c r="L1682" t="str">
        <f>IF(logistics_data[[#This Row],[Delivery_Date]]="","In Transit",
 IF(logistics_data[[#This Row],[Status]]="Lost","Lost",
 IF(logistics_data[[#This Row],[Status]]="Returned","Returned",
 IF(logistics_data[[#This Row],[Status]]="Delayed","Delayed",
 "Delivered"))))</f>
        <v>Delivered</v>
      </c>
      <c r="M1682" s="2">
        <f>logistics_data[[#This Row],[Cost]]/logistics_data[[#This Row],[Distance_miles]]</f>
        <v>0.16154111558366879</v>
      </c>
      <c r="N1682" t="str">
        <f>IF(logistics_data[[#This Row],[Orginal staus of shipment]]&lt;&gt;"Delivered","not applicabel", IF(logistics_data[[#This Row],[Transit_Days]]&gt;=5,"slow","fast"))</f>
        <v>slow</v>
      </c>
    </row>
    <row r="1683" spans="1:14" x14ac:dyDescent="0.3">
      <c r="A1683" t="s">
        <v>1729</v>
      </c>
      <c r="B1683" t="s">
        <v>12</v>
      </c>
      <c r="C1683" t="s">
        <v>17</v>
      </c>
      <c r="D1683" t="s">
        <v>32</v>
      </c>
      <c r="E1683" s="1">
        <v>45021</v>
      </c>
      <c r="F1683" s="1">
        <v>45037</v>
      </c>
      <c r="G1683">
        <v>81.900000000000006</v>
      </c>
      <c r="H1683">
        <v>247.05</v>
      </c>
      <c r="I1683" t="s">
        <v>47</v>
      </c>
      <c r="J1683">
        <v>1123</v>
      </c>
      <c r="K1683">
        <v>3</v>
      </c>
      <c r="L1683" t="str">
        <f>IF(logistics_data[[#This Row],[Delivery_Date]]="","In Transit",
 IF(logistics_data[[#This Row],[Status]]="Lost","Lost",
 IF(logistics_data[[#This Row],[Status]]="Returned","Returned",
 IF(logistics_data[[#This Row],[Status]]="Delayed","Delayed",
 "Delivered"))))</f>
        <v>Delayed</v>
      </c>
      <c r="M1683" s="2">
        <f>logistics_data[[#This Row],[Cost]]/logistics_data[[#This Row],[Distance_miles]]</f>
        <v>0.21999109528049868</v>
      </c>
      <c r="N1683" t="str">
        <f>IF(logistics_data[[#This Row],[Orginal staus of shipment]]&lt;&gt;"Delivered","not applicabel", IF(logistics_data[[#This Row],[Transit_Days]]&gt;=5,"slow","fast"))</f>
        <v>not applicabel</v>
      </c>
    </row>
    <row r="1684" spans="1:14" x14ac:dyDescent="0.3">
      <c r="A1684" t="s">
        <v>1730</v>
      </c>
      <c r="B1684" t="s">
        <v>27</v>
      </c>
      <c r="C1684" t="s">
        <v>44</v>
      </c>
      <c r="D1684" t="s">
        <v>42</v>
      </c>
      <c r="E1684" s="1">
        <v>45032</v>
      </c>
      <c r="F1684" s="1">
        <v>45033</v>
      </c>
      <c r="G1684">
        <v>43.5</v>
      </c>
      <c r="H1684">
        <v>111.47</v>
      </c>
      <c r="I1684" t="s">
        <v>15</v>
      </c>
      <c r="J1684">
        <v>421</v>
      </c>
      <c r="K1684">
        <v>1</v>
      </c>
      <c r="L1684" t="str">
        <f>IF(logistics_data[[#This Row],[Delivery_Date]]="","In Transit",
 IF(logistics_data[[#This Row],[Status]]="Lost","Lost",
 IF(logistics_data[[#This Row],[Status]]="Returned","Returned",
 IF(logistics_data[[#This Row],[Status]]="Delayed","Delayed",
 "Delivered"))))</f>
        <v>Delivered</v>
      </c>
      <c r="M1684" s="2">
        <f>logistics_data[[#This Row],[Cost]]/logistics_data[[#This Row],[Distance_miles]]</f>
        <v>0.26477434679334916</v>
      </c>
      <c r="N1684" t="str">
        <f>IF(logistics_data[[#This Row],[Orginal staus of shipment]]&lt;&gt;"Delivered","not applicabel", IF(logistics_data[[#This Row],[Transit_Days]]&gt;=5,"slow","fast"))</f>
        <v>fast</v>
      </c>
    </row>
    <row r="1685" spans="1:14" x14ac:dyDescent="0.3">
      <c r="A1685" t="s">
        <v>1731</v>
      </c>
      <c r="B1685" t="s">
        <v>27</v>
      </c>
      <c r="C1685" t="s">
        <v>24</v>
      </c>
      <c r="D1685" t="s">
        <v>14</v>
      </c>
      <c r="E1685" s="1">
        <v>44970</v>
      </c>
      <c r="F1685" s="1">
        <v>44976</v>
      </c>
      <c r="G1685">
        <v>12.5</v>
      </c>
      <c r="H1685">
        <v>119.12</v>
      </c>
      <c r="I1685" t="s">
        <v>15</v>
      </c>
      <c r="J1685">
        <v>916</v>
      </c>
      <c r="K1685">
        <v>6</v>
      </c>
      <c r="L1685" t="str">
        <f>IF(logistics_data[[#This Row],[Delivery_Date]]="","In Transit",
 IF(logistics_data[[#This Row],[Status]]="Lost","Lost",
 IF(logistics_data[[#This Row],[Status]]="Returned","Returned",
 IF(logistics_data[[#This Row],[Status]]="Delayed","Delayed",
 "Delivered"))))</f>
        <v>Delivered</v>
      </c>
      <c r="M1685" s="2">
        <f>logistics_data[[#This Row],[Cost]]/logistics_data[[#This Row],[Distance_miles]]</f>
        <v>0.13004366812227075</v>
      </c>
      <c r="N1685" t="str">
        <f>IF(logistics_data[[#This Row],[Orginal staus of shipment]]&lt;&gt;"Delivered","not applicabel", IF(logistics_data[[#This Row],[Transit_Days]]&gt;=5,"slow","fast"))</f>
        <v>slow</v>
      </c>
    </row>
    <row r="1686" spans="1:14" x14ac:dyDescent="0.3">
      <c r="A1686" t="s">
        <v>1732</v>
      </c>
      <c r="B1686" t="s">
        <v>51</v>
      </c>
      <c r="C1686" t="s">
        <v>13</v>
      </c>
      <c r="D1686" t="s">
        <v>59</v>
      </c>
      <c r="E1686" s="1">
        <v>45066</v>
      </c>
      <c r="F1686" s="1">
        <v>45072</v>
      </c>
      <c r="G1686">
        <v>21.5</v>
      </c>
      <c r="H1686">
        <v>271.82</v>
      </c>
      <c r="I1686" t="s">
        <v>15</v>
      </c>
      <c r="J1686">
        <v>2202</v>
      </c>
      <c r="K1686">
        <v>6</v>
      </c>
      <c r="L1686" t="str">
        <f>IF(logistics_data[[#This Row],[Delivery_Date]]="","In Transit",
 IF(logistics_data[[#This Row],[Status]]="Lost","Lost",
 IF(logistics_data[[#This Row],[Status]]="Returned","Returned",
 IF(logistics_data[[#This Row],[Status]]="Delayed","Delayed",
 "Delivered"))))</f>
        <v>Delivered</v>
      </c>
      <c r="M1686" s="2">
        <f>logistics_data[[#This Row],[Cost]]/logistics_data[[#This Row],[Distance_miles]]</f>
        <v>0.1234423251589464</v>
      </c>
      <c r="N1686" t="str">
        <f>IF(logistics_data[[#This Row],[Orginal staus of shipment]]&lt;&gt;"Delivered","not applicabel", IF(logistics_data[[#This Row],[Transit_Days]]&gt;=5,"slow","fast"))</f>
        <v>slow</v>
      </c>
    </row>
    <row r="1687" spans="1:14" x14ac:dyDescent="0.3">
      <c r="A1687" t="s">
        <v>1733</v>
      </c>
      <c r="B1687" t="s">
        <v>51</v>
      </c>
      <c r="C1687" t="s">
        <v>46</v>
      </c>
      <c r="D1687" t="s">
        <v>25</v>
      </c>
      <c r="E1687" s="1">
        <v>45169</v>
      </c>
      <c r="F1687" s="1">
        <v>45171</v>
      </c>
      <c r="G1687">
        <v>19</v>
      </c>
      <c r="H1687">
        <v>46.94</v>
      </c>
      <c r="I1687" t="s">
        <v>15</v>
      </c>
      <c r="J1687">
        <v>215</v>
      </c>
      <c r="K1687">
        <v>2</v>
      </c>
      <c r="L1687" t="str">
        <f>IF(logistics_data[[#This Row],[Delivery_Date]]="","In Transit",
 IF(logistics_data[[#This Row],[Status]]="Lost","Lost",
 IF(logistics_data[[#This Row],[Status]]="Returned","Returned",
 IF(logistics_data[[#This Row],[Status]]="Delayed","Delayed",
 "Delivered"))))</f>
        <v>Delivered</v>
      </c>
      <c r="M1687" s="2">
        <f>logistics_data[[#This Row],[Cost]]/logistics_data[[#This Row],[Distance_miles]]</f>
        <v>0.21832558139534883</v>
      </c>
      <c r="N1687" t="str">
        <f>IF(logistics_data[[#This Row],[Orginal staus of shipment]]&lt;&gt;"Delivered","not applicabel", IF(logistics_data[[#This Row],[Transit_Days]]&gt;=5,"slow","fast"))</f>
        <v>fast</v>
      </c>
    </row>
    <row r="1688" spans="1:14" x14ac:dyDescent="0.3">
      <c r="A1688" t="s">
        <v>1734</v>
      </c>
      <c r="B1688" t="s">
        <v>49</v>
      </c>
      <c r="C1688" t="s">
        <v>24</v>
      </c>
      <c r="D1688" t="s">
        <v>25</v>
      </c>
      <c r="E1688" s="1">
        <v>45254</v>
      </c>
      <c r="F1688" s="1">
        <v>45257</v>
      </c>
      <c r="G1688">
        <v>53.8</v>
      </c>
      <c r="H1688">
        <v>121.01</v>
      </c>
      <c r="I1688" t="s">
        <v>15</v>
      </c>
      <c r="J1688">
        <v>371</v>
      </c>
      <c r="K1688">
        <v>3</v>
      </c>
      <c r="L1688" t="str">
        <f>IF(logistics_data[[#This Row],[Delivery_Date]]="","In Transit",
 IF(logistics_data[[#This Row],[Status]]="Lost","Lost",
 IF(logistics_data[[#This Row],[Status]]="Returned","Returned",
 IF(logistics_data[[#This Row],[Status]]="Delayed","Delayed",
 "Delivered"))))</f>
        <v>Delivered</v>
      </c>
      <c r="M1688" s="2">
        <f>logistics_data[[#This Row],[Cost]]/logistics_data[[#This Row],[Distance_miles]]</f>
        <v>0.32617250673854448</v>
      </c>
      <c r="N1688" t="str">
        <f>IF(logistics_data[[#This Row],[Orginal staus of shipment]]&lt;&gt;"Delivered","not applicabel", IF(logistics_data[[#This Row],[Transit_Days]]&gt;=5,"slow","fast"))</f>
        <v>fast</v>
      </c>
    </row>
    <row r="1689" spans="1:14" x14ac:dyDescent="0.3">
      <c r="A1689" t="s">
        <v>1735</v>
      </c>
      <c r="B1689" t="s">
        <v>27</v>
      </c>
      <c r="C1689" t="s">
        <v>24</v>
      </c>
      <c r="D1689" t="s">
        <v>37</v>
      </c>
      <c r="E1689" s="1">
        <v>45001</v>
      </c>
      <c r="F1689" s="1">
        <v>45015</v>
      </c>
      <c r="G1689">
        <v>21.6</v>
      </c>
      <c r="H1689">
        <v>73.319999999999993</v>
      </c>
      <c r="I1689" t="s">
        <v>47</v>
      </c>
      <c r="J1689">
        <v>378</v>
      </c>
      <c r="K1689">
        <v>3</v>
      </c>
      <c r="L1689" t="str">
        <f>IF(logistics_data[[#This Row],[Delivery_Date]]="","In Transit",
 IF(logistics_data[[#This Row],[Status]]="Lost","Lost",
 IF(logistics_data[[#This Row],[Status]]="Returned","Returned",
 IF(logistics_data[[#This Row],[Status]]="Delayed","Delayed",
 "Delivered"))))</f>
        <v>Delayed</v>
      </c>
      <c r="M1689" s="2">
        <f>logistics_data[[#This Row],[Cost]]/logistics_data[[#This Row],[Distance_miles]]</f>
        <v>0.19396825396825396</v>
      </c>
      <c r="N1689" t="str">
        <f>IF(logistics_data[[#This Row],[Orginal staus of shipment]]&lt;&gt;"Delivered","not applicabel", IF(logistics_data[[#This Row],[Transit_Days]]&gt;=5,"slow","fast"))</f>
        <v>not applicabel</v>
      </c>
    </row>
    <row r="1690" spans="1:14" x14ac:dyDescent="0.3">
      <c r="A1690" t="s">
        <v>1736</v>
      </c>
      <c r="B1690" t="s">
        <v>49</v>
      </c>
      <c r="C1690" t="s">
        <v>44</v>
      </c>
      <c r="D1690" t="s">
        <v>32</v>
      </c>
      <c r="E1690" s="1">
        <v>45192</v>
      </c>
      <c r="F1690" s="1">
        <v>45200</v>
      </c>
      <c r="G1690">
        <v>14.8</v>
      </c>
      <c r="H1690">
        <v>215.86</v>
      </c>
      <c r="I1690" t="s">
        <v>15</v>
      </c>
      <c r="J1690">
        <v>1456</v>
      </c>
      <c r="K1690">
        <v>8</v>
      </c>
      <c r="L1690" t="str">
        <f>IF(logistics_data[[#This Row],[Delivery_Date]]="","In Transit",
 IF(logistics_data[[#This Row],[Status]]="Lost","Lost",
 IF(logistics_data[[#This Row],[Status]]="Returned","Returned",
 IF(logistics_data[[#This Row],[Status]]="Delayed","Delayed",
 "Delivered"))))</f>
        <v>Delivered</v>
      </c>
      <c r="M1690" s="2">
        <f>logistics_data[[#This Row],[Cost]]/logistics_data[[#This Row],[Distance_miles]]</f>
        <v>0.14825549450549452</v>
      </c>
      <c r="N1690" t="str">
        <f>IF(logistics_data[[#This Row],[Orginal staus of shipment]]&lt;&gt;"Delivered","not applicabel", IF(logistics_data[[#This Row],[Transit_Days]]&gt;=5,"slow","fast"))</f>
        <v>slow</v>
      </c>
    </row>
    <row r="1691" spans="1:14" x14ac:dyDescent="0.3">
      <c r="A1691" t="s">
        <v>1737</v>
      </c>
      <c r="B1691" t="s">
        <v>20</v>
      </c>
      <c r="C1691" t="s">
        <v>44</v>
      </c>
      <c r="D1691" t="s">
        <v>32</v>
      </c>
      <c r="E1691" s="1">
        <v>45207</v>
      </c>
      <c r="F1691" s="1">
        <v>45217</v>
      </c>
      <c r="G1691">
        <v>10.7</v>
      </c>
      <c r="H1691">
        <v>170.69</v>
      </c>
      <c r="I1691" t="s">
        <v>47</v>
      </c>
      <c r="J1691">
        <v>1114</v>
      </c>
      <c r="K1691">
        <v>3</v>
      </c>
      <c r="L1691" t="str">
        <f>IF(logistics_data[[#This Row],[Delivery_Date]]="","In Transit",
 IF(logistics_data[[#This Row],[Status]]="Lost","Lost",
 IF(logistics_data[[#This Row],[Status]]="Returned","Returned",
 IF(logistics_data[[#This Row],[Status]]="Delayed","Delayed",
 "Delivered"))))</f>
        <v>Delayed</v>
      </c>
      <c r="M1691" s="2">
        <f>logistics_data[[#This Row],[Cost]]/logistics_data[[#This Row],[Distance_miles]]</f>
        <v>0.15322262118491919</v>
      </c>
      <c r="N1691" t="str">
        <f>IF(logistics_data[[#This Row],[Orginal staus of shipment]]&lt;&gt;"Delivered","not applicabel", IF(logistics_data[[#This Row],[Transit_Days]]&gt;=5,"slow","fast"))</f>
        <v>not applicabel</v>
      </c>
    </row>
    <row r="1692" spans="1:14" x14ac:dyDescent="0.3">
      <c r="A1692" t="s">
        <v>1738</v>
      </c>
      <c r="B1692" t="s">
        <v>56</v>
      </c>
      <c r="C1692" t="s">
        <v>36</v>
      </c>
      <c r="D1692" t="s">
        <v>14</v>
      </c>
      <c r="E1692" s="1">
        <v>45093</v>
      </c>
      <c r="F1692" s="1">
        <v>45097</v>
      </c>
      <c r="G1692">
        <v>42</v>
      </c>
      <c r="H1692">
        <v>218.32</v>
      </c>
      <c r="I1692" t="s">
        <v>15</v>
      </c>
      <c r="J1692">
        <v>1417</v>
      </c>
      <c r="K1692">
        <v>4</v>
      </c>
      <c r="L1692" t="str">
        <f>IF(logistics_data[[#This Row],[Delivery_Date]]="","In Transit",
 IF(logistics_data[[#This Row],[Status]]="Lost","Lost",
 IF(logistics_data[[#This Row],[Status]]="Returned","Returned",
 IF(logistics_data[[#This Row],[Status]]="Delayed","Delayed",
 "Delivered"))))</f>
        <v>Delivered</v>
      </c>
      <c r="M1692" s="2">
        <f>logistics_data[[#This Row],[Cost]]/logistics_data[[#This Row],[Distance_miles]]</f>
        <v>0.15407198306280875</v>
      </c>
      <c r="N1692" t="str">
        <f>IF(logistics_data[[#This Row],[Orginal staus of shipment]]&lt;&gt;"Delivered","not applicabel", IF(logistics_data[[#This Row],[Transit_Days]]&gt;=5,"slow","fast"))</f>
        <v>fast</v>
      </c>
    </row>
    <row r="1693" spans="1:14" x14ac:dyDescent="0.3">
      <c r="A1693" t="s">
        <v>1739</v>
      </c>
      <c r="B1693" t="s">
        <v>49</v>
      </c>
      <c r="C1693" t="s">
        <v>21</v>
      </c>
      <c r="D1693" t="s">
        <v>18</v>
      </c>
      <c r="E1693" s="1">
        <v>45051</v>
      </c>
      <c r="F1693" s="1">
        <v>45056</v>
      </c>
      <c r="G1693">
        <v>19</v>
      </c>
      <c r="H1693">
        <v>224.15</v>
      </c>
      <c r="I1693" t="s">
        <v>15</v>
      </c>
      <c r="J1693">
        <v>1402</v>
      </c>
      <c r="K1693">
        <v>5</v>
      </c>
      <c r="L1693" t="str">
        <f>IF(logistics_data[[#This Row],[Delivery_Date]]="","In Transit",
 IF(logistics_data[[#This Row],[Status]]="Lost","Lost",
 IF(logistics_data[[#This Row],[Status]]="Returned","Returned",
 IF(logistics_data[[#This Row],[Status]]="Delayed","Delayed",
 "Delivered"))))</f>
        <v>Delivered</v>
      </c>
      <c r="M1693" s="2">
        <f>logistics_data[[#This Row],[Cost]]/logistics_data[[#This Row],[Distance_miles]]</f>
        <v>0.15987874465049928</v>
      </c>
      <c r="N1693" t="str">
        <f>IF(logistics_data[[#This Row],[Orginal staus of shipment]]&lt;&gt;"Delivered","not applicabel", IF(logistics_data[[#This Row],[Transit_Days]]&gt;=5,"slow","fast"))</f>
        <v>slow</v>
      </c>
    </row>
    <row r="1694" spans="1:14" x14ac:dyDescent="0.3">
      <c r="A1694" t="s">
        <v>1740</v>
      </c>
      <c r="B1694" t="s">
        <v>20</v>
      </c>
      <c r="C1694" t="s">
        <v>17</v>
      </c>
      <c r="D1694" t="s">
        <v>18</v>
      </c>
      <c r="E1694" s="1">
        <v>45010</v>
      </c>
      <c r="F1694" s="1">
        <v>45011</v>
      </c>
      <c r="G1694">
        <v>18.399999999999999</v>
      </c>
      <c r="H1694">
        <v>46.71</v>
      </c>
      <c r="I1694" t="s">
        <v>15</v>
      </c>
      <c r="J1694">
        <v>178</v>
      </c>
      <c r="K1694">
        <v>1</v>
      </c>
      <c r="L1694" t="str">
        <f>IF(logistics_data[[#This Row],[Delivery_Date]]="","In Transit",
 IF(logistics_data[[#This Row],[Status]]="Lost","Lost",
 IF(logistics_data[[#This Row],[Status]]="Returned","Returned",
 IF(logistics_data[[#This Row],[Status]]="Delayed","Delayed",
 "Delivered"))))</f>
        <v>Delivered</v>
      </c>
      <c r="M1694" s="2">
        <f>logistics_data[[#This Row],[Cost]]/logistics_data[[#This Row],[Distance_miles]]</f>
        <v>0.26241573033707866</v>
      </c>
      <c r="N1694" t="str">
        <f>IF(logistics_data[[#This Row],[Orginal staus of shipment]]&lt;&gt;"Delivered","not applicabel", IF(logistics_data[[#This Row],[Transit_Days]]&gt;=5,"slow","fast"))</f>
        <v>fast</v>
      </c>
    </row>
    <row r="1695" spans="1:14" x14ac:dyDescent="0.3">
      <c r="A1695" t="s">
        <v>1741</v>
      </c>
      <c r="B1695" t="s">
        <v>56</v>
      </c>
      <c r="C1695" t="s">
        <v>21</v>
      </c>
      <c r="D1695" t="s">
        <v>14</v>
      </c>
      <c r="E1695" s="1">
        <v>44955</v>
      </c>
      <c r="F1695" s="1">
        <v>44960</v>
      </c>
      <c r="G1695">
        <v>16</v>
      </c>
      <c r="H1695">
        <v>205.32</v>
      </c>
      <c r="I1695" t="s">
        <v>15</v>
      </c>
      <c r="J1695">
        <v>1575</v>
      </c>
      <c r="K1695">
        <v>5</v>
      </c>
      <c r="L1695" t="str">
        <f>IF(logistics_data[[#This Row],[Delivery_Date]]="","In Transit",
 IF(logistics_data[[#This Row],[Status]]="Lost","Lost",
 IF(logistics_data[[#This Row],[Status]]="Returned","Returned",
 IF(logistics_data[[#This Row],[Status]]="Delayed","Delayed",
 "Delivered"))))</f>
        <v>Delivered</v>
      </c>
      <c r="M1695" s="2">
        <f>logistics_data[[#This Row],[Cost]]/logistics_data[[#This Row],[Distance_miles]]</f>
        <v>0.13036190476190476</v>
      </c>
      <c r="N1695" t="str">
        <f>IF(logistics_data[[#This Row],[Orginal staus of shipment]]&lt;&gt;"Delivered","not applicabel", IF(logistics_data[[#This Row],[Transit_Days]]&gt;=5,"slow","fast"))</f>
        <v>slow</v>
      </c>
    </row>
    <row r="1696" spans="1:14" x14ac:dyDescent="0.3">
      <c r="A1696" t="s">
        <v>1742</v>
      </c>
      <c r="B1696" t="s">
        <v>51</v>
      </c>
      <c r="C1696" t="s">
        <v>17</v>
      </c>
      <c r="D1696" t="s">
        <v>59</v>
      </c>
      <c r="E1696" s="1">
        <v>45192</v>
      </c>
      <c r="F1696" s="1">
        <v>45199</v>
      </c>
      <c r="G1696">
        <v>13.9</v>
      </c>
      <c r="H1696">
        <v>107.12</v>
      </c>
      <c r="I1696" t="s">
        <v>15</v>
      </c>
      <c r="J1696">
        <v>870</v>
      </c>
      <c r="K1696">
        <v>7</v>
      </c>
      <c r="L1696" t="str">
        <f>IF(logistics_data[[#This Row],[Delivery_Date]]="","In Transit",
 IF(logistics_data[[#This Row],[Status]]="Lost","Lost",
 IF(logistics_data[[#This Row],[Status]]="Returned","Returned",
 IF(logistics_data[[#This Row],[Status]]="Delayed","Delayed",
 "Delivered"))))</f>
        <v>Delivered</v>
      </c>
      <c r="M1696" s="2">
        <f>logistics_data[[#This Row],[Cost]]/logistics_data[[#This Row],[Distance_miles]]</f>
        <v>0.1231264367816092</v>
      </c>
      <c r="N1696" t="str">
        <f>IF(logistics_data[[#This Row],[Orginal staus of shipment]]&lt;&gt;"Delivered","not applicabel", IF(logistics_data[[#This Row],[Transit_Days]]&gt;=5,"slow","fast"))</f>
        <v>slow</v>
      </c>
    </row>
    <row r="1697" spans="1:14" x14ac:dyDescent="0.3">
      <c r="A1697" t="s">
        <v>1743</v>
      </c>
      <c r="B1697" t="s">
        <v>30</v>
      </c>
      <c r="C1697" t="s">
        <v>36</v>
      </c>
      <c r="D1697" t="s">
        <v>37</v>
      </c>
      <c r="E1697" s="1">
        <v>45022</v>
      </c>
      <c r="F1697" s="1">
        <v>45029</v>
      </c>
      <c r="G1697">
        <v>6.3</v>
      </c>
      <c r="H1697">
        <v>258.52</v>
      </c>
      <c r="I1697" t="s">
        <v>15</v>
      </c>
      <c r="J1697">
        <v>1995</v>
      </c>
      <c r="K1697">
        <v>7</v>
      </c>
      <c r="L1697" t="str">
        <f>IF(logistics_data[[#This Row],[Delivery_Date]]="","In Transit",
 IF(logistics_data[[#This Row],[Status]]="Lost","Lost",
 IF(logistics_data[[#This Row],[Status]]="Returned","Returned",
 IF(logistics_data[[#This Row],[Status]]="Delayed","Delayed",
 "Delivered"))))</f>
        <v>Delivered</v>
      </c>
      <c r="M1697" s="2">
        <f>logistics_data[[#This Row],[Cost]]/logistics_data[[#This Row],[Distance_miles]]</f>
        <v>0.12958395989974936</v>
      </c>
      <c r="N1697" t="str">
        <f>IF(logistics_data[[#This Row],[Orginal staus of shipment]]&lt;&gt;"Delivered","not applicabel", IF(logistics_data[[#This Row],[Transit_Days]]&gt;=5,"slow","fast"))</f>
        <v>slow</v>
      </c>
    </row>
    <row r="1698" spans="1:14" x14ac:dyDescent="0.3">
      <c r="A1698" t="s">
        <v>1744</v>
      </c>
      <c r="B1698" t="s">
        <v>56</v>
      </c>
      <c r="C1698" t="s">
        <v>36</v>
      </c>
      <c r="D1698" t="s">
        <v>59</v>
      </c>
      <c r="E1698" s="1">
        <v>44953</v>
      </c>
      <c r="F1698" s="1">
        <v>44955</v>
      </c>
      <c r="G1698">
        <v>20</v>
      </c>
      <c r="H1698">
        <v>92.89</v>
      </c>
      <c r="I1698" t="s">
        <v>15</v>
      </c>
      <c r="J1698">
        <v>606</v>
      </c>
      <c r="K1698">
        <v>2</v>
      </c>
      <c r="L1698" t="str">
        <f>IF(logistics_data[[#This Row],[Delivery_Date]]="","In Transit",
 IF(logistics_data[[#This Row],[Status]]="Lost","Lost",
 IF(logistics_data[[#This Row],[Status]]="Returned","Returned",
 IF(logistics_data[[#This Row],[Status]]="Delayed","Delayed",
 "Delivered"))))</f>
        <v>Delivered</v>
      </c>
      <c r="M1698" s="2">
        <f>logistics_data[[#This Row],[Cost]]/logistics_data[[#This Row],[Distance_miles]]</f>
        <v>0.15328382838283827</v>
      </c>
      <c r="N1698" t="str">
        <f>IF(logistics_data[[#This Row],[Orginal staus of shipment]]&lt;&gt;"Delivered","not applicabel", IF(logistics_data[[#This Row],[Transit_Days]]&gt;=5,"slow","fast"))</f>
        <v>fast</v>
      </c>
    </row>
    <row r="1699" spans="1:14" x14ac:dyDescent="0.3">
      <c r="A1699" t="s">
        <v>1745</v>
      </c>
      <c r="B1699" t="s">
        <v>51</v>
      </c>
      <c r="C1699" t="s">
        <v>57</v>
      </c>
      <c r="D1699" t="s">
        <v>25</v>
      </c>
      <c r="E1699" s="1">
        <v>45061</v>
      </c>
      <c r="F1699" s="1">
        <v>45064</v>
      </c>
      <c r="G1699">
        <v>30.8</v>
      </c>
      <c r="H1699">
        <v>84.89</v>
      </c>
      <c r="I1699" t="s">
        <v>15</v>
      </c>
      <c r="J1699">
        <v>433</v>
      </c>
      <c r="K1699">
        <v>3</v>
      </c>
      <c r="L1699" t="str">
        <f>IF(logistics_data[[#This Row],[Delivery_Date]]="","In Transit",
 IF(logistics_data[[#This Row],[Status]]="Lost","Lost",
 IF(logistics_data[[#This Row],[Status]]="Returned","Returned",
 IF(logistics_data[[#This Row],[Status]]="Delayed","Delayed",
 "Delivered"))))</f>
        <v>Delivered</v>
      </c>
      <c r="M1699" s="2">
        <f>logistics_data[[#This Row],[Cost]]/logistics_data[[#This Row],[Distance_miles]]</f>
        <v>0.19605080831408775</v>
      </c>
      <c r="N1699" t="str">
        <f>IF(logistics_data[[#This Row],[Orginal staus of shipment]]&lt;&gt;"Delivered","not applicabel", IF(logistics_data[[#This Row],[Transit_Days]]&gt;=5,"slow","fast"))</f>
        <v>fast</v>
      </c>
    </row>
    <row r="1700" spans="1:14" x14ac:dyDescent="0.3">
      <c r="A1700" t="s">
        <v>1746</v>
      </c>
      <c r="B1700" t="s">
        <v>49</v>
      </c>
      <c r="C1700" t="s">
        <v>36</v>
      </c>
      <c r="D1700" t="s">
        <v>18</v>
      </c>
      <c r="E1700" s="1">
        <v>45239</v>
      </c>
      <c r="F1700" s="1">
        <v>45243</v>
      </c>
      <c r="G1700">
        <v>38.799999999999997</v>
      </c>
      <c r="H1700">
        <v>192.95</v>
      </c>
      <c r="I1700" t="s">
        <v>15</v>
      </c>
      <c r="J1700">
        <v>755</v>
      </c>
      <c r="K1700">
        <v>4</v>
      </c>
      <c r="L1700" t="str">
        <f>IF(logistics_data[[#This Row],[Delivery_Date]]="","In Transit",
 IF(logistics_data[[#This Row],[Status]]="Lost","Lost",
 IF(logistics_data[[#This Row],[Status]]="Returned","Returned",
 IF(logistics_data[[#This Row],[Status]]="Delayed","Delayed",
 "Delivered"))))</f>
        <v>Delivered</v>
      </c>
      <c r="M1700" s="2">
        <f>logistics_data[[#This Row],[Cost]]/logistics_data[[#This Row],[Distance_miles]]</f>
        <v>0.25556291390728475</v>
      </c>
      <c r="N1700" t="str">
        <f>IF(logistics_data[[#This Row],[Orginal staus of shipment]]&lt;&gt;"Delivered","not applicabel", IF(logistics_data[[#This Row],[Transit_Days]]&gt;=5,"slow","fast"))</f>
        <v>fast</v>
      </c>
    </row>
    <row r="1701" spans="1:14" x14ac:dyDescent="0.3">
      <c r="A1701" t="s">
        <v>1747</v>
      </c>
      <c r="B1701" t="s">
        <v>35</v>
      </c>
      <c r="C1701" t="s">
        <v>36</v>
      </c>
      <c r="D1701" t="s">
        <v>42</v>
      </c>
      <c r="E1701" s="1">
        <v>44982</v>
      </c>
      <c r="F1701" s="1">
        <v>44987</v>
      </c>
      <c r="G1701">
        <v>69.7</v>
      </c>
      <c r="H1701">
        <v>267.92</v>
      </c>
      <c r="I1701" t="s">
        <v>15</v>
      </c>
      <c r="J1701">
        <v>1580</v>
      </c>
      <c r="K1701">
        <v>5</v>
      </c>
      <c r="L1701" t="str">
        <f>IF(logistics_data[[#This Row],[Delivery_Date]]="","In Transit",
 IF(logistics_data[[#This Row],[Status]]="Lost","Lost",
 IF(logistics_data[[#This Row],[Status]]="Returned","Returned",
 IF(logistics_data[[#This Row],[Status]]="Delayed","Delayed",
 "Delivered"))))</f>
        <v>Delivered</v>
      </c>
      <c r="M1701" s="2">
        <f>logistics_data[[#This Row],[Cost]]/logistics_data[[#This Row],[Distance_miles]]</f>
        <v>0.16956962025316458</v>
      </c>
      <c r="N1701" t="str">
        <f>IF(logistics_data[[#This Row],[Orginal staus of shipment]]&lt;&gt;"Delivered","not applicabel", IF(logistics_data[[#This Row],[Transit_Days]]&gt;=5,"slow","fast"))</f>
        <v>slow</v>
      </c>
    </row>
    <row r="1702" spans="1:14" x14ac:dyDescent="0.3">
      <c r="A1702" t="s">
        <v>1748</v>
      </c>
      <c r="B1702" t="s">
        <v>30</v>
      </c>
      <c r="C1702" t="s">
        <v>70</v>
      </c>
      <c r="D1702" t="s">
        <v>59</v>
      </c>
      <c r="E1702" s="1">
        <v>45091</v>
      </c>
      <c r="F1702" s="1">
        <v>45096</v>
      </c>
      <c r="G1702">
        <v>45.3</v>
      </c>
      <c r="H1702">
        <v>234.57</v>
      </c>
      <c r="I1702" t="s">
        <v>15</v>
      </c>
      <c r="J1702">
        <v>1464</v>
      </c>
      <c r="K1702">
        <v>5</v>
      </c>
      <c r="L1702" t="str">
        <f>IF(logistics_data[[#This Row],[Delivery_Date]]="","In Transit",
 IF(logistics_data[[#This Row],[Status]]="Lost","Lost",
 IF(logistics_data[[#This Row],[Status]]="Returned","Returned",
 IF(logistics_data[[#This Row],[Status]]="Delayed","Delayed",
 "Delivered"))))</f>
        <v>Delivered</v>
      </c>
      <c r="M1702" s="2">
        <f>logistics_data[[#This Row],[Cost]]/logistics_data[[#This Row],[Distance_miles]]</f>
        <v>0.16022540983606556</v>
      </c>
      <c r="N1702" t="str">
        <f>IF(logistics_data[[#This Row],[Orginal staus of shipment]]&lt;&gt;"Delivered","not applicabel", IF(logistics_data[[#This Row],[Transit_Days]]&gt;=5,"slow","fast"))</f>
        <v>slow</v>
      </c>
    </row>
    <row r="1703" spans="1:14" x14ac:dyDescent="0.3">
      <c r="A1703" t="s">
        <v>1749</v>
      </c>
      <c r="B1703" t="s">
        <v>39</v>
      </c>
      <c r="C1703" t="s">
        <v>57</v>
      </c>
      <c r="D1703" t="s">
        <v>37</v>
      </c>
      <c r="E1703" s="1">
        <v>45209</v>
      </c>
      <c r="F1703" s="1">
        <v>45228</v>
      </c>
      <c r="G1703">
        <v>43.7</v>
      </c>
      <c r="H1703">
        <v>350.82</v>
      </c>
      <c r="I1703" t="s">
        <v>47</v>
      </c>
      <c r="J1703">
        <v>2299</v>
      </c>
      <c r="K1703">
        <v>6</v>
      </c>
      <c r="L1703" t="str">
        <f>IF(logistics_data[[#This Row],[Delivery_Date]]="","In Transit",
 IF(logistics_data[[#This Row],[Status]]="Lost","Lost",
 IF(logistics_data[[#This Row],[Status]]="Returned","Returned",
 IF(logistics_data[[#This Row],[Status]]="Delayed","Delayed",
 "Delivered"))))</f>
        <v>Delayed</v>
      </c>
      <c r="M1703" s="2">
        <f>logistics_data[[#This Row],[Cost]]/logistics_data[[#This Row],[Distance_miles]]</f>
        <v>0.1525967812092214</v>
      </c>
      <c r="N1703" t="str">
        <f>IF(logistics_data[[#This Row],[Orginal staus of shipment]]&lt;&gt;"Delivered","not applicabel", IF(logistics_data[[#This Row],[Transit_Days]]&gt;=5,"slow","fast"))</f>
        <v>not applicabel</v>
      </c>
    </row>
    <row r="1704" spans="1:14" x14ac:dyDescent="0.3">
      <c r="A1704" t="s">
        <v>1750</v>
      </c>
      <c r="B1704" t="s">
        <v>35</v>
      </c>
      <c r="C1704" t="s">
        <v>54</v>
      </c>
      <c r="D1704" t="s">
        <v>37</v>
      </c>
      <c r="E1704" s="1">
        <v>44986</v>
      </c>
      <c r="F1704" s="1">
        <v>44992</v>
      </c>
      <c r="G1704">
        <v>16.399999999999999</v>
      </c>
      <c r="H1704">
        <v>178.38</v>
      </c>
      <c r="I1704" t="s">
        <v>15</v>
      </c>
      <c r="J1704">
        <v>1350</v>
      </c>
      <c r="K1704">
        <v>6</v>
      </c>
      <c r="L1704" t="str">
        <f>IF(logistics_data[[#This Row],[Delivery_Date]]="","In Transit",
 IF(logistics_data[[#This Row],[Status]]="Lost","Lost",
 IF(logistics_data[[#This Row],[Status]]="Returned","Returned",
 IF(logistics_data[[#This Row],[Status]]="Delayed","Delayed",
 "Delivered"))))</f>
        <v>Delivered</v>
      </c>
      <c r="M1704" s="2">
        <f>logistics_data[[#This Row],[Cost]]/logistics_data[[#This Row],[Distance_miles]]</f>
        <v>0.13213333333333332</v>
      </c>
      <c r="N1704" t="str">
        <f>IF(logistics_data[[#This Row],[Orginal staus of shipment]]&lt;&gt;"Delivered","not applicabel", IF(logistics_data[[#This Row],[Transit_Days]]&gt;=5,"slow","fast"))</f>
        <v>slow</v>
      </c>
    </row>
    <row r="1705" spans="1:14" x14ac:dyDescent="0.3">
      <c r="A1705" t="s">
        <v>1751</v>
      </c>
      <c r="B1705" t="s">
        <v>39</v>
      </c>
      <c r="C1705" t="s">
        <v>70</v>
      </c>
      <c r="D1705" t="s">
        <v>59</v>
      </c>
      <c r="E1705" s="1">
        <v>45101</v>
      </c>
      <c r="F1705" s="1">
        <v>45102</v>
      </c>
      <c r="G1705">
        <v>7</v>
      </c>
      <c r="H1705">
        <v>49.21</v>
      </c>
      <c r="I1705" t="s">
        <v>67</v>
      </c>
      <c r="J1705">
        <v>386</v>
      </c>
      <c r="K1705">
        <v>1</v>
      </c>
      <c r="L1705" t="str">
        <f>IF(logistics_data[[#This Row],[Delivery_Date]]="","In Transit",
 IF(logistics_data[[#This Row],[Status]]="Lost","Lost",
 IF(logistics_data[[#This Row],[Status]]="Returned","Returned",
 IF(logistics_data[[#This Row],[Status]]="Delayed","Delayed",
 "Delivered"))))</f>
        <v>Returned</v>
      </c>
      <c r="M1705" s="2">
        <f>logistics_data[[#This Row],[Cost]]/logistics_data[[#This Row],[Distance_miles]]</f>
        <v>0.12748704663212435</v>
      </c>
      <c r="N1705" t="str">
        <f>IF(logistics_data[[#This Row],[Orginal staus of shipment]]&lt;&gt;"Delivered","not applicabel", IF(logistics_data[[#This Row],[Transit_Days]]&gt;=5,"slow","fast"))</f>
        <v>not applicabel</v>
      </c>
    </row>
    <row r="1706" spans="1:14" x14ac:dyDescent="0.3">
      <c r="A1706" t="s">
        <v>1752</v>
      </c>
      <c r="B1706" t="s">
        <v>23</v>
      </c>
      <c r="C1706" t="s">
        <v>36</v>
      </c>
      <c r="D1706" t="s">
        <v>14</v>
      </c>
      <c r="E1706" s="1">
        <v>45109</v>
      </c>
      <c r="F1706" s="1">
        <v>45117</v>
      </c>
      <c r="G1706">
        <v>13</v>
      </c>
      <c r="H1706">
        <v>250.6</v>
      </c>
      <c r="I1706" t="s">
        <v>15</v>
      </c>
      <c r="J1706">
        <v>1899</v>
      </c>
      <c r="K1706">
        <v>8</v>
      </c>
      <c r="L1706" t="str">
        <f>IF(logistics_data[[#This Row],[Delivery_Date]]="","In Transit",
 IF(logistics_data[[#This Row],[Status]]="Lost","Lost",
 IF(logistics_data[[#This Row],[Status]]="Returned","Returned",
 IF(logistics_data[[#This Row],[Status]]="Delayed","Delayed",
 "Delivered"))))</f>
        <v>Delivered</v>
      </c>
      <c r="M1706" s="2">
        <f>logistics_data[[#This Row],[Cost]]/logistics_data[[#This Row],[Distance_miles]]</f>
        <v>0.13196419167983148</v>
      </c>
      <c r="N1706" t="str">
        <f>IF(logistics_data[[#This Row],[Orginal staus of shipment]]&lt;&gt;"Delivered","not applicabel", IF(logistics_data[[#This Row],[Transit_Days]]&gt;=5,"slow","fast"))</f>
        <v>slow</v>
      </c>
    </row>
    <row r="1707" spans="1:14" x14ac:dyDescent="0.3">
      <c r="A1707" t="s">
        <v>1753</v>
      </c>
      <c r="B1707" t="s">
        <v>20</v>
      </c>
      <c r="C1707" t="s">
        <v>36</v>
      </c>
      <c r="D1707" t="s">
        <v>42</v>
      </c>
      <c r="E1707" s="1">
        <v>45158</v>
      </c>
      <c r="F1707" s="1">
        <v>45162</v>
      </c>
      <c r="G1707">
        <v>40.5</v>
      </c>
      <c r="H1707">
        <v>155.06</v>
      </c>
      <c r="I1707" t="s">
        <v>15</v>
      </c>
      <c r="J1707">
        <v>787</v>
      </c>
      <c r="K1707">
        <v>4</v>
      </c>
      <c r="L1707" t="str">
        <f>IF(logistics_data[[#This Row],[Delivery_Date]]="","In Transit",
 IF(logistics_data[[#This Row],[Status]]="Lost","Lost",
 IF(logistics_data[[#This Row],[Status]]="Returned","Returned",
 IF(logistics_data[[#This Row],[Status]]="Delayed","Delayed",
 "Delivered"))))</f>
        <v>Delivered</v>
      </c>
      <c r="M1707" s="2">
        <f>logistics_data[[#This Row],[Cost]]/logistics_data[[#This Row],[Distance_miles]]</f>
        <v>0.1970266836086404</v>
      </c>
      <c r="N1707" t="str">
        <f>IF(logistics_data[[#This Row],[Orginal staus of shipment]]&lt;&gt;"Delivered","not applicabel", IF(logistics_data[[#This Row],[Transit_Days]]&gt;=5,"slow","fast"))</f>
        <v>fast</v>
      </c>
    </row>
    <row r="1708" spans="1:14" x14ac:dyDescent="0.3">
      <c r="A1708" t="s">
        <v>1754</v>
      </c>
      <c r="B1708" t="s">
        <v>51</v>
      </c>
      <c r="C1708" t="s">
        <v>36</v>
      </c>
      <c r="D1708" t="s">
        <v>42</v>
      </c>
      <c r="E1708" s="1">
        <v>45072</v>
      </c>
      <c r="F1708" s="1">
        <v>45078</v>
      </c>
      <c r="G1708">
        <v>50.6</v>
      </c>
      <c r="H1708">
        <v>328.01</v>
      </c>
      <c r="I1708" t="s">
        <v>15</v>
      </c>
      <c r="J1708">
        <v>2388</v>
      </c>
      <c r="K1708">
        <v>6</v>
      </c>
      <c r="L1708" t="str">
        <f>IF(logistics_data[[#This Row],[Delivery_Date]]="","In Transit",
 IF(logistics_data[[#This Row],[Status]]="Lost","Lost",
 IF(logistics_data[[#This Row],[Status]]="Returned","Returned",
 IF(logistics_data[[#This Row],[Status]]="Delayed","Delayed",
 "Delivered"))))</f>
        <v>Delivered</v>
      </c>
      <c r="M1708" s="2">
        <f>logistics_data[[#This Row],[Cost]]/logistics_data[[#This Row],[Distance_miles]]</f>
        <v>0.13735762144053601</v>
      </c>
      <c r="N1708" t="str">
        <f>IF(logistics_data[[#This Row],[Orginal staus of shipment]]&lt;&gt;"Delivered","not applicabel", IF(logistics_data[[#This Row],[Transit_Days]]&gt;=5,"slow","fast"))</f>
        <v>slow</v>
      </c>
    </row>
    <row r="1709" spans="1:14" x14ac:dyDescent="0.3">
      <c r="A1709" t="s">
        <v>1755</v>
      </c>
      <c r="B1709" t="s">
        <v>30</v>
      </c>
      <c r="C1709" t="s">
        <v>28</v>
      </c>
      <c r="D1709" t="s">
        <v>37</v>
      </c>
      <c r="E1709" s="1">
        <v>45136</v>
      </c>
      <c r="F1709" s="1">
        <v>45141</v>
      </c>
      <c r="G1709">
        <v>35.4</v>
      </c>
      <c r="H1709">
        <v>301.47000000000003</v>
      </c>
      <c r="I1709" t="s">
        <v>15</v>
      </c>
      <c r="J1709">
        <v>2347</v>
      </c>
      <c r="K1709">
        <v>5</v>
      </c>
      <c r="L1709" t="str">
        <f>IF(logistics_data[[#This Row],[Delivery_Date]]="","In Transit",
 IF(logistics_data[[#This Row],[Status]]="Lost","Lost",
 IF(logistics_data[[#This Row],[Status]]="Returned","Returned",
 IF(logistics_data[[#This Row],[Status]]="Delayed","Delayed",
 "Delivered"))))</f>
        <v>Delivered</v>
      </c>
      <c r="M1709" s="2">
        <f>logistics_data[[#This Row],[Cost]]/logistics_data[[#This Row],[Distance_miles]]</f>
        <v>0.12844908393694079</v>
      </c>
      <c r="N1709" t="str">
        <f>IF(logistics_data[[#This Row],[Orginal staus of shipment]]&lt;&gt;"Delivered","not applicabel", IF(logistics_data[[#This Row],[Transit_Days]]&gt;=5,"slow","fast"))</f>
        <v>slow</v>
      </c>
    </row>
    <row r="1710" spans="1:14" x14ac:dyDescent="0.3">
      <c r="A1710" t="s">
        <v>1756</v>
      </c>
      <c r="B1710" t="s">
        <v>27</v>
      </c>
      <c r="C1710" t="s">
        <v>13</v>
      </c>
      <c r="D1710" t="s">
        <v>32</v>
      </c>
      <c r="E1710" s="1">
        <v>45244</v>
      </c>
      <c r="F1710" s="1">
        <v>45249</v>
      </c>
      <c r="G1710">
        <v>9.6999999999999993</v>
      </c>
      <c r="H1710">
        <v>228.09</v>
      </c>
      <c r="I1710" t="s">
        <v>15</v>
      </c>
      <c r="J1710">
        <v>1364</v>
      </c>
      <c r="K1710">
        <v>5</v>
      </c>
      <c r="L1710" t="str">
        <f>IF(logistics_data[[#This Row],[Delivery_Date]]="","In Transit",
 IF(logistics_data[[#This Row],[Status]]="Lost","Lost",
 IF(logistics_data[[#This Row],[Status]]="Returned","Returned",
 IF(logistics_data[[#This Row],[Status]]="Delayed","Delayed",
 "Delivered"))))</f>
        <v>Delivered</v>
      </c>
      <c r="M1710" s="2">
        <f>logistics_data[[#This Row],[Cost]]/logistics_data[[#This Row],[Distance_miles]]</f>
        <v>0.16722140762463344</v>
      </c>
      <c r="N1710" t="str">
        <f>IF(logistics_data[[#This Row],[Orginal staus of shipment]]&lt;&gt;"Delivered","not applicabel", IF(logistics_data[[#This Row],[Transit_Days]]&gt;=5,"slow","fast"))</f>
        <v>slow</v>
      </c>
    </row>
    <row r="1711" spans="1:14" x14ac:dyDescent="0.3">
      <c r="A1711" t="s">
        <v>1757</v>
      </c>
      <c r="B1711" t="s">
        <v>20</v>
      </c>
      <c r="C1711" t="s">
        <v>24</v>
      </c>
      <c r="D1711" t="s">
        <v>14</v>
      </c>
      <c r="E1711" s="1">
        <v>44984</v>
      </c>
      <c r="F1711" s="1">
        <v>44987</v>
      </c>
      <c r="G1711">
        <v>7.2</v>
      </c>
      <c r="H1711">
        <v>137.16</v>
      </c>
      <c r="I1711" t="s">
        <v>15</v>
      </c>
      <c r="J1711">
        <v>1135</v>
      </c>
      <c r="K1711">
        <v>3</v>
      </c>
      <c r="L1711" t="str">
        <f>IF(logistics_data[[#This Row],[Delivery_Date]]="","In Transit",
 IF(logistics_data[[#This Row],[Status]]="Lost","Lost",
 IF(logistics_data[[#This Row],[Status]]="Returned","Returned",
 IF(logistics_data[[#This Row],[Status]]="Delayed","Delayed",
 "Delivered"))))</f>
        <v>Delivered</v>
      </c>
      <c r="M1711" s="2">
        <f>logistics_data[[#This Row],[Cost]]/logistics_data[[#This Row],[Distance_miles]]</f>
        <v>0.12084581497797356</v>
      </c>
      <c r="N1711" t="str">
        <f>IF(logistics_data[[#This Row],[Orginal staus of shipment]]&lt;&gt;"Delivered","not applicabel", IF(logistics_data[[#This Row],[Transit_Days]]&gt;=5,"slow","fast"))</f>
        <v>fast</v>
      </c>
    </row>
    <row r="1712" spans="1:14" x14ac:dyDescent="0.3">
      <c r="A1712" t="s">
        <v>1758</v>
      </c>
      <c r="B1712" t="s">
        <v>35</v>
      </c>
      <c r="C1712" t="s">
        <v>46</v>
      </c>
      <c r="D1712" t="s">
        <v>25</v>
      </c>
      <c r="E1712" s="1">
        <v>44996</v>
      </c>
      <c r="F1712" s="1">
        <v>45003</v>
      </c>
      <c r="G1712">
        <v>10.7</v>
      </c>
      <c r="H1712">
        <v>290.55</v>
      </c>
      <c r="I1712" t="s">
        <v>15</v>
      </c>
      <c r="J1712">
        <v>2200</v>
      </c>
      <c r="K1712">
        <v>7</v>
      </c>
      <c r="L1712" t="str">
        <f>IF(logistics_data[[#This Row],[Delivery_Date]]="","In Transit",
 IF(logistics_data[[#This Row],[Status]]="Lost","Lost",
 IF(logistics_data[[#This Row],[Status]]="Returned","Returned",
 IF(logistics_data[[#This Row],[Status]]="Delayed","Delayed",
 "Delivered"))))</f>
        <v>Delivered</v>
      </c>
      <c r="M1712" s="2">
        <f>logistics_data[[#This Row],[Cost]]/logistics_data[[#This Row],[Distance_miles]]</f>
        <v>0.13206818181818183</v>
      </c>
      <c r="N1712" t="str">
        <f>IF(logistics_data[[#This Row],[Orginal staus of shipment]]&lt;&gt;"Delivered","not applicabel", IF(logistics_data[[#This Row],[Transit_Days]]&gt;=5,"slow","fast"))</f>
        <v>slow</v>
      </c>
    </row>
    <row r="1713" spans="1:14" x14ac:dyDescent="0.3">
      <c r="A1713" t="s">
        <v>1759</v>
      </c>
      <c r="B1713" t="s">
        <v>35</v>
      </c>
      <c r="C1713" t="s">
        <v>81</v>
      </c>
      <c r="D1713" t="s">
        <v>32</v>
      </c>
      <c r="E1713" s="1">
        <v>45037</v>
      </c>
      <c r="F1713" s="1">
        <v>45043</v>
      </c>
      <c r="G1713">
        <v>19.5</v>
      </c>
      <c r="H1713">
        <v>150.02000000000001</v>
      </c>
      <c r="I1713" t="s">
        <v>15</v>
      </c>
      <c r="J1713">
        <v>1000</v>
      </c>
      <c r="K1713">
        <v>6</v>
      </c>
      <c r="L1713" t="str">
        <f>IF(logistics_data[[#This Row],[Delivery_Date]]="","In Transit",
 IF(logistics_data[[#This Row],[Status]]="Lost","Lost",
 IF(logistics_data[[#This Row],[Status]]="Returned","Returned",
 IF(logistics_data[[#This Row],[Status]]="Delayed","Delayed",
 "Delivered"))))</f>
        <v>Delivered</v>
      </c>
      <c r="M1713" s="2">
        <f>logistics_data[[#This Row],[Cost]]/logistics_data[[#This Row],[Distance_miles]]</f>
        <v>0.15002000000000001</v>
      </c>
      <c r="N1713" t="str">
        <f>IF(logistics_data[[#This Row],[Orginal staus of shipment]]&lt;&gt;"Delivered","not applicabel", IF(logistics_data[[#This Row],[Transit_Days]]&gt;=5,"slow","fast"))</f>
        <v>slow</v>
      </c>
    </row>
    <row r="1714" spans="1:14" x14ac:dyDescent="0.3">
      <c r="A1714" t="s">
        <v>1760</v>
      </c>
      <c r="B1714" t="s">
        <v>23</v>
      </c>
      <c r="C1714" t="s">
        <v>44</v>
      </c>
      <c r="D1714" t="s">
        <v>14</v>
      </c>
      <c r="E1714" s="1">
        <v>45051</v>
      </c>
      <c r="F1714" s="1">
        <v>45054</v>
      </c>
      <c r="G1714">
        <v>11.7</v>
      </c>
      <c r="H1714">
        <v>99.97</v>
      </c>
      <c r="I1714" t="s">
        <v>15</v>
      </c>
      <c r="J1714">
        <v>701</v>
      </c>
      <c r="K1714">
        <v>3</v>
      </c>
      <c r="L1714" t="str">
        <f>IF(logistics_data[[#This Row],[Delivery_Date]]="","In Transit",
 IF(logistics_data[[#This Row],[Status]]="Lost","Lost",
 IF(logistics_data[[#This Row],[Status]]="Returned","Returned",
 IF(logistics_data[[#This Row],[Status]]="Delayed","Delayed",
 "Delivered"))))</f>
        <v>Delivered</v>
      </c>
      <c r="M1714" s="2">
        <f>logistics_data[[#This Row],[Cost]]/logistics_data[[#This Row],[Distance_miles]]</f>
        <v>0.14261055634807418</v>
      </c>
      <c r="N1714" t="str">
        <f>IF(logistics_data[[#This Row],[Orginal staus of shipment]]&lt;&gt;"Delivered","not applicabel", IF(logistics_data[[#This Row],[Transit_Days]]&gt;=5,"slow","fast"))</f>
        <v>fast</v>
      </c>
    </row>
    <row r="1715" spans="1:14" x14ac:dyDescent="0.3">
      <c r="A1715" t="s">
        <v>1761</v>
      </c>
      <c r="B1715" t="s">
        <v>51</v>
      </c>
      <c r="C1715" t="s">
        <v>40</v>
      </c>
      <c r="D1715" t="s">
        <v>18</v>
      </c>
      <c r="E1715" s="1">
        <v>45028</v>
      </c>
      <c r="F1715" s="1">
        <v>45032</v>
      </c>
      <c r="G1715">
        <v>28.8</v>
      </c>
      <c r="H1715">
        <v>325.2</v>
      </c>
      <c r="I1715" t="s">
        <v>15</v>
      </c>
      <c r="J1715">
        <v>1883</v>
      </c>
      <c r="K1715">
        <v>4</v>
      </c>
      <c r="L1715" t="str">
        <f>IF(logistics_data[[#This Row],[Delivery_Date]]="","In Transit",
 IF(logistics_data[[#This Row],[Status]]="Lost","Lost",
 IF(logistics_data[[#This Row],[Status]]="Returned","Returned",
 IF(logistics_data[[#This Row],[Status]]="Delayed","Delayed",
 "Delivered"))))</f>
        <v>Delivered</v>
      </c>
      <c r="M1715" s="2">
        <f>logistics_data[[#This Row],[Cost]]/logistics_data[[#This Row],[Distance_miles]]</f>
        <v>0.17270313329792883</v>
      </c>
      <c r="N1715" t="str">
        <f>IF(logistics_data[[#This Row],[Orginal staus of shipment]]&lt;&gt;"Delivered","not applicabel", IF(logistics_data[[#This Row],[Transit_Days]]&gt;=5,"slow","fast"))</f>
        <v>fast</v>
      </c>
    </row>
    <row r="1716" spans="1:14" x14ac:dyDescent="0.3">
      <c r="A1716" t="s">
        <v>1762</v>
      </c>
      <c r="B1716" t="s">
        <v>23</v>
      </c>
      <c r="C1716" t="s">
        <v>40</v>
      </c>
      <c r="D1716" t="s">
        <v>14</v>
      </c>
      <c r="E1716" s="1">
        <v>45107</v>
      </c>
      <c r="F1716" s="1">
        <v>45113</v>
      </c>
      <c r="G1716">
        <v>7</v>
      </c>
      <c r="H1716">
        <v>296.14999999999998</v>
      </c>
      <c r="I1716" t="s">
        <v>15</v>
      </c>
      <c r="J1716">
        <v>2424</v>
      </c>
      <c r="K1716">
        <v>6</v>
      </c>
      <c r="L1716" t="str">
        <f>IF(logistics_data[[#This Row],[Delivery_Date]]="","In Transit",
 IF(logistics_data[[#This Row],[Status]]="Lost","Lost",
 IF(logistics_data[[#This Row],[Status]]="Returned","Returned",
 IF(logistics_data[[#This Row],[Status]]="Delayed","Delayed",
 "Delivered"))))</f>
        <v>Delivered</v>
      </c>
      <c r="M1716" s="2">
        <f>logistics_data[[#This Row],[Cost]]/logistics_data[[#This Row],[Distance_miles]]</f>
        <v>0.12217409240924092</v>
      </c>
      <c r="N1716" t="str">
        <f>IF(logistics_data[[#This Row],[Orginal staus of shipment]]&lt;&gt;"Delivered","not applicabel", IF(logistics_data[[#This Row],[Transit_Days]]&gt;=5,"slow","fast"))</f>
        <v>slow</v>
      </c>
    </row>
    <row r="1717" spans="1:14" x14ac:dyDescent="0.3">
      <c r="A1717" t="s">
        <v>1763</v>
      </c>
      <c r="B1717" t="s">
        <v>27</v>
      </c>
      <c r="C1717" t="s">
        <v>31</v>
      </c>
      <c r="D1717" t="s">
        <v>32</v>
      </c>
      <c r="E1717" s="1">
        <v>45047</v>
      </c>
      <c r="F1717" s="1">
        <v>45055</v>
      </c>
      <c r="G1717">
        <v>48.9</v>
      </c>
      <c r="H1717">
        <v>354.59</v>
      </c>
      <c r="I1717" t="s">
        <v>60</v>
      </c>
      <c r="J1717">
        <v>2059</v>
      </c>
      <c r="K1717">
        <v>8</v>
      </c>
      <c r="L1717" t="str">
        <f>IF(logistics_data[[#This Row],[Delivery_Date]]="","In Transit",
 IF(logistics_data[[#This Row],[Status]]="Lost","Lost",
 IF(logistics_data[[#This Row],[Status]]="Returned","Returned",
 IF(logistics_data[[#This Row],[Status]]="Delayed","Delayed",
 "Delivered"))))</f>
        <v>Lost</v>
      </c>
      <c r="M1717" s="2">
        <f>logistics_data[[#This Row],[Cost]]/logistics_data[[#This Row],[Distance_miles]]</f>
        <v>0.17221466731423019</v>
      </c>
      <c r="N1717" t="str">
        <f>IF(logistics_data[[#This Row],[Orginal staus of shipment]]&lt;&gt;"Delivered","not applicabel", IF(logistics_data[[#This Row],[Transit_Days]]&gt;=5,"slow","fast"))</f>
        <v>not applicabel</v>
      </c>
    </row>
    <row r="1718" spans="1:14" x14ac:dyDescent="0.3">
      <c r="A1718" t="s">
        <v>1764</v>
      </c>
      <c r="B1718" t="s">
        <v>49</v>
      </c>
      <c r="C1718" t="s">
        <v>36</v>
      </c>
      <c r="D1718" t="s">
        <v>25</v>
      </c>
      <c r="E1718" s="1">
        <v>45092</v>
      </c>
      <c r="F1718" s="1">
        <v>45101</v>
      </c>
      <c r="G1718">
        <v>108.8</v>
      </c>
      <c r="H1718">
        <v>368.09</v>
      </c>
      <c r="I1718" t="s">
        <v>47</v>
      </c>
      <c r="J1718">
        <v>1857</v>
      </c>
      <c r="K1718">
        <v>5</v>
      </c>
      <c r="L1718" t="str">
        <f>IF(logistics_data[[#This Row],[Delivery_Date]]="","In Transit",
 IF(logistics_data[[#This Row],[Status]]="Lost","Lost",
 IF(logistics_data[[#This Row],[Status]]="Returned","Returned",
 IF(logistics_data[[#This Row],[Status]]="Delayed","Delayed",
 "Delivered"))))</f>
        <v>Delayed</v>
      </c>
      <c r="M1718" s="2">
        <f>logistics_data[[#This Row],[Cost]]/logistics_data[[#This Row],[Distance_miles]]</f>
        <v>0.19821755519655357</v>
      </c>
      <c r="N1718" t="str">
        <f>IF(logistics_data[[#This Row],[Orginal staus of shipment]]&lt;&gt;"Delivered","not applicabel", IF(logistics_data[[#This Row],[Transit_Days]]&gt;=5,"slow","fast"))</f>
        <v>not applicabel</v>
      </c>
    </row>
    <row r="1719" spans="1:14" x14ac:dyDescent="0.3">
      <c r="A1719" t="s">
        <v>1765</v>
      </c>
      <c r="B1719" t="s">
        <v>12</v>
      </c>
      <c r="C1719" t="s">
        <v>17</v>
      </c>
      <c r="D1719" t="s">
        <v>59</v>
      </c>
      <c r="E1719" s="1">
        <v>45234</v>
      </c>
      <c r="F1719" s="1">
        <v>45239</v>
      </c>
      <c r="G1719">
        <v>12.2</v>
      </c>
      <c r="H1719">
        <v>37.96</v>
      </c>
      <c r="I1719" t="s">
        <v>15</v>
      </c>
      <c r="J1719">
        <v>152</v>
      </c>
      <c r="K1719">
        <v>5</v>
      </c>
      <c r="L1719" t="str">
        <f>IF(logistics_data[[#This Row],[Delivery_Date]]="","In Transit",
 IF(logistics_data[[#This Row],[Status]]="Lost","Lost",
 IF(logistics_data[[#This Row],[Status]]="Returned","Returned",
 IF(logistics_data[[#This Row],[Status]]="Delayed","Delayed",
 "Delivered"))))</f>
        <v>Delivered</v>
      </c>
      <c r="M1719" s="2">
        <f>logistics_data[[#This Row],[Cost]]/logistics_data[[#This Row],[Distance_miles]]</f>
        <v>0.24973684210526317</v>
      </c>
      <c r="N1719" t="str">
        <f>IF(logistics_data[[#This Row],[Orginal staus of shipment]]&lt;&gt;"Delivered","not applicabel", IF(logistics_data[[#This Row],[Transit_Days]]&gt;=5,"slow","fast"))</f>
        <v>slow</v>
      </c>
    </row>
    <row r="1720" spans="1:14" x14ac:dyDescent="0.3">
      <c r="A1720" t="s">
        <v>1766</v>
      </c>
      <c r="B1720" t="s">
        <v>12</v>
      </c>
      <c r="C1720" t="s">
        <v>57</v>
      </c>
      <c r="D1720" t="s">
        <v>18</v>
      </c>
      <c r="E1720" s="1">
        <v>45271</v>
      </c>
      <c r="F1720" s="1">
        <v>45276</v>
      </c>
      <c r="G1720">
        <v>9</v>
      </c>
      <c r="H1720">
        <v>287.97000000000003</v>
      </c>
      <c r="I1720" t="s">
        <v>62</v>
      </c>
      <c r="J1720">
        <v>1495</v>
      </c>
      <c r="K1720">
        <v>5</v>
      </c>
      <c r="L1720" t="str">
        <f>IF(logistics_data[[#This Row],[Delivery_Date]]="","In Transit",
 IF(logistics_data[[#This Row],[Status]]="Lost","Lost",
 IF(logistics_data[[#This Row],[Status]]="Returned","Returned",
 IF(logistics_data[[#This Row],[Status]]="Delayed","Delayed",
 "Delivered"))))</f>
        <v>Delivered</v>
      </c>
      <c r="M1720" s="2">
        <f>logistics_data[[#This Row],[Cost]]/logistics_data[[#This Row],[Distance_miles]]</f>
        <v>0.19262207357859534</v>
      </c>
      <c r="N1720" t="str">
        <f>IF(logistics_data[[#This Row],[Orginal staus of shipment]]&lt;&gt;"Delivered","not applicabel", IF(logistics_data[[#This Row],[Transit_Days]]&gt;=5,"slow","fast"))</f>
        <v>slow</v>
      </c>
    </row>
    <row r="1721" spans="1:14" x14ac:dyDescent="0.3">
      <c r="A1721" t="s">
        <v>1767</v>
      </c>
      <c r="B1721" t="s">
        <v>39</v>
      </c>
      <c r="C1721" t="s">
        <v>81</v>
      </c>
      <c r="D1721" t="s">
        <v>25</v>
      </c>
      <c r="E1721" s="1">
        <v>45152</v>
      </c>
      <c r="F1721" s="1">
        <v>45155</v>
      </c>
      <c r="G1721">
        <v>17.3</v>
      </c>
      <c r="H1721">
        <v>146.13999999999999</v>
      </c>
      <c r="I1721" t="s">
        <v>15</v>
      </c>
      <c r="J1721">
        <v>1030</v>
      </c>
      <c r="K1721">
        <v>3</v>
      </c>
      <c r="L1721" t="str">
        <f>IF(logistics_data[[#This Row],[Delivery_Date]]="","In Transit",
 IF(logistics_data[[#This Row],[Status]]="Lost","Lost",
 IF(logistics_data[[#This Row],[Status]]="Returned","Returned",
 IF(logistics_data[[#This Row],[Status]]="Delayed","Delayed",
 "Delivered"))))</f>
        <v>Delivered</v>
      </c>
      <c r="M1721" s="2">
        <f>logistics_data[[#This Row],[Cost]]/logistics_data[[#This Row],[Distance_miles]]</f>
        <v>0.14188349514563106</v>
      </c>
      <c r="N1721" t="str">
        <f>IF(logistics_data[[#This Row],[Orginal staus of shipment]]&lt;&gt;"Delivered","not applicabel", IF(logistics_data[[#This Row],[Transit_Days]]&gt;=5,"slow","fast"))</f>
        <v>fast</v>
      </c>
    </row>
    <row r="1722" spans="1:14" x14ac:dyDescent="0.3">
      <c r="A1722" t="s">
        <v>1768</v>
      </c>
      <c r="B1722" t="s">
        <v>27</v>
      </c>
      <c r="C1722" t="s">
        <v>81</v>
      </c>
      <c r="D1722" t="s">
        <v>32</v>
      </c>
      <c r="E1722" s="1">
        <v>45067</v>
      </c>
      <c r="F1722" s="1">
        <v>45070</v>
      </c>
      <c r="G1722">
        <v>19.399999999999999</v>
      </c>
      <c r="H1722">
        <v>143.96</v>
      </c>
      <c r="I1722" t="s">
        <v>15</v>
      </c>
      <c r="J1722">
        <v>854</v>
      </c>
      <c r="K1722">
        <v>3</v>
      </c>
      <c r="L1722" t="str">
        <f>IF(logistics_data[[#This Row],[Delivery_Date]]="","In Transit",
 IF(logistics_data[[#This Row],[Status]]="Lost","Lost",
 IF(logistics_data[[#This Row],[Status]]="Returned","Returned",
 IF(logistics_data[[#This Row],[Status]]="Delayed","Delayed",
 "Delivered"))))</f>
        <v>Delivered</v>
      </c>
      <c r="M1722" s="2">
        <f>logistics_data[[#This Row],[Cost]]/logistics_data[[#This Row],[Distance_miles]]</f>
        <v>0.16857142857142859</v>
      </c>
      <c r="N1722" t="str">
        <f>IF(logistics_data[[#This Row],[Orginal staus of shipment]]&lt;&gt;"Delivered","not applicabel", IF(logistics_data[[#This Row],[Transit_Days]]&gt;=5,"slow","fast"))</f>
        <v>fast</v>
      </c>
    </row>
    <row r="1723" spans="1:14" x14ac:dyDescent="0.3">
      <c r="A1723" t="s">
        <v>1769</v>
      </c>
      <c r="B1723" t="s">
        <v>49</v>
      </c>
      <c r="C1723" t="s">
        <v>36</v>
      </c>
      <c r="D1723" t="s">
        <v>59</v>
      </c>
      <c r="E1723" s="1">
        <v>45041</v>
      </c>
      <c r="F1723" s="1">
        <v>45042</v>
      </c>
      <c r="G1723">
        <v>22.8</v>
      </c>
      <c r="H1723">
        <v>36.24</v>
      </c>
      <c r="I1723" t="s">
        <v>15</v>
      </c>
      <c r="J1723">
        <v>101</v>
      </c>
      <c r="K1723">
        <v>1</v>
      </c>
      <c r="L1723" t="str">
        <f>IF(logistics_data[[#This Row],[Delivery_Date]]="","In Transit",
 IF(logistics_data[[#This Row],[Status]]="Lost","Lost",
 IF(logistics_data[[#This Row],[Status]]="Returned","Returned",
 IF(logistics_data[[#This Row],[Status]]="Delayed","Delayed",
 "Delivered"))))</f>
        <v>Delivered</v>
      </c>
      <c r="M1723" s="2">
        <f>logistics_data[[#This Row],[Cost]]/logistics_data[[#This Row],[Distance_miles]]</f>
        <v>0.35881188118811885</v>
      </c>
      <c r="N1723" t="str">
        <f>IF(logistics_data[[#This Row],[Orginal staus of shipment]]&lt;&gt;"Delivered","not applicabel", IF(logistics_data[[#This Row],[Transit_Days]]&gt;=5,"slow","fast"))</f>
        <v>fast</v>
      </c>
    </row>
    <row r="1724" spans="1:14" x14ac:dyDescent="0.3">
      <c r="A1724" t="s">
        <v>1770</v>
      </c>
      <c r="B1724" t="s">
        <v>39</v>
      </c>
      <c r="C1724" t="s">
        <v>46</v>
      </c>
      <c r="D1724" t="s">
        <v>42</v>
      </c>
      <c r="E1724" s="1">
        <v>45291</v>
      </c>
      <c r="F1724" s="1">
        <v>45296</v>
      </c>
      <c r="G1724">
        <v>27.4</v>
      </c>
      <c r="H1724">
        <v>392.67</v>
      </c>
      <c r="I1724" t="s">
        <v>15</v>
      </c>
      <c r="J1724">
        <v>2353</v>
      </c>
      <c r="K1724">
        <v>5</v>
      </c>
      <c r="L1724" t="str">
        <f>IF(logistics_data[[#This Row],[Delivery_Date]]="","In Transit",
 IF(logistics_data[[#This Row],[Status]]="Lost","Lost",
 IF(logistics_data[[#This Row],[Status]]="Returned","Returned",
 IF(logistics_data[[#This Row],[Status]]="Delayed","Delayed",
 "Delivered"))))</f>
        <v>Delivered</v>
      </c>
      <c r="M1724" s="2">
        <f>logistics_data[[#This Row],[Cost]]/logistics_data[[#This Row],[Distance_miles]]</f>
        <v>0.16688057798555037</v>
      </c>
      <c r="N1724" t="str">
        <f>IF(logistics_data[[#This Row],[Orginal staus of shipment]]&lt;&gt;"Delivered","not applicabel", IF(logistics_data[[#This Row],[Transit_Days]]&gt;=5,"slow","fast"))</f>
        <v>slow</v>
      </c>
    </row>
    <row r="1725" spans="1:14" x14ac:dyDescent="0.3">
      <c r="A1725" t="s">
        <v>1771</v>
      </c>
      <c r="B1725" t="s">
        <v>39</v>
      </c>
      <c r="C1725" t="s">
        <v>70</v>
      </c>
      <c r="D1725" t="s">
        <v>59</v>
      </c>
      <c r="E1725" s="1">
        <v>45120</v>
      </c>
      <c r="F1725" s="1">
        <v>45123</v>
      </c>
      <c r="G1725">
        <v>17.7</v>
      </c>
      <c r="H1725">
        <v>170.71</v>
      </c>
      <c r="I1725" t="s">
        <v>15</v>
      </c>
      <c r="J1725">
        <v>1382</v>
      </c>
      <c r="K1725">
        <v>3</v>
      </c>
      <c r="L1725" t="str">
        <f>IF(logistics_data[[#This Row],[Delivery_Date]]="","In Transit",
 IF(logistics_data[[#This Row],[Status]]="Lost","Lost",
 IF(logistics_data[[#This Row],[Status]]="Returned","Returned",
 IF(logistics_data[[#This Row],[Status]]="Delayed","Delayed",
 "Delivered"))))</f>
        <v>Delivered</v>
      </c>
      <c r="M1725" s="2">
        <f>logistics_data[[#This Row],[Cost]]/logistics_data[[#This Row],[Distance_miles]]</f>
        <v>0.12352387843704776</v>
      </c>
      <c r="N1725" t="str">
        <f>IF(logistics_data[[#This Row],[Orginal staus of shipment]]&lt;&gt;"Delivered","not applicabel", IF(logistics_data[[#This Row],[Transit_Days]]&gt;=5,"slow","fast"))</f>
        <v>fast</v>
      </c>
    </row>
    <row r="1726" spans="1:14" x14ac:dyDescent="0.3">
      <c r="A1726" t="s">
        <v>1772</v>
      </c>
      <c r="B1726" t="s">
        <v>56</v>
      </c>
      <c r="C1726" t="s">
        <v>46</v>
      </c>
      <c r="D1726" t="s">
        <v>18</v>
      </c>
      <c r="E1726" s="1">
        <v>45101</v>
      </c>
      <c r="F1726" s="1">
        <v>45115</v>
      </c>
      <c r="G1726">
        <v>38.5</v>
      </c>
      <c r="H1726">
        <v>174.45</v>
      </c>
      <c r="I1726" t="s">
        <v>47</v>
      </c>
      <c r="J1726">
        <v>975</v>
      </c>
      <c r="K1726">
        <v>3</v>
      </c>
      <c r="L1726" t="str">
        <f>IF(logistics_data[[#This Row],[Delivery_Date]]="","In Transit",
 IF(logistics_data[[#This Row],[Status]]="Lost","Lost",
 IF(logistics_data[[#This Row],[Status]]="Returned","Returned",
 IF(logistics_data[[#This Row],[Status]]="Delayed","Delayed",
 "Delivered"))))</f>
        <v>Delayed</v>
      </c>
      <c r="M1726" s="2">
        <f>logistics_data[[#This Row],[Cost]]/logistics_data[[#This Row],[Distance_miles]]</f>
        <v>0.17892307692307691</v>
      </c>
      <c r="N1726" t="str">
        <f>IF(logistics_data[[#This Row],[Orginal staus of shipment]]&lt;&gt;"Delivered","not applicabel", IF(logistics_data[[#This Row],[Transit_Days]]&gt;=5,"slow","fast"))</f>
        <v>not applicabel</v>
      </c>
    </row>
    <row r="1727" spans="1:14" x14ac:dyDescent="0.3">
      <c r="A1727" t="s">
        <v>1773</v>
      </c>
      <c r="B1727" t="s">
        <v>20</v>
      </c>
      <c r="C1727" t="s">
        <v>81</v>
      </c>
      <c r="D1727" t="s">
        <v>59</v>
      </c>
      <c r="E1727" s="1">
        <v>45110</v>
      </c>
      <c r="F1727" s="1">
        <v>45114</v>
      </c>
      <c r="G1727">
        <v>15.2</v>
      </c>
      <c r="H1727">
        <v>181.08</v>
      </c>
      <c r="I1727" t="s">
        <v>15</v>
      </c>
      <c r="J1727">
        <v>1453</v>
      </c>
      <c r="K1727">
        <v>4</v>
      </c>
      <c r="L1727" t="str">
        <f>IF(logistics_data[[#This Row],[Delivery_Date]]="","In Transit",
 IF(logistics_data[[#This Row],[Status]]="Lost","Lost",
 IF(logistics_data[[#This Row],[Status]]="Returned","Returned",
 IF(logistics_data[[#This Row],[Status]]="Delayed","Delayed",
 "Delivered"))))</f>
        <v>Delivered</v>
      </c>
      <c r="M1727" s="2">
        <f>logistics_data[[#This Row],[Cost]]/logistics_data[[#This Row],[Distance_miles]]</f>
        <v>0.12462491397109429</v>
      </c>
      <c r="N1727" t="str">
        <f>IF(logistics_data[[#This Row],[Orginal staus of shipment]]&lt;&gt;"Delivered","not applicabel", IF(logistics_data[[#This Row],[Transit_Days]]&gt;=5,"slow","fast"))</f>
        <v>fast</v>
      </c>
    </row>
    <row r="1728" spans="1:14" x14ac:dyDescent="0.3">
      <c r="A1728" t="s">
        <v>1774</v>
      </c>
      <c r="B1728" t="s">
        <v>30</v>
      </c>
      <c r="C1728" t="s">
        <v>21</v>
      </c>
      <c r="D1728" t="s">
        <v>14</v>
      </c>
      <c r="E1728" s="1">
        <v>45157</v>
      </c>
      <c r="F1728" s="1">
        <v>45160</v>
      </c>
      <c r="G1728">
        <v>9.5</v>
      </c>
      <c r="H1728">
        <v>177.71</v>
      </c>
      <c r="I1728" t="s">
        <v>62</v>
      </c>
      <c r="J1728">
        <v>1321</v>
      </c>
      <c r="K1728">
        <v>3</v>
      </c>
      <c r="L1728" t="str">
        <f>IF(logistics_data[[#This Row],[Delivery_Date]]="","In Transit",
 IF(logistics_data[[#This Row],[Status]]="Lost","Lost",
 IF(logistics_data[[#This Row],[Status]]="Returned","Returned",
 IF(logistics_data[[#This Row],[Status]]="Delayed","Delayed",
 "Delivered"))))</f>
        <v>Delivered</v>
      </c>
      <c r="M1728" s="2">
        <f>logistics_data[[#This Row],[Cost]]/logistics_data[[#This Row],[Distance_miles]]</f>
        <v>0.13452687358062074</v>
      </c>
      <c r="N1728" t="str">
        <f>IF(logistics_data[[#This Row],[Orginal staus of shipment]]&lt;&gt;"Delivered","not applicabel", IF(logistics_data[[#This Row],[Transit_Days]]&gt;=5,"slow","fast"))</f>
        <v>fast</v>
      </c>
    </row>
    <row r="1729" spans="1:14" x14ac:dyDescent="0.3">
      <c r="A1729" t="s">
        <v>1775</v>
      </c>
      <c r="B1729" t="s">
        <v>30</v>
      </c>
      <c r="C1729" t="s">
        <v>46</v>
      </c>
      <c r="D1729" t="s">
        <v>59</v>
      </c>
      <c r="E1729" s="1">
        <v>45229</v>
      </c>
      <c r="F1729" s="1">
        <v>45199</v>
      </c>
      <c r="G1729">
        <v>25.2</v>
      </c>
      <c r="H1729">
        <v>295.58999999999997</v>
      </c>
      <c r="I1729" t="s">
        <v>15</v>
      </c>
      <c r="J1729">
        <v>2279</v>
      </c>
      <c r="K1729">
        <v>7</v>
      </c>
      <c r="L1729" t="str">
        <f>IF(logistics_data[[#This Row],[Delivery_Date]]="","In Transit",
 IF(logistics_data[[#This Row],[Status]]="Lost","Lost",
 IF(logistics_data[[#This Row],[Status]]="Returned","Returned",
 IF(logistics_data[[#This Row],[Status]]="Delayed","Delayed",
 "Delivered"))))</f>
        <v>Delivered</v>
      </c>
      <c r="M1729" s="2">
        <f>logistics_data[[#This Row],[Cost]]/logistics_data[[#This Row],[Distance_miles]]</f>
        <v>0.12970162351908732</v>
      </c>
      <c r="N1729" t="str">
        <f>IF(logistics_data[[#This Row],[Orginal staus of shipment]]&lt;&gt;"Delivered","not applicabel", IF(logistics_data[[#This Row],[Transit_Days]]&gt;=5,"slow","fast"))</f>
        <v>slow</v>
      </c>
    </row>
    <row r="1730" spans="1:14" x14ac:dyDescent="0.3">
      <c r="A1730" t="s">
        <v>1776</v>
      </c>
      <c r="B1730" t="s">
        <v>39</v>
      </c>
      <c r="C1730" t="s">
        <v>31</v>
      </c>
      <c r="D1730" t="s">
        <v>32</v>
      </c>
      <c r="E1730" s="1">
        <v>45085</v>
      </c>
      <c r="F1730" s="1">
        <v>45090</v>
      </c>
      <c r="G1730">
        <v>11.8</v>
      </c>
      <c r="H1730">
        <v>116.39</v>
      </c>
      <c r="I1730" t="s">
        <v>15</v>
      </c>
      <c r="J1730">
        <v>835</v>
      </c>
      <c r="K1730">
        <v>5</v>
      </c>
      <c r="L1730" t="str">
        <f>IF(logistics_data[[#This Row],[Delivery_Date]]="","In Transit",
 IF(logistics_data[[#This Row],[Status]]="Lost","Lost",
 IF(logistics_data[[#This Row],[Status]]="Returned","Returned",
 IF(logistics_data[[#This Row],[Status]]="Delayed","Delayed",
 "Delivered"))))</f>
        <v>Delivered</v>
      </c>
      <c r="M1730" s="2">
        <f>logistics_data[[#This Row],[Cost]]/logistics_data[[#This Row],[Distance_miles]]</f>
        <v>0.13938922155688624</v>
      </c>
      <c r="N1730" t="str">
        <f>IF(logistics_data[[#This Row],[Orginal staus of shipment]]&lt;&gt;"Delivered","not applicabel", IF(logistics_data[[#This Row],[Transit_Days]]&gt;=5,"slow","fast"))</f>
        <v>slow</v>
      </c>
    </row>
    <row r="1731" spans="1:14" x14ac:dyDescent="0.3">
      <c r="A1731" t="s">
        <v>1777</v>
      </c>
      <c r="B1731" t="s">
        <v>20</v>
      </c>
      <c r="C1731" t="s">
        <v>54</v>
      </c>
      <c r="D1731" t="s">
        <v>25</v>
      </c>
      <c r="E1731" s="1">
        <v>45080</v>
      </c>
      <c r="F1731" s="1">
        <v>45084</v>
      </c>
      <c r="G1731">
        <v>8.6999999999999993</v>
      </c>
      <c r="H1731">
        <v>124.66</v>
      </c>
      <c r="I1731" t="s">
        <v>15</v>
      </c>
      <c r="J1731">
        <v>1035</v>
      </c>
      <c r="K1731">
        <v>4</v>
      </c>
      <c r="L1731" t="str">
        <f>IF(logistics_data[[#This Row],[Delivery_Date]]="","In Transit",
 IF(logistics_data[[#This Row],[Status]]="Lost","Lost",
 IF(logistics_data[[#This Row],[Status]]="Returned","Returned",
 IF(logistics_data[[#This Row],[Status]]="Delayed","Delayed",
 "Delivered"))))</f>
        <v>Delivered</v>
      </c>
      <c r="M1731" s="2">
        <f>logistics_data[[#This Row],[Cost]]/logistics_data[[#This Row],[Distance_miles]]</f>
        <v>0.12044444444444444</v>
      </c>
      <c r="N1731" t="str">
        <f>IF(logistics_data[[#This Row],[Orginal staus of shipment]]&lt;&gt;"Delivered","not applicabel", IF(logistics_data[[#This Row],[Transit_Days]]&gt;=5,"slow","fast"))</f>
        <v>fast</v>
      </c>
    </row>
    <row r="1732" spans="1:14" x14ac:dyDescent="0.3">
      <c r="A1732" t="s">
        <v>1778</v>
      </c>
      <c r="B1732" t="s">
        <v>56</v>
      </c>
      <c r="C1732" t="s">
        <v>13</v>
      </c>
      <c r="D1732" t="s">
        <v>59</v>
      </c>
      <c r="E1732" s="1">
        <v>45019</v>
      </c>
      <c r="F1732" s="1">
        <v>45023</v>
      </c>
      <c r="G1732">
        <v>226.6</v>
      </c>
      <c r="H1732">
        <v>44.83</v>
      </c>
      <c r="I1732" t="s">
        <v>15</v>
      </c>
      <c r="J1732">
        <v>202</v>
      </c>
      <c r="K1732">
        <v>4</v>
      </c>
      <c r="L1732" t="str">
        <f>IF(logistics_data[[#This Row],[Delivery_Date]]="","In Transit",
 IF(logistics_data[[#This Row],[Status]]="Lost","Lost",
 IF(logistics_data[[#This Row],[Status]]="Returned","Returned",
 IF(logistics_data[[#This Row],[Status]]="Delayed","Delayed",
 "Delivered"))))</f>
        <v>Delivered</v>
      </c>
      <c r="M1732" s="2">
        <f>logistics_data[[#This Row],[Cost]]/logistics_data[[#This Row],[Distance_miles]]</f>
        <v>0.22193069306930693</v>
      </c>
      <c r="N1732" t="str">
        <f>IF(logistics_data[[#This Row],[Orginal staus of shipment]]&lt;&gt;"Delivered","not applicabel", IF(logistics_data[[#This Row],[Transit_Days]]&gt;=5,"slow","fast"))</f>
        <v>fast</v>
      </c>
    </row>
    <row r="1733" spans="1:14" x14ac:dyDescent="0.3">
      <c r="A1733" t="s">
        <v>1779</v>
      </c>
      <c r="B1733" t="s">
        <v>35</v>
      </c>
      <c r="C1733" t="s">
        <v>57</v>
      </c>
      <c r="D1733" t="s">
        <v>37</v>
      </c>
      <c r="E1733" s="1">
        <v>45157</v>
      </c>
      <c r="F1733" s="1">
        <v>45159</v>
      </c>
      <c r="G1733">
        <v>14.3</v>
      </c>
      <c r="H1733">
        <v>44.86</v>
      </c>
      <c r="I1733" t="s">
        <v>15</v>
      </c>
      <c r="J1733">
        <v>226</v>
      </c>
      <c r="K1733">
        <v>2</v>
      </c>
      <c r="L1733" t="str">
        <f>IF(logistics_data[[#This Row],[Delivery_Date]]="","In Transit",
 IF(logistics_data[[#This Row],[Status]]="Lost","Lost",
 IF(logistics_data[[#This Row],[Status]]="Returned","Returned",
 IF(logistics_data[[#This Row],[Status]]="Delayed","Delayed",
 "Delivered"))))</f>
        <v>Delivered</v>
      </c>
      <c r="M1733" s="2">
        <f>logistics_data[[#This Row],[Cost]]/logistics_data[[#This Row],[Distance_miles]]</f>
        <v>0.19849557522123892</v>
      </c>
      <c r="N1733" t="str">
        <f>IF(logistics_data[[#This Row],[Orginal staus of shipment]]&lt;&gt;"Delivered","not applicabel", IF(logistics_data[[#This Row],[Transit_Days]]&gt;=5,"slow","fast"))</f>
        <v>fast</v>
      </c>
    </row>
    <row r="1734" spans="1:14" x14ac:dyDescent="0.3">
      <c r="A1734" t="s">
        <v>1780</v>
      </c>
      <c r="B1734" t="s">
        <v>39</v>
      </c>
      <c r="C1734" t="s">
        <v>54</v>
      </c>
      <c r="D1734" t="s">
        <v>32</v>
      </c>
      <c r="E1734" s="1">
        <v>45248</v>
      </c>
      <c r="F1734" s="1">
        <v>45254</v>
      </c>
      <c r="G1734">
        <v>47.6</v>
      </c>
      <c r="H1734">
        <v>434.73</v>
      </c>
      <c r="I1734" t="s">
        <v>15</v>
      </c>
      <c r="J1734">
        <v>2194</v>
      </c>
      <c r="K1734">
        <v>6</v>
      </c>
      <c r="L1734" t="str">
        <f>IF(logistics_data[[#This Row],[Delivery_Date]]="","In Transit",
 IF(logistics_data[[#This Row],[Status]]="Lost","Lost",
 IF(logistics_data[[#This Row],[Status]]="Returned","Returned",
 IF(logistics_data[[#This Row],[Status]]="Delayed","Delayed",
 "Delivered"))))</f>
        <v>Delivered</v>
      </c>
      <c r="M1734" s="2">
        <f>logistics_data[[#This Row],[Cost]]/logistics_data[[#This Row],[Distance_miles]]</f>
        <v>0.19814494074749317</v>
      </c>
      <c r="N1734" t="str">
        <f>IF(logistics_data[[#This Row],[Orginal staus of shipment]]&lt;&gt;"Delivered","not applicabel", IF(logistics_data[[#This Row],[Transit_Days]]&gt;=5,"slow","fast"))</f>
        <v>slow</v>
      </c>
    </row>
    <row r="1735" spans="1:14" x14ac:dyDescent="0.3">
      <c r="A1735" t="s">
        <v>1781</v>
      </c>
      <c r="B1735" t="s">
        <v>39</v>
      </c>
      <c r="C1735" t="s">
        <v>52</v>
      </c>
      <c r="D1735" t="s">
        <v>37</v>
      </c>
      <c r="E1735" s="1">
        <v>45235</v>
      </c>
      <c r="F1735" s="1">
        <v>45246</v>
      </c>
      <c r="G1735">
        <v>22.5</v>
      </c>
      <c r="H1735">
        <v>320.2</v>
      </c>
      <c r="I1735" t="s">
        <v>15</v>
      </c>
      <c r="J1735">
        <v>1865</v>
      </c>
      <c r="K1735">
        <v>11</v>
      </c>
      <c r="L1735" t="str">
        <f>IF(logistics_data[[#This Row],[Delivery_Date]]="","In Transit",
 IF(logistics_data[[#This Row],[Status]]="Lost","Lost",
 IF(logistics_data[[#This Row],[Status]]="Returned","Returned",
 IF(logistics_data[[#This Row],[Status]]="Delayed","Delayed",
 "Delivered"))))</f>
        <v>Delivered</v>
      </c>
      <c r="M1735" s="2">
        <f>logistics_data[[#This Row],[Cost]]/logistics_data[[#This Row],[Distance_miles]]</f>
        <v>0.17168900804289544</v>
      </c>
      <c r="N1735" t="str">
        <f>IF(logistics_data[[#This Row],[Orginal staus of shipment]]&lt;&gt;"Delivered","not applicabel", IF(logistics_data[[#This Row],[Transit_Days]]&gt;=5,"slow","fast"))</f>
        <v>slow</v>
      </c>
    </row>
    <row r="1736" spans="1:14" x14ac:dyDescent="0.3">
      <c r="A1736" t="s">
        <v>1782</v>
      </c>
      <c r="B1736" t="s">
        <v>35</v>
      </c>
      <c r="C1736" t="s">
        <v>81</v>
      </c>
      <c r="D1736" t="s">
        <v>32</v>
      </c>
      <c r="E1736" s="1">
        <v>45019</v>
      </c>
      <c r="F1736" s="1">
        <v>45023</v>
      </c>
      <c r="G1736">
        <v>19.100000000000001</v>
      </c>
      <c r="H1736">
        <v>159.13999999999999</v>
      </c>
      <c r="I1736" t="s">
        <v>15</v>
      </c>
      <c r="J1736">
        <v>1000</v>
      </c>
      <c r="K1736">
        <v>4</v>
      </c>
      <c r="L1736" t="str">
        <f>IF(logistics_data[[#This Row],[Delivery_Date]]="","In Transit",
 IF(logistics_data[[#This Row],[Status]]="Lost","Lost",
 IF(logistics_data[[#This Row],[Status]]="Returned","Returned",
 IF(logistics_data[[#This Row],[Status]]="Delayed","Delayed",
 "Delivered"))))</f>
        <v>Delivered</v>
      </c>
      <c r="M1736" s="2">
        <f>logistics_data[[#This Row],[Cost]]/logistics_data[[#This Row],[Distance_miles]]</f>
        <v>0.15913999999999998</v>
      </c>
      <c r="N1736" t="str">
        <f>IF(logistics_data[[#This Row],[Orginal staus of shipment]]&lt;&gt;"Delivered","not applicabel", IF(logistics_data[[#This Row],[Transit_Days]]&gt;=5,"slow","fast"))</f>
        <v>fast</v>
      </c>
    </row>
    <row r="1737" spans="1:14" x14ac:dyDescent="0.3">
      <c r="A1737" t="s">
        <v>1783</v>
      </c>
      <c r="B1737" t="s">
        <v>23</v>
      </c>
      <c r="C1737" t="s">
        <v>57</v>
      </c>
      <c r="D1737" t="s">
        <v>59</v>
      </c>
      <c r="E1737" s="1">
        <v>45009</v>
      </c>
      <c r="F1737" s="1">
        <v>45014</v>
      </c>
      <c r="G1737">
        <v>58.8</v>
      </c>
      <c r="H1737">
        <v>177.73</v>
      </c>
      <c r="I1737" t="s">
        <v>15</v>
      </c>
      <c r="J1737">
        <v>892</v>
      </c>
      <c r="K1737">
        <v>5</v>
      </c>
      <c r="L1737" t="str">
        <f>IF(logistics_data[[#This Row],[Delivery_Date]]="","In Transit",
 IF(logistics_data[[#This Row],[Status]]="Lost","Lost",
 IF(logistics_data[[#This Row],[Status]]="Returned","Returned",
 IF(logistics_data[[#This Row],[Status]]="Delayed","Delayed",
 "Delivered"))))</f>
        <v>Delivered</v>
      </c>
      <c r="M1737" s="2">
        <f>logistics_data[[#This Row],[Cost]]/logistics_data[[#This Row],[Distance_miles]]</f>
        <v>0.1992488789237668</v>
      </c>
      <c r="N1737" t="str">
        <f>IF(logistics_data[[#This Row],[Orginal staus of shipment]]&lt;&gt;"Delivered","not applicabel", IF(logistics_data[[#This Row],[Transit_Days]]&gt;=5,"slow","fast"))</f>
        <v>slow</v>
      </c>
    </row>
    <row r="1738" spans="1:14" x14ac:dyDescent="0.3">
      <c r="A1738" t="s">
        <v>1784</v>
      </c>
      <c r="B1738" t="s">
        <v>27</v>
      </c>
      <c r="C1738" t="s">
        <v>52</v>
      </c>
      <c r="D1738" t="s">
        <v>42</v>
      </c>
      <c r="E1738" s="1">
        <v>45223</v>
      </c>
      <c r="F1738" s="1">
        <v>45231</v>
      </c>
      <c r="G1738">
        <v>32</v>
      </c>
      <c r="H1738">
        <v>301.33</v>
      </c>
      <c r="I1738" t="s">
        <v>15</v>
      </c>
      <c r="J1738">
        <v>2356</v>
      </c>
      <c r="K1738">
        <v>8</v>
      </c>
      <c r="L1738" t="str">
        <f>IF(logistics_data[[#This Row],[Delivery_Date]]="","In Transit",
 IF(logistics_data[[#This Row],[Status]]="Lost","Lost",
 IF(logistics_data[[#This Row],[Status]]="Returned","Returned",
 IF(logistics_data[[#This Row],[Status]]="Delayed","Delayed",
 "Delivered"))))</f>
        <v>Delivered</v>
      </c>
      <c r="M1738" s="2">
        <f>logistics_data[[#This Row],[Cost]]/logistics_data[[#This Row],[Distance_miles]]</f>
        <v>0.12789898132427843</v>
      </c>
      <c r="N1738" t="str">
        <f>IF(logistics_data[[#This Row],[Orginal staus of shipment]]&lt;&gt;"Delivered","not applicabel", IF(logistics_data[[#This Row],[Transit_Days]]&gt;=5,"slow","fast"))</f>
        <v>slow</v>
      </c>
    </row>
    <row r="1739" spans="1:14" x14ac:dyDescent="0.3">
      <c r="A1739" t="s">
        <v>1785</v>
      </c>
      <c r="B1739" t="s">
        <v>56</v>
      </c>
      <c r="C1739" t="s">
        <v>54</v>
      </c>
      <c r="D1739" t="s">
        <v>42</v>
      </c>
      <c r="E1739" s="1">
        <v>45265</v>
      </c>
      <c r="F1739" s="1">
        <v>45266</v>
      </c>
      <c r="G1739">
        <v>5</v>
      </c>
      <c r="H1739">
        <v>33.880000000000003</v>
      </c>
      <c r="I1739" t="s">
        <v>15</v>
      </c>
      <c r="J1739">
        <v>165</v>
      </c>
      <c r="K1739">
        <v>1</v>
      </c>
      <c r="L1739" t="str">
        <f>IF(logistics_data[[#This Row],[Delivery_Date]]="","In Transit",
 IF(logistics_data[[#This Row],[Status]]="Lost","Lost",
 IF(logistics_data[[#This Row],[Status]]="Returned","Returned",
 IF(logistics_data[[#This Row],[Status]]="Delayed","Delayed",
 "Delivered"))))</f>
        <v>Delivered</v>
      </c>
      <c r="M1739" s="2">
        <f>logistics_data[[#This Row],[Cost]]/logistics_data[[#This Row],[Distance_miles]]</f>
        <v>0.20533333333333334</v>
      </c>
      <c r="N1739" t="str">
        <f>IF(logistics_data[[#This Row],[Orginal staus of shipment]]&lt;&gt;"Delivered","not applicabel", IF(logistics_data[[#This Row],[Transit_Days]]&gt;=5,"slow","fast"))</f>
        <v>fast</v>
      </c>
    </row>
    <row r="1740" spans="1:14" x14ac:dyDescent="0.3">
      <c r="A1740" t="s">
        <v>1786</v>
      </c>
      <c r="B1740" t="s">
        <v>12</v>
      </c>
      <c r="C1740" t="s">
        <v>54</v>
      </c>
      <c r="D1740" t="s">
        <v>32</v>
      </c>
      <c r="E1740" s="1">
        <v>45053</v>
      </c>
      <c r="F1740" s="1">
        <v>45055</v>
      </c>
      <c r="G1740">
        <v>0.2</v>
      </c>
      <c r="H1740">
        <v>88.88</v>
      </c>
      <c r="I1740" t="s">
        <v>15</v>
      </c>
      <c r="J1740">
        <v>403</v>
      </c>
      <c r="K1740">
        <v>2</v>
      </c>
      <c r="L1740" t="str">
        <f>IF(logistics_data[[#This Row],[Delivery_Date]]="","In Transit",
 IF(logistics_data[[#This Row],[Status]]="Lost","Lost",
 IF(logistics_data[[#This Row],[Status]]="Returned","Returned",
 IF(logistics_data[[#This Row],[Status]]="Delayed","Delayed",
 "Delivered"))))</f>
        <v>Delivered</v>
      </c>
      <c r="M1740" s="2">
        <f>logistics_data[[#This Row],[Cost]]/logistics_data[[#This Row],[Distance_miles]]</f>
        <v>0.22054590570719601</v>
      </c>
      <c r="N1740" t="str">
        <f>IF(logistics_data[[#This Row],[Orginal staus of shipment]]&lt;&gt;"Delivered","not applicabel", IF(logistics_data[[#This Row],[Transit_Days]]&gt;=5,"slow","fast"))</f>
        <v>fast</v>
      </c>
    </row>
    <row r="1741" spans="1:14" x14ac:dyDescent="0.3">
      <c r="A1741" t="s">
        <v>1787</v>
      </c>
      <c r="B1741" t="s">
        <v>20</v>
      </c>
      <c r="C1741" t="s">
        <v>52</v>
      </c>
      <c r="D1741" t="s">
        <v>25</v>
      </c>
      <c r="E1741" s="1">
        <v>45139</v>
      </c>
      <c r="F1741" s="1">
        <v>45141</v>
      </c>
      <c r="G1741">
        <v>9.6999999999999993</v>
      </c>
      <c r="H1741">
        <v>60.27</v>
      </c>
      <c r="I1741" t="s">
        <v>15</v>
      </c>
      <c r="J1741">
        <v>373</v>
      </c>
      <c r="K1741">
        <v>2</v>
      </c>
      <c r="L1741" t="str">
        <f>IF(logistics_data[[#This Row],[Delivery_Date]]="","In Transit",
 IF(logistics_data[[#This Row],[Status]]="Lost","Lost",
 IF(logistics_data[[#This Row],[Status]]="Returned","Returned",
 IF(logistics_data[[#This Row],[Status]]="Delayed","Delayed",
 "Delivered"))))</f>
        <v>Delivered</v>
      </c>
      <c r="M1741" s="2">
        <f>logistics_data[[#This Row],[Cost]]/logistics_data[[#This Row],[Distance_miles]]</f>
        <v>0.16158176943699734</v>
      </c>
      <c r="N1741" t="str">
        <f>IF(logistics_data[[#This Row],[Orginal staus of shipment]]&lt;&gt;"Delivered","not applicabel", IF(logistics_data[[#This Row],[Transit_Days]]&gt;=5,"slow","fast"))</f>
        <v>fast</v>
      </c>
    </row>
    <row r="1742" spans="1:14" x14ac:dyDescent="0.3">
      <c r="A1742" t="s">
        <v>1788</v>
      </c>
      <c r="B1742" t="s">
        <v>20</v>
      </c>
      <c r="C1742" t="s">
        <v>31</v>
      </c>
      <c r="D1742" t="s">
        <v>18</v>
      </c>
      <c r="E1742" s="1">
        <v>45034</v>
      </c>
      <c r="F1742" s="1">
        <v>45038</v>
      </c>
      <c r="G1742">
        <v>29.8</v>
      </c>
      <c r="H1742">
        <v>248.19</v>
      </c>
      <c r="I1742" t="s">
        <v>15</v>
      </c>
      <c r="J1742">
        <v>1462</v>
      </c>
      <c r="K1742">
        <v>4</v>
      </c>
      <c r="L1742" t="str">
        <f>IF(logistics_data[[#This Row],[Delivery_Date]]="","In Transit",
 IF(logistics_data[[#This Row],[Status]]="Lost","Lost",
 IF(logistics_data[[#This Row],[Status]]="Returned","Returned",
 IF(logistics_data[[#This Row],[Status]]="Delayed","Delayed",
 "Delivered"))))</f>
        <v>Delivered</v>
      </c>
      <c r="M1742" s="2">
        <f>logistics_data[[#This Row],[Cost]]/logistics_data[[#This Row],[Distance_miles]]</f>
        <v>0.16976060191518469</v>
      </c>
      <c r="N1742" t="str">
        <f>IF(logistics_data[[#This Row],[Orginal staus of shipment]]&lt;&gt;"Delivered","not applicabel", IF(logistics_data[[#This Row],[Transit_Days]]&gt;=5,"slow","fast"))</f>
        <v>fast</v>
      </c>
    </row>
    <row r="1743" spans="1:14" x14ac:dyDescent="0.3">
      <c r="A1743" t="s">
        <v>1789</v>
      </c>
      <c r="B1743" t="s">
        <v>27</v>
      </c>
      <c r="C1743" t="s">
        <v>57</v>
      </c>
      <c r="D1743" t="s">
        <v>59</v>
      </c>
      <c r="E1743" s="1">
        <v>44954</v>
      </c>
      <c r="F1743" s="1">
        <v>44961</v>
      </c>
      <c r="G1743">
        <v>15.7</v>
      </c>
      <c r="H1743">
        <v>199.62</v>
      </c>
      <c r="I1743" t="s">
        <v>15</v>
      </c>
      <c r="J1743">
        <v>1715</v>
      </c>
      <c r="K1743">
        <v>7</v>
      </c>
      <c r="L1743" t="str">
        <f>IF(logistics_data[[#This Row],[Delivery_Date]]="","In Transit",
 IF(logistics_data[[#This Row],[Status]]="Lost","Lost",
 IF(logistics_data[[#This Row],[Status]]="Returned","Returned",
 IF(logistics_data[[#This Row],[Status]]="Delayed","Delayed",
 "Delivered"))))</f>
        <v>Delivered</v>
      </c>
      <c r="M1743" s="2">
        <f>logistics_data[[#This Row],[Cost]]/logistics_data[[#This Row],[Distance_miles]]</f>
        <v>0.11639650145772595</v>
      </c>
      <c r="N1743" t="str">
        <f>IF(logistics_data[[#This Row],[Orginal staus of shipment]]&lt;&gt;"Delivered","not applicabel", IF(logistics_data[[#This Row],[Transit_Days]]&gt;=5,"slow","fast"))</f>
        <v>slow</v>
      </c>
    </row>
    <row r="1744" spans="1:14" x14ac:dyDescent="0.3">
      <c r="A1744" t="s">
        <v>1790</v>
      </c>
      <c r="B1744" t="s">
        <v>51</v>
      </c>
      <c r="C1744" t="s">
        <v>40</v>
      </c>
      <c r="D1744" t="s">
        <v>25</v>
      </c>
      <c r="E1744" s="1">
        <v>44976</v>
      </c>
      <c r="F1744" s="1">
        <v>44981</v>
      </c>
      <c r="G1744">
        <v>55</v>
      </c>
      <c r="H1744">
        <v>282.54000000000002</v>
      </c>
      <c r="I1744" t="s">
        <v>15</v>
      </c>
      <c r="J1744">
        <v>2033</v>
      </c>
      <c r="K1744">
        <v>5</v>
      </c>
      <c r="L1744" t="str">
        <f>IF(logistics_data[[#This Row],[Delivery_Date]]="","In Transit",
 IF(logistics_data[[#This Row],[Status]]="Lost","Lost",
 IF(logistics_data[[#This Row],[Status]]="Returned","Returned",
 IF(logistics_data[[#This Row],[Status]]="Delayed","Delayed",
 "Delivered"))))</f>
        <v>Delivered</v>
      </c>
      <c r="M1744" s="2">
        <f>logistics_data[[#This Row],[Cost]]/logistics_data[[#This Row],[Distance_miles]]</f>
        <v>0.13897688145597639</v>
      </c>
      <c r="N1744" t="str">
        <f>IF(logistics_data[[#This Row],[Orginal staus of shipment]]&lt;&gt;"Delivered","not applicabel", IF(logistics_data[[#This Row],[Transit_Days]]&gt;=5,"slow","fast"))</f>
        <v>slow</v>
      </c>
    </row>
    <row r="1745" spans="1:14" x14ac:dyDescent="0.3">
      <c r="A1745" t="s">
        <v>1791</v>
      </c>
      <c r="B1745" t="s">
        <v>12</v>
      </c>
      <c r="C1745" t="s">
        <v>52</v>
      </c>
      <c r="D1745" t="s">
        <v>37</v>
      </c>
      <c r="E1745" s="1">
        <v>45263</v>
      </c>
      <c r="F1745" s="1">
        <v>45281</v>
      </c>
      <c r="G1745">
        <v>31.4</v>
      </c>
      <c r="H1745">
        <v>226.08</v>
      </c>
      <c r="I1745" t="s">
        <v>47</v>
      </c>
      <c r="J1745">
        <v>1430</v>
      </c>
      <c r="K1745">
        <v>5</v>
      </c>
      <c r="L1745" t="str">
        <f>IF(logistics_data[[#This Row],[Delivery_Date]]="","In Transit",
 IF(logistics_data[[#This Row],[Status]]="Lost","Lost",
 IF(logistics_data[[#This Row],[Status]]="Returned","Returned",
 IF(logistics_data[[#This Row],[Status]]="Delayed","Delayed",
 "Delivered"))))</f>
        <v>Delayed</v>
      </c>
      <c r="M1745" s="2">
        <f>logistics_data[[#This Row],[Cost]]/logistics_data[[#This Row],[Distance_miles]]</f>
        <v>0.15809790209790212</v>
      </c>
      <c r="N1745" t="str">
        <f>IF(logistics_data[[#This Row],[Orginal staus of shipment]]&lt;&gt;"Delivered","not applicabel", IF(logistics_data[[#This Row],[Transit_Days]]&gt;=5,"slow","fast"))</f>
        <v>not applicabel</v>
      </c>
    </row>
    <row r="1746" spans="1:14" x14ac:dyDescent="0.3">
      <c r="A1746" t="s">
        <v>1792</v>
      </c>
      <c r="B1746" t="s">
        <v>30</v>
      </c>
      <c r="C1746" t="s">
        <v>28</v>
      </c>
      <c r="D1746" t="s">
        <v>42</v>
      </c>
      <c r="E1746" s="1">
        <v>45197</v>
      </c>
      <c r="F1746" s="1">
        <v>45201</v>
      </c>
      <c r="G1746">
        <v>54.2</v>
      </c>
      <c r="H1746">
        <v>240.9</v>
      </c>
      <c r="I1746" t="s">
        <v>15</v>
      </c>
      <c r="J1746">
        <v>1309</v>
      </c>
      <c r="K1746">
        <v>4</v>
      </c>
      <c r="L1746" t="str">
        <f>IF(logistics_data[[#This Row],[Delivery_Date]]="","In Transit",
 IF(logistics_data[[#This Row],[Status]]="Lost","Lost",
 IF(logistics_data[[#This Row],[Status]]="Returned","Returned",
 IF(logistics_data[[#This Row],[Status]]="Delayed","Delayed",
 "Delivered"))))</f>
        <v>Delivered</v>
      </c>
      <c r="M1746" s="2">
        <f>logistics_data[[#This Row],[Cost]]/logistics_data[[#This Row],[Distance_miles]]</f>
        <v>0.18403361344537816</v>
      </c>
      <c r="N1746" t="str">
        <f>IF(logistics_data[[#This Row],[Orginal staus of shipment]]&lt;&gt;"Delivered","not applicabel", IF(logistics_data[[#This Row],[Transit_Days]]&gt;=5,"slow","fast"))</f>
        <v>fast</v>
      </c>
    </row>
    <row r="1747" spans="1:14" x14ac:dyDescent="0.3">
      <c r="A1747" t="s">
        <v>1793</v>
      </c>
      <c r="B1747" t="s">
        <v>39</v>
      </c>
      <c r="C1747" t="s">
        <v>46</v>
      </c>
      <c r="D1747" t="s">
        <v>59</v>
      </c>
      <c r="E1747" s="1">
        <v>45166</v>
      </c>
      <c r="F1747" s="1">
        <v>45171</v>
      </c>
      <c r="G1747">
        <v>54.6</v>
      </c>
      <c r="H1747">
        <v>185.97</v>
      </c>
      <c r="I1747" t="s">
        <v>15</v>
      </c>
      <c r="J1747">
        <v>942</v>
      </c>
      <c r="K1747">
        <v>5</v>
      </c>
      <c r="L1747" t="str">
        <f>IF(logistics_data[[#This Row],[Delivery_Date]]="","In Transit",
 IF(logistics_data[[#This Row],[Status]]="Lost","Lost",
 IF(logistics_data[[#This Row],[Status]]="Returned","Returned",
 IF(logistics_data[[#This Row],[Status]]="Delayed","Delayed",
 "Delivered"))))</f>
        <v>Delivered</v>
      </c>
      <c r="M1747" s="2">
        <f>logistics_data[[#This Row],[Cost]]/logistics_data[[#This Row],[Distance_miles]]</f>
        <v>0.19742038216560509</v>
      </c>
      <c r="N1747" t="str">
        <f>IF(logistics_data[[#This Row],[Orginal staus of shipment]]&lt;&gt;"Delivered","not applicabel", IF(logistics_data[[#This Row],[Transit_Days]]&gt;=5,"slow","fast"))</f>
        <v>slow</v>
      </c>
    </row>
    <row r="1748" spans="1:14" x14ac:dyDescent="0.3">
      <c r="A1748" t="s">
        <v>1794</v>
      </c>
      <c r="B1748" t="s">
        <v>20</v>
      </c>
      <c r="C1748" t="s">
        <v>24</v>
      </c>
      <c r="D1748" t="s">
        <v>59</v>
      </c>
      <c r="E1748" s="1">
        <v>45286</v>
      </c>
      <c r="F1748" s="1">
        <v>45294</v>
      </c>
      <c r="G1748">
        <v>46.8</v>
      </c>
      <c r="H1748">
        <v>230.72</v>
      </c>
      <c r="I1748" t="s">
        <v>47</v>
      </c>
      <c r="J1748">
        <v>1135</v>
      </c>
      <c r="K1748">
        <v>3</v>
      </c>
      <c r="L1748" t="str">
        <f>IF(logistics_data[[#This Row],[Delivery_Date]]="","In Transit",
 IF(logistics_data[[#This Row],[Status]]="Lost","Lost",
 IF(logistics_data[[#This Row],[Status]]="Returned","Returned",
 IF(logistics_data[[#This Row],[Status]]="Delayed","Delayed",
 "Delivered"))))</f>
        <v>Delayed</v>
      </c>
      <c r="M1748" s="2">
        <f>logistics_data[[#This Row],[Cost]]/logistics_data[[#This Row],[Distance_miles]]</f>
        <v>0.20327753303964757</v>
      </c>
      <c r="N1748" t="str">
        <f>IF(logistics_data[[#This Row],[Orginal staus of shipment]]&lt;&gt;"Delivered","not applicabel", IF(logistics_data[[#This Row],[Transit_Days]]&gt;=5,"slow","fast"))</f>
        <v>not applicabel</v>
      </c>
    </row>
    <row r="1749" spans="1:14" x14ac:dyDescent="0.3">
      <c r="A1749" t="s">
        <v>1795</v>
      </c>
      <c r="B1749" t="s">
        <v>27</v>
      </c>
      <c r="C1749" t="s">
        <v>36</v>
      </c>
      <c r="D1749" t="s">
        <v>59</v>
      </c>
      <c r="E1749" s="1">
        <v>45164</v>
      </c>
      <c r="F1749" s="1">
        <v>45168</v>
      </c>
      <c r="G1749">
        <v>36.700000000000003</v>
      </c>
      <c r="H1749">
        <v>163.13999999999999</v>
      </c>
      <c r="I1749" t="s">
        <v>15</v>
      </c>
      <c r="J1749">
        <v>1070</v>
      </c>
      <c r="K1749">
        <v>4</v>
      </c>
      <c r="L1749" t="str">
        <f>IF(logistics_data[[#This Row],[Delivery_Date]]="","In Transit",
 IF(logistics_data[[#This Row],[Status]]="Lost","Lost",
 IF(logistics_data[[#This Row],[Status]]="Returned","Returned",
 IF(logistics_data[[#This Row],[Status]]="Delayed","Delayed",
 "Delivered"))))</f>
        <v>Delivered</v>
      </c>
      <c r="M1749" s="2">
        <f>logistics_data[[#This Row],[Cost]]/logistics_data[[#This Row],[Distance_miles]]</f>
        <v>0.15246728971962614</v>
      </c>
      <c r="N1749" t="str">
        <f>IF(logistics_data[[#This Row],[Orginal staus of shipment]]&lt;&gt;"Delivered","not applicabel", IF(logistics_data[[#This Row],[Transit_Days]]&gt;=5,"slow","fast"))</f>
        <v>fast</v>
      </c>
    </row>
    <row r="1750" spans="1:14" x14ac:dyDescent="0.3">
      <c r="A1750" t="s">
        <v>1796</v>
      </c>
      <c r="B1750" t="s">
        <v>30</v>
      </c>
      <c r="C1750" t="s">
        <v>13</v>
      </c>
      <c r="D1750" t="s">
        <v>14</v>
      </c>
      <c r="E1750" s="1">
        <v>45064</v>
      </c>
      <c r="F1750" s="1">
        <v>45069</v>
      </c>
      <c r="G1750">
        <v>20.9</v>
      </c>
      <c r="H1750">
        <v>267.89</v>
      </c>
      <c r="I1750" t="s">
        <v>15</v>
      </c>
      <c r="J1750">
        <v>2032</v>
      </c>
      <c r="K1750">
        <v>5</v>
      </c>
      <c r="L1750" t="str">
        <f>IF(logistics_data[[#This Row],[Delivery_Date]]="","In Transit",
 IF(logistics_data[[#This Row],[Status]]="Lost","Lost",
 IF(logistics_data[[#This Row],[Status]]="Returned","Returned",
 IF(logistics_data[[#This Row],[Status]]="Delayed","Delayed",
 "Delivered"))))</f>
        <v>Delivered</v>
      </c>
      <c r="M1750" s="2">
        <f>logistics_data[[#This Row],[Cost]]/logistics_data[[#This Row],[Distance_miles]]</f>
        <v>0.13183562992125983</v>
      </c>
      <c r="N1750" t="str">
        <f>IF(logistics_data[[#This Row],[Orginal staus of shipment]]&lt;&gt;"Delivered","not applicabel", IF(logistics_data[[#This Row],[Transit_Days]]&gt;=5,"slow","fast"))</f>
        <v>slow</v>
      </c>
    </row>
    <row r="1751" spans="1:14" x14ac:dyDescent="0.3">
      <c r="A1751" t="s">
        <v>1797</v>
      </c>
      <c r="B1751" t="s">
        <v>51</v>
      </c>
      <c r="C1751" t="s">
        <v>36</v>
      </c>
      <c r="D1751" t="s">
        <v>32</v>
      </c>
      <c r="E1751" s="1">
        <v>45022</v>
      </c>
      <c r="F1751" s="1">
        <v>45028</v>
      </c>
      <c r="G1751">
        <v>6.6</v>
      </c>
      <c r="H1751">
        <v>297.63</v>
      </c>
      <c r="I1751" t="s">
        <v>15</v>
      </c>
      <c r="J1751">
        <v>2132</v>
      </c>
      <c r="K1751">
        <v>6</v>
      </c>
      <c r="L1751" t="str">
        <f>IF(logistics_data[[#This Row],[Delivery_Date]]="","In Transit",
 IF(logistics_data[[#This Row],[Status]]="Lost","Lost",
 IF(logistics_data[[#This Row],[Status]]="Returned","Returned",
 IF(logistics_data[[#This Row],[Status]]="Delayed","Delayed",
 "Delivered"))))</f>
        <v>Delivered</v>
      </c>
      <c r="M1751" s="2">
        <f>logistics_data[[#This Row],[Cost]]/logistics_data[[#This Row],[Distance_miles]]</f>
        <v>0.13960131332082551</v>
      </c>
      <c r="N1751" t="str">
        <f>IF(logistics_data[[#This Row],[Orginal staus of shipment]]&lt;&gt;"Delivered","not applicabel", IF(logistics_data[[#This Row],[Transit_Days]]&gt;=5,"slow","fast"))</f>
        <v>slow</v>
      </c>
    </row>
    <row r="1752" spans="1:14" x14ac:dyDescent="0.3">
      <c r="A1752" t="s">
        <v>1798</v>
      </c>
      <c r="B1752" t="s">
        <v>30</v>
      </c>
      <c r="C1752" t="s">
        <v>24</v>
      </c>
      <c r="D1752" t="s">
        <v>42</v>
      </c>
      <c r="E1752" s="1">
        <v>45236</v>
      </c>
      <c r="F1752" s="1">
        <v>45239</v>
      </c>
      <c r="G1752">
        <v>12.4</v>
      </c>
      <c r="H1752">
        <v>167.33</v>
      </c>
      <c r="I1752" t="s">
        <v>60</v>
      </c>
      <c r="J1752">
        <v>1030</v>
      </c>
      <c r="K1752">
        <v>3</v>
      </c>
      <c r="L1752" t="str">
        <f>IF(logistics_data[[#This Row],[Delivery_Date]]="","In Transit",
 IF(logistics_data[[#This Row],[Status]]="Lost","Lost",
 IF(logistics_data[[#This Row],[Status]]="Returned","Returned",
 IF(logistics_data[[#This Row],[Status]]="Delayed","Delayed",
 "Delivered"))))</f>
        <v>Lost</v>
      </c>
      <c r="M1752" s="2">
        <f>logistics_data[[#This Row],[Cost]]/logistics_data[[#This Row],[Distance_miles]]</f>
        <v>0.16245631067961167</v>
      </c>
      <c r="N1752" t="str">
        <f>IF(logistics_data[[#This Row],[Orginal staus of shipment]]&lt;&gt;"Delivered","not applicabel", IF(logistics_data[[#This Row],[Transit_Days]]&gt;=5,"slow","fast"))</f>
        <v>not applicabel</v>
      </c>
    </row>
    <row r="1753" spans="1:14" x14ac:dyDescent="0.3">
      <c r="A1753" t="s">
        <v>1799</v>
      </c>
      <c r="B1753" t="s">
        <v>23</v>
      </c>
      <c r="C1753" t="s">
        <v>28</v>
      </c>
      <c r="D1753" t="s">
        <v>42</v>
      </c>
      <c r="E1753" s="1">
        <v>45141</v>
      </c>
      <c r="F1753" s="1">
        <v>45146</v>
      </c>
      <c r="G1753">
        <v>20.2</v>
      </c>
      <c r="I1753" t="s">
        <v>15</v>
      </c>
      <c r="J1753">
        <v>1360</v>
      </c>
      <c r="K1753">
        <v>5</v>
      </c>
      <c r="L1753" t="str">
        <f>IF(logistics_data[[#This Row],[Delivery_Date]]="","In Transit",
 IF(logistics_data[[#This Row],[Status]]="Lost","Lost",
 IF(logistics_data[[#This Row],[Status]]="Returned","Returned",
 IF(logistics_data[[#This Row],[Status]]="Delayed","Delayed",
 "Delivered"))))</f>
        <v>Delivered</v>
      </c>
      <c r="M1753" s="2">
        <f>logistics_data[[#This Row],[Cost]]/logistics_data[[#This Row],[Distance_miles]]</f>
        <v>0</v>
      </c>
      <c r="N1753" t="str">
        <f>IF(logistics_data[[#This Row],[Orginal staus of shipment]]&lt;&gt;"Delivered","not applicabel", IF(logistics_data[[#This Row],[Transit_Days]]&gt;=5,"slow","fast"))</f>
        <v>slow</v>
      </c>
    </row>
    <row r="1754" spans="1:14" x14ac:dyDescent="0.3">
      <c r="A1754" t="s">
        <v>1800</v>
      </c>
      <c r="B1754" t="s">
        <v>56</v>
      </c>
      <c r="C1754" t="s">
        <v>52</v>
      </c>
      <c r="D1754" t="s">
        <v>37</v>
      </c>
      <c r="E1754" s="1">
        <v>45233</v>
      </c>
      <c r="F1754" s="1">
        <v>45236</v>
      </c>
      <c r="G1754">
        <v>40.299999999999997</v>
      </c>
      <c r="H1754">
        <v>158.18</v>
      </c>
      <c r="I1754" t="s">
        <v>15</v>
      </c>
      <c r="J1754">
        <v>645</v>
      </c>
      <c r="K1754">
        <v>3</v>
      </c>
      <c r="L1754" t="str">
        <f>IF(logistics_data[[#This Row],[Delivery_Date]]="","In Transit",
 IF(logistics_data[[#This Row],[Status]]="Lost","Lost",
 IF(logistics_data[[#This Row],[Status]]="Returned","Returned",
 IF(logistics_data[[#This Row],[Status]]="Delayed","Delayed",
 "Delivered"))))</f>
        <v>Delivered</v>
      </c>
      <c r="M1754" s="2">
        <f>logistics_data[[#This Row],[Cost]]/logistics_data[[#This Row],[Distance_miles]]</f>
        <v>0.2452403100775194</v>
      </c>
      <c r="N1754" t="str">
        <f>IF(logistics_data[[#This Row],[Orginal staus of shipment]]&lt;&gt;"Delivered","not applicabel", IF(logistics_data[[#This Row],[Transit_Days]]&gt;=5,"slow","fast"))</f>
        <v>fast</v>
      </c>
    </row>
    <row r="1755" spans="1:14" x14ac:dyDescent="0.3">
      <c r="A1755" t="s">
        <v>1801</v>
      </c>
      <c r="B1755" t="s">
        <v>27</v>
      </c>
      <c r="C1755" t="s">
        <v>81</v>
      </c>
      <c r="D1755" t="s">
        <v>59</v>
      </c>
      <c r="E1755" s="1">
        <v>45219</v>
      </c>
      <c r="F1755" s="1">
        <v>45236</v>
      </c>
      <c r="G1755">
        <v>12.4</v>
      </c>
      <c r="H1755">
        <v>256.57</v>
      </c>
      <c r="I1755" t="s">
        <v>47</v>
      </c>
      <c r="J1755">
        <v>2179</v>
      </c>
      <c r="K1755">
        <v>6</v>
      </c>
      <c r="L1755" t="str">
        <f>IF(logistics_data[[#This Row],[Delivery_Date]]="","In Transit",
 IF(logistics_data[[#This Row],[Status]]="Lost","Lost",
 IF(logistics_data[[#This Row],[Status]]="Returned","Returned",
 IF(logistics_data[[#This Row],[Status]]="Delayed","Delayed",
 "Delivered"))))</f>
        <v>Delayed</v>
      </c>
      <c r="M1755" s="2">
        <f>logistics_data[[#This Row],[Cost]]/logistics_data[[#This Row],[Distance_miles]]</f>
        <v>0.1177466727856815</v>
      </c>
      <c r="N1755" t="str">
        <f>IF(logistics_data[[#This Row],[Orginal staus of shipment]]&lt;&gt;"Delivered","not applicabel", IF(logistics_data[[#This Row],[Transit_Days]]&gt;=5,"slow","fast"))</f>
        <v>not applicabel</v>
      </c>
    </row>
    <row r="1756" spans="1:14" x14ac:dyDescent="0.3">
      <c r="A1756" t="s">
        <v>1802</v>
      </c>
      <c r="B1756" t="s">
        <v>49</v>
      </c>
      <c r="C1756" t="s">
        <v>44</v>
      </c>
      <c r="D1756" t="s">
        <v>18</v>
      </c>
      <c r="E1756" s="1">
        <v>44975</v>
      </c>
      <c r="F1756" s="1">
        <v>44977</v>
      </c>
      <c r="G1756">
        <v>22.2</v>
      </c>
      <c r="H1756">
        <v>83.4</v>
      </c>
      <c r="I1756" t="s">
        <v>67</v>
      </c>
      <c r="J1756">
        <v>368</v>
      </c>
      <c r="K1756">
        <v>2</v>
      </c>
      <c r="L1756" t="str">
        <f>IF(logistics_data[[#This Row],[Delivery_Date]]="","In Transit",
 IF(logistics_data[[#This Row],[Status]]="Lost","Lost",
 IF(logistics_data[[#This Row],[Status]]="Returned","Returned",
 IF(logistics_data[[#This Row],[Status]]="Delayed","Delayed",
 "Delivered"))))</f>
        <v>Returned</v>
      </c>
      <c r="M1756" s="2">
        <f>logistics_data[[#This Row],[Cost]]/logistics_data[[#This Row],[Distance_miles]]</f>
        <v>0.22663043478260872</v>
      </c>
      <c r="N1756" t="str">
        <f>IF(logistics_data[[#This Row],[Orginal staus of shipment]]&lt;&gt;"Delivered","not applicabel", IF(logistics_data[[#This Row],[Transit_Days]]&gt;=5,"slow","fast"))</f>
        <v>not applicabel</v>
      </c>
    </row>
    <row r="1757" spans="1:14" x14ac:dyDescent="0.3">
      <c r="A1757" t="s">
        <v>1803</v>
      </c>
      <c r="B1757" t="s">
        <v>27</v>
      </c>
      <c r="C1757" t="s">
        <v>52</v>
      </c>
      <c r="D1757" t="s">
        <v>59</v>
      </c>
      <c r="E1757" s="1">
        <v>45046</v>
      </c>
      <c r="F1757" s="1">
        <v>45051</v>
      </c>
      <c r="G1757">
        <v>24.6</v>
      </c>
      <c r="H1757">
        <v>171.1</v>
      </c>
      <c r="I1757" t="s">
        <v>15</v>
      </c>
      <c r="J1757">
        <v>1225</v>
      </c>
      <c r="K1757">
        <v>5</v>
      </c>
      <c r="L1757" t="str">
        <f>IF(logistics_data[[#This Row],[Delivery_Date]]="","In Transit",
 IF(logistics_data[[#This Row],[Status]]="Lost","Lost",
 IF(logistics_data[[#This Row],[Status]]="Returned","Returned",
 IF(logistics_data[[#This Row],[Status]]="Delayed","Delayed",
 "Delivered"))))</f>
        <v>Delivered</v>
      </c>
      <c r="M1757" s="2">
        <f>logistics_data[[#This Row],[Cost]]/logistics_data[[#This Row],[Distance_miles]]</f>
        <v>0.1396734693877551</v>
      </c>
      <c r="N1757" t="str">
        <f>IF(logistics_data[[#This Row],[Orginal staus of shipment]]&lt;&gt;"Delivered","not applicabel", IF(logistics_data[[#This Row],[Transit_Days]]&gt;=5,"slow","fast"))</f>
        <v>slow</v>
      </c>
    </row>
    <row r="1758" spans="1:14" x14ac:dyDescent="0.3">
      <c r="A1758" t="s">
        <v>1804</v>
      </c>
      <c r="B1758" t="s">
        <v>20</v>
      </c>
      <c r="C1758" t="s">
        <v>52</v>
      </c>
      <c r="D1758" t="s">
        <v>25</v>
      </c>
      <c r="E1758" s="1">
        <v>45123</v>
      </c>
      <c r="F1758" s="1">
        <v>45124</v>
      </c>
      <c r="G1758">
        <v>94</v>
      </c>
      <c r="H1758">
        <v>143.19999999999999</v>
      </c>
      <c r="I1758" t="s">
        <v>15</v>
      </c>
      <c r="J1758">
        <v>373</v>
      </c>
      <c r="K1758">
        <v>1</v>
      </c>
      <c r="L1758" t="str">
        <f>IF(logistics_data[[#This Row],[Delivery_Date]]="","In Transit",
 IF(logistics_data[[#This Row],[Status]]="Lost","Lost",
 IF(logistics_data[[#This Row],[Status]]="Returned","Returned",
 IF(logistics_data[[#This Row],[Status]]="Delayed","Delayed",
 "Delivered"))))</f>
        <v>Delivered</v>
      </c>
      <c r="M1758" s="2">
        <f>logistics_data[[#This Row],[Cost]]/logistics_data[[#This Row],[Distance_miles]]</f>
        <v>0.38391420911528146</v>
      </c>
      <c r="N1758" t="str">
        <f>IF(logistics_data[[#This Row],[Orginal staus of shipment]]&lt;&gt;"Delivered","not applicabel", IF(logistics_data[[#This Row],[Transit_Days]]&gt;=5,"slow","fast"))</f>
        <v>fast</v>
      </c>
    </row>
    <row r="1759" spans="1:14" x14ac:dyDescent="0.3">
      <c r="A1759" t="s">
        <v>1805</v>
      </c>
      <c r="B1759" t="s">
        <v>30</v>
      </c>
      <c r="C1759" t="s">
        <v>81</v>
      </c>
      <c r="D1759" t="s">
        <v>32</v>
      </c>
      <c r="E1759" s="1">
        <v>45204</v>
      </c>
      <c r="F1759" s="1">
        <v>45209</v>
      </c>
      <c r="G1759">
        <v>59.3</v>
      </c>
      <c r="H1759">
        <v>388.44</v>
      </c>
      <c r="I1759" t="s">
        <v>15</v>
      </c>
      <c r="J1759">
        <v>2161</v>
      </c>
      <c r="K1759">
        <v>5</v>
      </c>
      <c r="L1759" t="str">
        <f>IF(logistics_data[[#This Row],[Delivery_Date]]="","In Transit",
 IF(logistics_data[[#This Row],[Status]]="Lost","Lost",
 IF(logistics_data[[#This Row],[Status]]="Returned","Returned",
 IF(logistics_data[[#This Row],[Status]]="Delayed","Delayed",
 "Delivered"))))</f>
        <v>Delivered</v>
      </c>
      <c r="M1759" s="2">
        <f>logistics_data[[#This Row],[Cost]]/logistics_data[[#This Row],[Distance_miles]]</f>
        <v>0.17975011568718186</v>
      </c>
      <c r="N1759" t="str">
        <f>IF(logistics_data[[#This Row],[Orginal staus of shipment]]&lt;&gt;"Delivered","not applicabel", IF(logistics_data[[#This Row],[Transit_Days]]&gt;=5,"slow","fast"))</f>
        <v>slow</v>
      </c>
    </row>
    <row r="1760" spans="1:14" x14ac:dyDescent="0.3">
      <c r="A1760" t="s">
        <v>1806</v>
      </c>
      <c r="B1760" t="s">
        <v>23</v>
      </c>
      <c r="C1760" t="s">
        <v>24</v>
      </c>
      <c r="D1760" t="s">
        <v>14</v>
      </c>
      <c r="E1760" s="1">
        <v>45082</v>
      </c>
      <c r="F1760" s="1">
        <v>45084</v>
      </c>
      <c r="G1760">
        <v>13.1</v>
      </c>
      <c r="H1760">
        <v>85.44</v>
      </c>
      <c r="I1760" t="s">
        <v>15</v>
      </c>
      <c r="J1760">
        <v>610</v>
      </c>
      <c r="K1760">
        <v>2</v>
      </c>
      <c r="L1760" t="str">
        <f>IF(logistics_data[[#This Row],[Delivery_Date]]="","In Transit",
 IF(logistics_data[[#This Row],[Status]]="Lost","Lost",
 IF(logistics_data[[#This Row],[Status]]="Returned","Returned",
 IF(logistics_data[[#This Row],[Status]]="Delayed","Delayed",
 "Delivered"))))</f>
        <v>Delivered</v>
      </c>
      <c r="M1760" s="2">
        <f>logistics_data[[#This Row],[Cost]]/logistics_data[[#This Row],[Distance_miles]]</f>
        <v>0.14006557377049181</v>
      </c>
      <c r="N1760" t="str">
        <f>IF(logistics_data[[#This Row],[Orginal staus of shipment]]&lt;&gt;"Delivered","not applicabel", IF(logistics_data[[#This Row],[Transit_Days]]&gt;=5,"slow","fast"))</f>
        <v>fast</v>
      </c>
    </row>
    <row r="1761" spans="1:14" x14ac:dyDescent="0.3">
      <c r="A1761" t="s">
        <v>1807</v>
      </c>
      <c r="B1761" t="s">
        <v>49</v>
      </c>
      <c r="C1761" t="s">
        <v>70</v>
      </c>
      <c r="D1761" t="s">
        <v>32</v>
      </c>
      <c r="E1761" s="1">
        <v>45122</v>
      </c>
      <c r="F1761" s="1">
        <v>45125</v>
      </c>
      <c r="G1761">
        <v>20</v>
      </c>
      <c r="H1761">
        <v>140.66</v>
      </c>
      <c r="I1761" t="s">
        <v>15</v>
      </c>
      <c r="J1761">
        <v>847</v>
      </c>
      <c r="K1761">
        <v>3</v>
      </c>
      <c r="L1761" t="str">
        <f>IF(logistics_data[[#This Row],[Delivery_Date]]="","In Transit",
 IF(logistics_data[[#This Row],[Status]]="Lost","Lost",
 IF(logistics_data[[#This Row],[Status]]="Returned","Returned",
 IF(logistics_data[[#This Row],[Status]]="Delayed","Delayed",
 "Delivered"))))</f>
        <v>Delivered</v>
      </c>
      <c r="M1761" s="2">
        <f>logistics_data[[#This Row],[Cost]]/logistics_data[[#This Row],[Distance_miles]]</f>
        <v>0.16606847697756788</v>
      </c>
      <c r="N1761" t="str">
        <f>IF(logistics_data[[#This Row],[Orginal staus of shipment]]&lt;&gt;"Delivered","not applicabel", IF(logistics_data[[#This Row],[Transit_Days]]&gt;=5,"slow","fast"))</f>
        <v>fast</v>
      </c>
    </row>
    <row r="1762" spans="1:14" x14ac:dyDescent="0.3">
      <c r="A1762" t="s">
        <v>1808</v>
      </c>
      <c r="B1762" t="s">
        <v>49</v>
      </c>
      <c r="C1762" t="s">
        <v>57</v>
      </c>
      <c r="D1762" t="s">
        <v>37</v>
      </c>
      <c r="E1762" s="1">
        <v>45105</v>
      </c>
      <c r="F1762" s="1">
        <v>45113</v>
      </c>
      <c r="G1762">
        <v>49.4</v>
      </c>
      <c r="H1762">
        <v>333.09</v>
      </c>
      <c r="I1762" t="s">
        <v>15</v>
      </c>
      <c r="J1762">
        <v>2256</v>
      </c>
      <c r="K1762">
        <v>8</v>
      </c>
      <c r="L1762" t="str">
        <f>IF(logistics_data[[#This Row],[Delivery_Date]]="","In Transit",
 IF(logistics_data[[#This Row],[Status]]="Lost","Lost",
 IF(logistics_data[[#This Row],[Status]]="Returned","Returned",
 IF(logistics_data[[#This Row],[Status]]="Delayed","Delayed",
 "Delivered"))))</f>
        <v>Delivered</v>
      </c>
      <c r="M1762" s="2">
        <f>logistics_data[[#This Row],[Cost]]/logistics_data[[#This Row],[Distance_miles]]</f>
        <v>0.14764627659574467</v>
      </c>
      <c r="N1762" t="str">
        <f>IF(logistics_data[[#This Row],[Orginal staus of shipment]]&lt;&gt;"Delivered","not applicabel", IF(logistics_data[[#This Row],[Transit_Days]]&gt;=5,"slow","fast"))</f>
        <v>slow</v>
      </c>
    </row>
    <row r="1763" spans="1:14" x14ac:dyDescent="0.3">
      <c r="A1763" t="s">
        <v>1809</v>
      </c>
      <c r="B1763" t="s">
        <v>56</v>
      </c>
      <c r="C1763" t="s">
        <v>57</v>
      </c>
      <c r="D1763" t="s">
        <v>25</v>
      </c>
      <c r="E1763" s="1">
        <v>45219</v>
      </c>
      <c r="F1763" s="1">
        <v>45223</v>
      </c>
      <c r="G1763">
        <v>23.5</v>
      </c>
      <c r="H1763">
        <v>194.11</v>
      </c>
      <c r="I1763" t="s">
        <v>15</v>
      </c>
      <c r="J1763">
        <v>1324</v>
      </c>
      <c r="K1763">
        <v>4</v>
      </c>
      <c r="L1763" t="str">
        <f>IF(logistics_data[[#This Row],[Delivery_Date]]="","In Transit",
 IF(logistics_data[[#This Row],[Status]]="Lost","Lost",
 IF(logistics_data[[#This Row],[Status]]="Returned","Returned",
 IF(logistics_data[[#This Row],[Status]]="Delayed","Delayed",
 "Delivered"))))</f>
        <v>Delivered</v>
      </c>
      <c r="M1763" s="2">
        <f>logistics_data[[#This Row],[Cost]]/logistics_data[[#This Row],[Distance_miles]]</f>
        <v>0.14660876132930514</v>
      </c>
      <c r="N1763" t="str">
        <f>IF(logistics_data[[#This Row],[Orginal staus of shipment]]&lt;&gt;"Delivered","not applicabel", IF(logistics_data[[#This Row],[Transit_Days]]&gt;=5,"slow","fast"))</f>
        <v>fast</v>
      </c>
    </row>
    <row r="1764" spans="1:14" x14ac:dyDescent="0.3">
      <c r="A1764" t="s">
        <v>1810</v>
      </c>
      <c r="B1764" t="s">
        <v>35</v>
      </c>
      <c r="C1764" t="s">
        <v>44</v>
      </c>
      <c r="D1764" t="s">
        <v>59</v>
      </c>
      <c r="E1764" s="1">
        <v>45077</v>
      </c>
      <c r="F1764" s="1">
        <v>45082</v>
      </c>
      <c r="G1764">
        <v>85.1</v>
      </c>
      <c r="H1764">
        <v>391.46</v>
      </c>
      <c r="I1764" t="s">
        <v>15</v>
      </c>
      <c r="J1764">
        <v>2467</v>
      </c>
      <c r="K1764">
        <v>5</v>
      </c>
      <c r="L1764" t="str">
        <f>IF(logistics_data[[#This Row],[Delivery_Date]]="","In Transit",
 IF(logistics_data[[#This Row],[Status]]="Lost","Lost",
 IF(logistics_data[[#This Row],[Status]]="Returned","Returned",
 IF(logistics_data[[#This Row],[Status]]="Delayed","Delayed",
 "Delivered"))))</f>
        <v>Delivered</v>
      </c>
      <c r="M1764" s="2">
        <f>logistics_data[[#This Row],[Cost]]/logistics_data[[#This Row],[Distance_miles]]</f>
        <v>0.15867855695176328</v>
      </c>
      <c r="N1764" t="str">
        <f>IF(logistics_data[[#This Row],[Orginal staus of shipment]]&lt;&gt;"Delivered","not applicabel", IF(logistics_data[[#This Row],[Transit_Days]]&gt;=5,"slow","fast"))</f>
        <v>slow</v>
      </c>
    </row>
    <row r="1765" spans="1:14" x14ac:dyDescent="0.3">
      <c r="A1765" t="s">
        <v>1811</v>
      </c>
      <c r="B1765" t="s">
        <v>20</v>
      </c>
      <c r="C1765" t="s">
        <v>81</v>
      </c>
      <c r="D1765" t="s">
        <v>42</v>
      </c>
      <c r="E1765" s="1">
        <v>45070</v>
      </c>
      <c r="F1765" s="1">
        <v>45074</v>
      </c>
      <c r="G1765">
        <v>41.4</v>
      </c>
      <c r="H1765">
        <v>251.14</v>
      </c>
      <c r="I1765" t="s">
        <v>15</v>
      </c>
      <c r="J1765">
        <v>1801</v>
      </c>
      <c r="K1765">
        <v>4</v>
      </c>
      <c r="L1765" t="str">
        <f>IF(logistics_data[[#This Row],[Delivery_Date]]="","In Transit",
 IF(logistics_data[[#This Row],[Status]]="Lost","Lost",
 IF(logistics_data[[#This Row],[Status]]="Returned","Returned",
 IF(logistics_data[[#This Row],[Status]]="Delayed","Delayed",
 "Delivered"))))</f>
        <v>Delivered</v>
      </c>
      <c r="M1765" s="2">
        <f>logistics_data[[#This Row],[Cost]]/logistics_data[[#This Row],[Distance_miles]]</f>
        <v>0.13944475291504718</v>
      </c>
      <c r="N1765" t="str">
        <f>IF(logistics_data[[#This Row],[Orginal staus of shipment]]&lt;&gt;"Delivered","not applicabel", IF(logistics_data[[#This Row],[Transit_Days]]&gt;=5,"slow","fast"))</f>
        <v>fast</v>
      </c>
    </row>
    <row r="1766" spans="1:14" x14ac:dyDescent="0.3">
      <c r="A1766" t="s">
        <v>1812</v>
      </c>
      <c r="B1766" t="s">
        <v>27</v>
      </c>
      <c r="C1766" t="s">
        <v>24</v>
      </c>
      <c r="D1766" t="s">
        <v>32</v>
      </c>
      <c r="E1766" s="1">
        <v>45181</v>
      </c>
      <c r="F1766" s="1">
        <v>45184</v>
      </c>
      <c r="G1766">
        <v>5.3</v>
      </c>
      <c r="H1766">
        <v>76.55</v>
      </c>
      <c r="I1766" t="s">
        <v>15</v>
      </c>
      <c r="J1766">
        <v>559</v>
      </c>
      <c r="K1766">
        <v>3</v>
      </c>
      <c r="L1766" t="str">
        <f>IF(logistics_data[[#This Row],[Delivery_Date]]="","In Transit",
 IF(logistics_data[[#This Row],[Status]]="Lost","Lost",
 IF(logistics_data[[#This Row],[Status]]="Returned","Returned",
 IF(logistics_data[[#This Row],[Status]]="Delayed","Delayed",
 "Delivered"))))</f>
        <v>Delivered</v>
      </c>
      <c r="M1766" s="2">
        <f>logistics_data[[#This Row],[Cost]]/logistics_data[[#This Row],[Distance_miles]]</f>
        <v>0.13694096601073344</v>
      </c>
      <c r="N1766" t="str">
        <f>IF(logistics_data[[#This Row],[Orginal staus of shipment]]&lt;&gt;"Delivered","not applicabel", IF(logistics_data[[#This Row],[Transit_Days]]&gt;=5,"slow","fast"))</f>
        <v>fast</v>
      </c>
    </row>
    <row r="1767" spans="1:14" x14ac:dyDescent="0.3">
      <c r="A1767" t="s">
        <v>1813</v>
      </c>
      <c r="B1767" t="s">
        <v>35</v>
      </c>
      <c r="C1767" t="s">
        <v>44</v>
      </c>
      <c r="D1767" t="s">
        <v>14</v>
      </c>
      <c r="E1767" s="1">
        <v>44983</v>
      </c>
      <c r="F1767" s="1">
        <v>44985</v>
      </c>
      <c r="G1767">
        <v>122.7</v>
      </c>
      <c r="H1767">
        <v>288.29000000000002</v>
      </c>
      <c r="I1767" t="s">
        <v>15</v>
      </c>
      <c r="J1767">
        <v>962</v>
      </c>
      <c r="K1767">
        <v>2</v>
      </c>
      <c r="L1767" t="str">
        <f>IF(logistics_data[[#This Row],[Delivery_Date]]="","In Transit",
 IF(logistics_data[[#This Row],[Status]]="Lost","Lost",
 IF(logistics_data[[#This Row],[Status]]="Returned","Returned",
 IF(logistics_data[[#This Row],[Status]]="Delayed","Delayed",
 "Delivered"))))</f>
        <v>Delivered</v>
      </c>
      <c r="M1767" s="2">
        <f>logistics_data[[#This Row],[Cost]]/logistics_data[[#This Row],[Distance_miles]]</f>
        <v>0.2996777546777547</v>
      </c>
      <c r="N1767" t="str">
        <f>IF(logistics_data[[#This Row],[Orginal staus of shipment]]&lt;&gt;"Delivered","not applicabel", IF(logistics_data[[#This Row],[Transit_Days]]&gt;=5,"slow","fast"))</f>
        <v>fast</v>
      </c>
    </row>
    <row r="1768" spans="1:14" x14ac:dyDescent="0.3">
      <c r="A1768" t="s">
        <v>1814</v>
      </c>
      <c r="B1768" t="s">
        <v>23</v>
      </c>
      <c r="C1768" t="s">
        <v>70</v>
      </c>
      <c r="D1768" t="s">
        <v>25</v>
      </c>
      <c r="E1768" s="1">
        <v>45059</v>
      </c>
      <c r="F1768" s="1">
        <v>45064</v>
      </c>
      <c r="G1768">
        <v>24.4</v>
      </c>
      <c r="H1768">
        <v>321.82</v>
      </c>
      <c r="I1768" t="s">
        <v>15</v>
      </c>
      <c r="J1768">
        <v>2429</v>
      </c>
      <c r="K1768">
        <v>5</v>
      </c>
      <c r="L1768" t="str">
        <f>IF(logistics_data[[#This Row],[Delivery_Date]]="","In Transit",
 IF(logistics_data[[#This Row],[Status]]="Lost","Lost",
 IF(logistics_data[[#This Row],[Status]]="Returned","Returned",
 IF(logistics_data[[#This Row],[Status]]="Delayed","Delayed",
 "Delivered"))))</f>
        <v>Delivered</v>
      </c>
      <c r="M1768" s="2">
        <f>logistics_data[[#This Row],[Cost]]/logistics_data[[#This Row],[Distance_miles]]</f>
        <v>0.13249073692877728</v>
      </c>
      <c r="N1768" t="str">
        <f>IF(logistics_data[[#This Row],[Orginal staus of shipment]]&lt;&gt;"Delivered","not applicabel", IF(logistics_data[[#This Row],[Transit_Days]]&gt;=5,"slow","fast"))</f>
        <v>slow</v>
      </c>
    </row>
    <row r="1769" spans="1:14" x14ac:dyDescent="0.3">
      <c r="A1769" t="s">
        <v>1815</v>
      </c>
      <c r="B1769" t="s">
        <v>27</v>
      </c>
      <c r="C1769" t="s">
        <v>40</v>
      </c>
      <c r="D1769" t="s">
        <v>14</v>
      </c>
      <c r="E1769" s="1">
        <v>45084</v>
      </c>
      <c r="F1769" s="1">
        <v>45089</v>
      </c>
      <c r="G1769">
        <v>6.1</v>
      </c>
      <c r="H1769">
        <v>279.81</v>
      </c>
      <c r="I1769" t="s">
        <v>15</v>
      </c>
      <c r="J1769">
        <v>2102</v>
      </c>
      <c r="K1769">
        <v>5</v>
      </c>
      <c r="L1769" t="str">
        <f>IF(logistics_data[[#This Row],[Delivery_Date]]="","In Transit",
 IF(logistics_data[[#This Row],[Status]]="Lost","Lost",
 IF(logistics_data[[#This Row],[Status]]="Returned","Returned",
 IF(logistics_data[[#This Row],[Status]]="Delayed","Delayed",
 "Delivered"))))</f>
        <v>Delivered</v>
      </c>
      <c r="M1769" s="2">
        <f>logistics_data[[#This Row],[Cost]]/logistics_data[[#This Row],[Distance_miles]]</f>
        <v>0.13311607992388202</v>
      </c>
      <c r="N1769" t="str">
        <f>IF(logistics_data[[#This Row],[Orginal staus of shipment]]&lt;&gt;"Delivered","not applicabel", IF(logistics_data[[#This Row],[Transit_Days]]&gt;=5,"slow","fast"))</f>
        <v>slow</v>
      </c>
    </row>
    <row r="1770" spans="1:14" x14ac:dyDescent="0.3">
      <c r="A1770" t="s">
        <v>1816</v>
      </c>
      <c r="B1770" t="s">
        <v>39</v>
      </c>
      <c r="C1770" t="s">
        <v>31</v>
      </c>
      <c r="D1770" t="s">
        <v>18</v>
      </c>
      <c r="E1770" s="1">
        <v>45214</v>
      </c>
      <c r="F1770" s="1">
        <v>45217</v>
      </c>
      <c r="G1770">
        <v>18.100000000000001</v>
      </c>
      <c r="H1770">
        <v>148.79</v>
      </c>
      <c r="I1770" t="s">
        <v>15</v>
      </c>
      <c r="J1770">
        <v>914</v>
      </c>
      <c r="K1770">
        <v>3</v>
      </c>
      <c r="L1770" t="str">
        <f>IF(logistics_data[[#This Row],[Delivery_Date]]="","In Transit",
 IF(logistics_data[[#This Row],[Status]]="Lost","Lost",
 IF(logistics_data[[#This Row],[Status]]="Returned","Returned",
 IF(logistics_data[[#This Row],[Status]]="Delayed","Delayed",
 "Delivered"))))</f>
        <v>Delivered</v>
      </c>
      <c r="M1770" s="2">
        <f>logistics_data[[#This Row],[Cost]]/logistics_data[[#This Row],[Distance_miles]]</f>
        <v>0.16278993435448577</v>
      </c>
      <c r="N1770" t="str">
        <f>IF(logistics_data[[#This Row],[Orginal staus of shipment]]&lt;&gt;"Delivered","not applicabel", IF(logistics_data[[#This Row],[Transit_Days]]&gt;=5,"slow","fast"))</f>
        <v>fast</v>
      </c>
    </row>
    <row r="1771" spans="1:14" x14ac:dyDescent="0.3">
      <c r="A1771" t="s">
        <v>1817</v>
      </c>
      <c r="B1771" t="s">
        <v>56</v>
      </c>
      <c r="C1771" t="s">
        <v>54</v>
      </c>
      <c r="D1771" t="s">
        <v>25</v>
      </c>
      <c r="E1771" s="1">
        <v>45004</v>
      </c>
      <c r="F1771" s="1">
        <v>45009</v>
      </c>
      <c r="G1771">
        <v>3.5</v>
      </c>
      <c r="H1771">
        <v>215.07</v>
      </c>
      <c r="I1771" t="s">
        <v>15</v>
      </c>
      <c r="J1771">
        <v>1843</v>
      </c>
      <c r="K1771">
        <v>5</v>
      </c>
      <c r="L1771" t="str">
        <f>IF(logistics_data[[#This Row],[Delivery_Date]]="","In Transit",
 IF(logistics_data[[#This Row],[Status]]="Lost","Lost",
 IF(logistics_data[[#This Row],[Status]]="Returned","Returned",
 IF(logistics_data[[#This Row],[Status]]="Delayed","Delayed",
 "Delivered"))))</f>
        <v>Delivered</v>
      </c>
      <c r="M1771" s="2">
        <f>logistics_data[[#This Row],[Cost]]/logistics_data[[#This Row],[Distance_miles]]</f>
        <v>0.11669560499186109</v>
      </c>
      <c r="N1771" t="str">
        <f>IF(logistics_data[[#This Row],[Orginal staus of shipment]]&lt;&gt;"Delivered","not applicabel", IF(logistics_data[[#This Row],[Transit_Days]]&gt;=5,"slow","fast"))</f>
        <v>slow</v>
      </c>
    </row>
    <row r="1772" spans="1:14" x14ac:dyDescent="0.3">
      <c r="A1772" t="s">
        <v>1818</v>
      </c>
      <c r="B1772" t="s">
        <v>20</v>
      </c>
      <c r="C1772" t="s">
        <v>40</v>
      </c>
      <c r="D1772" t="s">
        <v>14</v>
      </c>
      <c r="E1772" s="1">
        <v>45006</v>
      </c>
      <c r="F1772" s="1">
        <v>45008</v>
      </c>
      <c r="G1772">
        <v>15.8</v>
      </c>
      <c r="H1772">
        <v>132.30000000000001</v>
      </c>
      <c r="I1772" t="s">
        <v>15</v>
      </c>
      <c r="J1772">
        <v>878</v>
      </c>
      <c r="K1772">
        <v>2</v>
      </c>
      <c r="L1772" t="str">
        <f>IF(logistics_data[[#This Row],[Delivery_Date]]="","In Transit",
 IF(logistics_data[[#This Row],[Status]]="Lost","Lost",
 IF(logistics_data[[#This Row],[Status]]="Returned","Returned",
 IF(logistics_data[[#This Row],[Status]]="Delayed","Delayed",
 "Delivered"))))</f>
        <v>Delivered</v>
      </c>
      <c r="M1772" s="2">
        <f>logistics_data[[#This Row],[Cost]]/logistics_data[[#This Row],[Distance_miles]]</f>
        <v>0.15068337129840548</v>
      </c>
      <c r="N1772" t="str">
        <f>IF(logistics_data[[#This Row],[Orginal staus of shipment]]&lt;&gt;"Delivered","not applicabel", IF(logistics_data[[#This Row],[Transit_Days]]&gt;=5,"slow","fast"))</f>
        <v>fast</v>
      </c>
    </row>
    <row r="1773" spans="1:14" x14ac:dyDescent="0.3">
      <c r="A1773" t="s">
        <v>1819</v>
      </c>
      <c r="B1773" t="s">
        <v>49</v>
      </c>
      <c r="C1773" t="s">
        <v>36</v>
      </c>
      <c r="D1773" t="s">
        <v>32</v>
      </c>
      <c r="E1773" s="1">
        <v>45096</v>
      </c>
      <c r="F1773" s="1">
        <v>45101</v>
      </c>
      <c r="G1773">
        <v>40.700000000000003</v>
      </c>
      <c r="H1773">
        <v>168.17</v>
      </c>
      <c r="I1773" t="s">
        <v>15</v>
      </c>
      <c r="J1773">
        <v>816</v>
      </c>
      <c r="K1773">
        <v>5</v>
      </c>
      <c r="L1773" t="str">
        <f>IF(logistics_data[[#This Row],[Delivery_Date]]="","In Transit",
 IF(logistics_data[[#This Row],[Status]]="Lost","Lost",
 IF(logistics_data[[#This Row],[Status]]="Returned","Returned",
 IF(logistics_data[[#This Row],[Status]]="Delayed","Delayed",
 "Delivered"))))</f>
        <v>Delivered</v>
      </c>
      <c r="M1773" s="2">
        <f>logistics_data[[#This Row],[Cost]]/logistics_data[[#This Row],[Distance_miles]]</f>
        <v>0.2060906862745098</v>
      </c>
      <c r="N1773" t="str">
        <f>IF(logistics_data[[#This Row],[Orginal staus of shipment]]&lt;&gt;"Delivered","not applicabel", IF(logistics_data[[#This Row],[Transit_Days]]&gt;=5,"slow","fast"))</f>
        <v>slow</v>
      </c>
    </row>
    <row r="1774" spans="1:14" x14ac:dyDescent="0.3">
      <c r="A1774" t="s">
        <v>1820</v>
      </c>
      <c r="B1774" t="s">
        <v>30</v>
      </c>
      <c r="C1774" t="s">
        <v>54</v>
      </c>
      <c r="D1774" t="s">
        <v>18</v>
      </c>
      <c r="E1774" s="1">
        <v>45221</v>
      </c>
      <c r="F1774" s="1">
        <v>45229</v>
      </c>
      <c r="G1774">
        <v>33.700000000000003</v>
      </c>
      <c r="H1774">
        <v>402.35</v>
      </c>
      <c r="I1774" t="s">
        <v>15</v>
      </c>
      <c r="J1774">
        <v>2414</v>
      </c>
      <c r="K1774">
        <v>8</v>
      </c>
      <c r="L1774" t="str">
        <f>IF(logistics_data[[#This Row],[Delivery_Date]]="","In Transit",
 IF(logistics_data[[#This Row],[Status]]="Lost","Lost",
 IF(logistics_data[[#This Row],[Status]]="Returned","Returned",
 IF(logistics_data[[#This Row],[Status]]="Delayed","Delayed",
 "Delivered"))))</f>
        <v>Delivered</v>
      </c>
      <c r="M1774" s="2">
        <f>logistics_data[[#This Row],[Cost]]/logistics_data[[#This Row],[Distance_miles]]</f>
        <v>0.16667357083678544</v>
      </c>
      <c r="N1774" t="str">
        <f>IF(logistics_data[[#This Row],[Orginal staus of shipment]]&lt;&gt;"Delivered","not applicabel", IF(logistics_data[[#This Row],[Transit_Days]]&gt;=5,"slow","fast"))</f>
        <v>slow</v>
      </c>
    </row>
    <row r="1775" spans="1:14" x14ac:dyDescent="0.3">
      <c r="A1775" t="s">
        <v>1821</v>
      </c>
      <c r="B1775" t="s">
        <v>20</v>
      </c>
      <c r="C1775" t="s">
        <v>44</v>
      </c>
      <c r="D1775" t="s">
        <v>25</v>
      </c>
      <c r="E1775" s="1">
        <v>45046</v>
      </c>
      <c r="F1775" s="1">
        <v>45047</v>
      </c>
      <c r="G1775">
        <v>27</v>
      </c>
      <c r="H1775">
        <v>79.510000000000005</v>
      </c>
      <c r="I1775" t="s">
        <v>15</v>
      </c>
      <c r="J1775">
        <v>391</v>
      </c>
      <c r="K1775">
        <v>1</v>
      </c>
      <c r="L1775" t="str">
        <f>IF(logistics_data[[#This Row],[Delivery_Date]]="","In Transit",
 IF(logistics_data[[#This Row],[Status]]="Lost","Lost",
 IF(logistics_data[[#This Row],[Status]]="Returned","Returned",
 IF(logistics_data[[#This Row],[Status]]="Delayed","Delayed",
 "Delivered"))))</f>
        <v>Delivered</v>
      </c>
      <c r="M1775" s="2">
        <f>logistics_data[[#This Row],[Cost]]/logistics_data[[#This Row],[Distance_miles]]</f>
        <v>0.20335038363171357</v>
      </c>
      <c r="N1775" t="str">
        <f>IF(logistics_data[[#This Row],[Orginal staus of shipment]]&lt;&gt;"Delivered","not applicabel", IF(logistics_data[[#This Row],[Transit_Days]]&gt;=5,"slow","fast"))</f>
        <v>fast</v>
      </c>
    </row>
    <row r="1776" spans="1:14" x14ac:dyDescent="0.3">
      <c r="A1776" t="s">
        <v>1822</v>
      </c>
      <c r="B1776" t="s">
        <v>23</v>
      </c>
      <c r="C1776" t="s">
        <v>24</v>
      </c>
      <c r="D1776" t="s">
        <v>32</v>
      </c>
      <c r="E1776" s="1">
        <v>45096</v>
      </c>
      <c r="F1776" s="1">
        <v>45102</v>
      </c>
      <c r="G1776">
        <v>9.6999999999999993</v>
      </c>
      <c r="H1776">
        <v>119.44</v>
      </c>
      <c r="I1776" t="s">
        <v>15</v>
      </c>
      <c r="J1776">
        <v>757</v>
      </c>
      <c r="K1776">
        <v>6</v>
      </c>
      <c r="L1776" t="str">
        <f>IF(logistics_data[[#This Row],[Delivery_Date]]="","In Transit",
 IF(logistics_data[[#This Row],[Status]]="Lost","Lost",
 IF(logistics_data[[#This Row],[Status]]="Returned","Returned",
 IF(logistics_data[[#This Row],[Status]]="Delayed","Delayed",
 "Delivered"))))</f>
        <v>Delivered</v>
      </c>
      <c r="M1776" s="2">
        <f>logistics_data[[#This Row],[Cost]]/logistics_data[[#This Row],[Distance_miles]]</f>
        <v>0.15778071334214003</v>
      </c>
      <c r="N1776" t="str">
        <f>IF(logistics_data[[#This Row],[Orginal staus of shipment]]&lt;&gt;"Delivered","not applicabel", IF(logistics_data[[#This Row],[Transit_Days]]&gt;=5,"slow","fast"))</f>
        <v>slow</v>
      </c>
    </row>
    <row r="1777" spans="1:14" x14ac:dyDescent="0.3">
      <c r="A1777" t="s">
        <v>1823</v>
      </c>
      <c r="B1777" t="s">
        <v>12</v>
      </c>
      <c r="C1777" t="s">
        <v>36</v>
      </c>
      <c r="D1777" t="s">
        <v>32</v>
      </c>
      <c r="E1777" s="1">
        <v>45012</v>
      </c>
      <c r="F1777" s="1">
        <v>45021</v>
      </c>
      <c r="G1777">
        <v>12.8</v>
      </c>
      <c r="H1777">
        <v>331.5</v>
      </c>
      <c r="I1777" t="s">
        <v>15</v>
      </c>
      <c r="J1777">
        <v>2488</v>
      </c>
      <c r="K1777">
        <v>9</v>
      </c>
      <c r="L1777" t="str">
        <f>IF(logistics_data[[#This Row],[Delivery_Date]]="","In Transit",
 IF(logistics_data[[#This Row],[Status]]="Lost","Lost",
 IF(logistics_data[[#This Row],[Status]]="Returned","Returned",
 IF(logistics_data[[#This Row],[Status]]="Delayed","Delayed",
 "Delivered"))))</f>
        <v>Delivered</v>
      </c>
      <c r="M1777" s="2">
        <f>logistics_data[[#This Row],[Cost]]/logistics_data[[#This Row],[Distance_miles]]</f>
        <v>0.13323954983922828</v>
      </c>
      <c r="N1777" t="str">
        <f>IF(logistics_data[[#This Row],[Orginal staus of shipment]]&lt;&gt;"Delivered","not applicabel", IF(logistics_data[[#This Row],[Transit_Days]]&gt;=5,"slow","fast"))</f>
        <v>slow</v>
      </c>
    </row>
    <row r="1778" spans="1:14" x14ac:dyDescent="0.3">
      <c r="A1778" t="s">
        <v>1824</v>
      </c>
      <c r="B1778" t="s">
        <v>56</v>
      </c>
      <c r="C1778" t="s">
        <v>40</v>
      </c>
      <c r="D1778" t="s">
        <v>25</v>
      </c>
      <c r="E1778" s="1">
        <v>45220</v>
      </c>
      <c r="F1778" s="1">
        <v>45225</v>
      </c>
      <c r="G1778">
        <v>6.3</v>
      </c>
      <c r="H1778">
        <v>282.62</v>
      </c>
      <c r="I1778" t="s">
        <v>15</v>
      </c>
      <c r="J1778">
        <v>2188</v>
      </c>
      <c r="K1778">
        <v>5</v>
      </c>
      <c r="L1778" t="str">
        <f>IF(logistics_data[[#This Row],[Delivery_Date]]="","In Transit",
 IF(logistics_data[[#This Row],[Status]]="Lost","Lost",
 IF(logistics_data[[#This Row],[Status]]="Returned","Returned",
 IF(logistics_data[[#This Row],[Status]]="Delayed","Delayed",
 "Delivered"))))</f>
        <v>Delivered</v>
      </c>
      <c r="M1778" s="2">
        <f>logistics_data[[#This Row],[Cost]]/logistics_data[[#This Row],[Distance_miles]]</f>
        <v>0.12916819012797076</v>
      </c>
      <c r="N1778" t="str">
        <f>IF(logistics_data[[#This Row],[Orginal staus of shipment]]&lt;&gt;"Delivered","not applicabel", IF(logistics_data[[#This Row],[Transit_Days]]&gt;=5,"slow","fast"))</f>
        <v>slow</v>
      </c>
    </row>
    <row r="1779" spans="1:14" x14ac:dyDescent="0.3">
      <c r="A1779" t="s">
        <v>1825</v>
      </c>
      <c r="B1779" t="s">
        <v>35</v>
      </c>
      <c r="C1779" t="s">
        <v>57</v>
      </c>
      <c r="D1779" t="s">
        <v>59</v>
      </c>
      <c r="E1779" s="1">
        <v>45119</v>
      </c>
      <c r="F1779" s="1">
        <v>45122</v>
      </c>
      <c r="G1779">
        <v>23.1</v>
      </c>
      <c r="H1779">
        <v>204.7</v>
      </c>
      <c r="I1779" t="s">
        <v>15</v>
      </c>
      <c r="J1779">
        <v>1547</v>
      </c>
      <c r="K1779">
        <v>3</v>
      </c>
      <c r="L1779" t="str">
        <f>IF(logistics_data[[#This Row],[Delivery_Date]]="","In Transit",
 IF(logistics_data[[#This Row],[Status]]="Lost","Lost",
 IF(logistics_data[[#This Row],[Status]]="Returned","Returned",
 IF(logistics_data[[#This Row],[Status]]="Delayed","Delayed",
 "Delivered"))))</f>
        <v>Delivered</v>
      </c>
      <c r="M1779" s="2">
        <f>logistics_data[[#This Row],[Cost]]/logistics_data[[#This Row],[Distance_miles]]</f>
        <v>0.13232062055591468</v>
      </c>
      <c r="N1779" t="str">
        <f>IF(logistics_data[[#This Row],[Orginal staus of shipment]]&lt;&gt;"Delivered","not applicabel", IF(logistics_data[[#This Row],[Transit_Days]]&gt;=5,"slow","fast"))</f>
        <v>fast</v>
      </c>
    </row>
    <row r="1780" spans="1:14" x14ac:dyDescent="0.3">
      <c r="A1780" t="s">
        <v>1826</v>
      </c>
      <c r="B1780" t="s">
        <v>49</v>
      </c>
      <c r="C1780" t="s">
        <v>17</v>
      </c>
      <c r="D1780" t="s">
        <v>32</v>
      </c>
      <c r="E1780" s="1">
        <v>45139</v>
      </c>
      <c r="F1780" s="1">
        <v>45141</v>
      </c>
      <c r="G1780">
        <v>10.3</v>
      </c>
      <c r="H1780">
        <v>47.05</v>
      </c>
      <c r="I1780" t="s">
        <v>15</v>
      </c>
      <c r="J1780">
        <v>224</v>
      </c>
      <c r="K1780">
        <v>2</v>
      </c>
      <c r="L1780" t="str">
        <f>IF(logistics_data[[#This Row],[Delivery_Date]]="","In Transit",
 IF(logistics_data[[#This Row],[Status]]="Lost","Lost",
 IF(logistics_data[[#This Row],[Status]]="Returned","Returned",
 IF(logistics_data[[#This Row],[Status]]="Delayed","Delayed",
 "Delivered"))))</f>
        <v>Delivered</v>
      </c>
      <c r="M1780" s="2">
        <f>logistics_data[[#This Row],[Cost]]/logistics_data[[#This Row],[Distance_miles]]</f>
        <v>0.21004464285714283</v>
      </c>
      <c r="N1780" t="str">
        <f>IF(logistics_data[[#This Row],[Orginal staus of shipment]]&lt;&gt;"Delivered","not applicabel", IF(logistics_data[[#This Row],[Transit_Days]]&gt;=5,"slow","fast"))</f>
        <v>fast</v>
      </c>
    </row>
    <row r="1781" spans="1:14" x14ac:dyDescent="0.3">
      <c r="A1781" t="s">
        <v>1827</v>
      </c>
      <c r="B1781" t="s">
        <v>23</v>
      </c>
      <c r="C1781" t="s">
        <v>21</v>
      </c>
      <c r="D1781" t="s">
        <v>18</v>
      </c>
      <c r="E1781" s="1">
        <v>45237</v>
      </c>
      <c r="F1781" s="1">
        <v>45240</v>
      </c>
      <c r="G1781">
        <v>73.900000000000006</v>
      </c>
      <c r="H1781">
        <v>268.7</v>
      </c>
      <c r="I1781" t="s">
        <v>15</v>
      </c>
      <c r="J1781">
        <v>747</v>
      </c>
      <c r="K1781">
        <v>3</v>
      </c>
      <c r="L1781" t="str">
        <f>IF(logistics_data[[#This Row],[Delivery_Date]]="","In Transit",
 IF(logistics_data[[#This Row],[Status]]="Lost","Lost",
 IF(logistics_data[[#This Row],[Status]]="Returned","Returned",
 IF(logistics_data[[#This Row],[Status]]="Delayed","Delayed",
 "Delivered"))))</f>
        <v>Delivered</v>
      </c>
      <c r="M1781" s="2">
        <f>logistics_data[[#This Row],[Cost]]/logistics_data[[#This Row],[Distance_miles]]</f>
        <v>0.35970548862115126</v>
      </c>
      <c r="N1781" t="str">
        <f>IF(logistics_data[[#This Row],[Orginal staus of shipment]]&lt;&gt;"Delivered","not applicabel", IF(logistics_data[[#This Row],[Transit_Days]]&gt;=5,"slow","fast"))</f>
        <v>fast</v>
      </c>
    </row>
    <row r="1782" spans="1:14" x14ac:dyDescent="0.3">
      <c r="A1782" t="s">
        <v>1828</v>
      </c>
      <c r="B1782" t="s">
        <v>56</v>
      </c>
      <c r="C1782" t="s">
        <v>54</v>
      </c>
      <c r="D1782" t="s">
        <v>59</v>
      </c>
      <c r="E1782" s="1">
        <v>45147</v>
      </c>
      <c r="F1782" s="1">
        <v>45150</v>
      </c>
      <c r="G1782">
        <v>47.3</v>
      </c>
      <c r="H1782">
        <v>215.93</v>
      </c>
      <c r="I1782" t="s">
        <v>60</v>
      </c>
      <c r="J1782">
        <v>1552</v>
      </c>
      <c r="K1782">
        <v>3</v>
      </c>
      <c r="L1782" t="str">
        <f>IF(logistics_data[[#This Row],[Delivery_Date]]="","In Transit",
 IF(logistics_data[[#This Row],[Status]]="Lost","Lost",
 IF(logistics_data[[#This Row],[Status]]="Returned","Returned",
 IF(logistics_data[[#This Row],[Status]]="Delayed","Delayed",
 "Delivered"))))</f>
        <v>Lost</v>
      </c>
      <c r="M1782" s="2">
        <f>logistics_data[[#This Row],[Cost]]/logistics_data[[#This Row],[Distance_miles]]</f>
        <v>0.13913015463917527</v>
      </c>
      <c r="N1782" t="str">
        <f>IF(logistics_data[[#This Row],[Orginal staus of shipment]]&lt;&gt;"Delivered","not applicabel", IF(logistics_data[[#This Row],[Transit_Days]]&gt;=5,"slow","fast"))</f>
        <v>not applicabel</v>
      </c>
    </row>
    <row r="1783" spans="1:14" x14ac:dyDescent="0.3">
      <c r="A1783" t="s">
        <v>1829</v>
      </c>
      <c r="B1783" t="s">
        <v>39</v>
      </c>
      <c r="C1783" t="s">
        <v>40</v>
      </c>
      <c r="D1783" t="s">
        <v>25</v>
      </c>
      <c r="E1783" s="1">
        <v>45171</v>
      </c>
      <c r="F1783" s="1">
        <v>45177</v>
      </c>
      <c r="G1783">
        <v>30.5</v>
      </c>
      <c r="H1783">
        <v>322.75</v>
      </c>
      <c r="I1783" t="s">
        <v>15</v>
      </c>
      <c r="J1783">
        <v>2410</v>
      </c>
      <c r="K1783">
        <v>6</v>
      </c>
      <c r="L1783" t="str">
        <f>IF(logistics_data[[#This Row],[Delivery_Date]]="","In Transit",
 IF(logistics_data[[#This Row],[Status]]="Lost","Lost",
 IF(logistics_data[[#This Row],[Status]]="Returned","Returned",
 IF(logistics_data[[#This Row],[Status]]="Delayed","Delayed",
 "Delivered"))))</f>
        <v>Delivered</v>
      </c>
      <c r="M1783" s="2">
        <f>logistics_data[[#This Row],[Cost]]/logistics_data[[#This Row],[Distance_miles]]</f>
        <v>0.13392116182572614</v>
      </c>
      <c r="N1783" t="str">
        <f>IF(logistics_data[[#This Row],[Orginal staus of shipment]]&lt;&gt;"Delivered","not applicabel", IF(logistics_data[[#This Row],[Transit_Days]]&gt;=5,"slow","fast"))</f>
        <v>slow</v>
      </c>
    </row>
    <row r="1784" spans="1:14" x14ac:dyDescent="0.3">
      <c r="A1784" t="s">
        <v>1830</v>
      </c>
      <c r="B1784" t="s">
        <v>27</v>
      </c>
      <c r="C1784" t="s">
        <v>81</v>
      </c>
      <c r="D1784" t="s">
        <v>14</v>
      </c>
      <c r="E1784" s="1">
        <v>45232</v>
      </c>
      <c r="F1784" s="1">
        <v>45233</v>
      </c>
      <c r="G1784">
        <v>14.7</v>
      </c>
      <c r="H1784">
        <v>81.27</v>
      </c>
      <c r="I1784" t="s">
        <v>15</v>
      </c>
      <c r="J1784">
        <v>395</v>
      </c>
      <c r="K1784">
        <v>1</v>
      </c>
      <c r="L1784" t="str">
        <f>IF(logistics_data[[#This Row],[Delivery_Date]]="","In Transit",
 IF(logistics_data[[#This Row],[Status]]="Lost","Lost",
 IF(logistics_data[[#This Row],[Status]]="Returned","Returned",
 IF(logistics_data[[#This Row],[Status]]="Delayed","Delayed",
 "Delivered"))))</f>
        <v>Delivered</v>
      </c>
      <c r="M1784" s="2">
        <f>logistics_data[[#This Row],[Cost]]/logistics_data[[#This Row],[Distance_miles]]</f>
        <v>0.20574683544303796</v>
      </c>
      <c r="N1784" t="str">
        <f>IF(logistics_data[[#This Row],[Orginal staus of shipment]]&lt;&gt;"Delivered","not applicabel", IF(logistics_data[[#This Row],[Transit_Days]]&gt;=5,"slow","fast"))</f>
        <v>fast</v>
      </c>
    </row>
    <row r="1785" spans="1:14" x14ac:dyDescent="0.3">
      <c r="A1785" t="s">
        <v>1831</v>
      </c>
      <c r="B1785" t="s">
        <v>49</v>
      </c>
      <c r="C1785" t="s">
        <v>13</v>
      </c>
      <c r="D1785" t="s">
        <v>18</v>
      </c>
      <c r="E1785" s="1">
        <v>44947</v>
      </c>
      <c r="F1785" s="1">
        <v>44950</v>
      </c>
      <c r="G1785">
        <v>12.6</v>
      </c>
      <c r="H1785">
        <v>201.27</v>
      </c>
      <c r="I1785" t="s">
        <v>15</v>
      </c>
      <c r="J1785">
        <v>1462</v>
      </c>
      <c r="K1785">
        <v>3</v>
      </c>
      <c r="L1785" t="str">
        <f>IF(logistics_data[[#This Row],[Delivery_Date]]="","In Transit",
 IF(logistics_data[[#This Row],[Status]]="Lost","Lost",
 IF(logistics_data[[#This Row],[Status]]="Returned","Returned",
 IF(logistics_data[[#This Row],[Status]]="Delayed","Delayed",
 "Delivered"))))</f>
        <v>Delivered</v>
      </c>
      <c r="M1785" s="2">
        <f>logistics_data[[#This Row],[Cost]]/logistics_data[[#This Row],[Distance_miles]]</f>
        <v>0.13766757865937074</v>
      </c>
      <c r="N1785" t="str">
        <f>IF(logistics_data[[#This Row],[Orginal staus of shipment]]&lt;&gt;"Delivered","not applicabel", IF(logistics_data[[#This Row],[Transit_Days]]&gt;=5,"slow","fast"))</f>
        <v>fast</v>
      </c>
    </row>
    <row r="1786" spans="1:14" x14ac:dyDescent="0.3">
      <c r="A1786" t="s">
        <v>1832</v>
      </c>
      <c r="B1786" t="s">
        <v>51</v>
      </c>
      <c r="C1786" t="s">
        <v>36</v>
      </c>
      <c r="D1786" t="s">
        <v>25</v>
      </c>
      <c r="E1786" s="1">
        <v>45007</v>
      </c>
      <c r="F1786" s="1">
        <v>45011</v>
      </c>
      <c r="G1786">
        <v>28.8</v>
      </c>
      <c r="H1786">
        <v>183.25</v>
      </c>
      <c r="I1786" t="s">
        <v>15</v>
      </c>
      <c r="J1786">
        <v>1399</v>
      </c>
      <c r="K1786">
        <v>4</v>
      </c>
      <c r="L1786" t="str">
        <f>IF(logistics_data[[#This Row],[Delivery_Date]]="","In Transit",
 IF(logistics_data[[#This Row],[Status]]="Lost","Lost",
 IF(logistics_data[[#This Row],[Status]]="Returned","Returned",
 IF(logistics_data[[#This Row],[Status]]="Delayed","Delayed",
 "Delivered"))))</f>
        <v>Delivered</v>
      </c>
      <c r="M1786" s="2">
        <f>logistics_data[[#This Row],[Cost]]/logistics_data[[#This Row],[Distance_miles]]</f>
        <v>0.13098641887062187</v>
      </c>
      <c r="N1786" t="str">
        <f>IF(logistics_data[[#This Row],[Orginal staus of shipment]]&lt;&gt;"Delivered","not applicabel", IF(logistics_data[[#This Row],[Transit_Days]]&gt;=5,"slow","fast"))</f>
        <v>fast</v>
      </c>
    </row>
    <row r="1787" spans="1:14" x14ac:dyDescent="0.3">
      <c r="A1787" t="s">
        <v>1833</v>
      </c>
      <c r="B1787" t="s">
        <v>51</v>
      </c>
      <c r="C1787" t="s">
        <v>24</v>
      </c>
      <c r="D1787" t="s">
        <v>32</v>
      </c>
      <c r="E1787" s="1">
        <v>45047</v>
      </c>
      <c r="F1787" s="1">
        <v>45052</v>
      </c>
      <c r="G1787">
        <v>45.7</v>
      </c>
      <c r="H1787">
        <v>206.4</v>
      </c>
      <c r="I1787" t="s">
        <v>15</v>
      </c>
      <c r="J1787">
        <v>1025</v>
      </c>
      <c r="K1787">
        <v>5</v>
      </c>
      <c r="L1787" t="str">
        <f>IF(logistics_data[[#This Row],[Delivery_Date]]="","In Transit",
 IF(logistics_data[[#This Row],[Status]]="Lost","Lost",
 IF(logistics_data[[#This Row],[Status]]="Returned","Returned",
 IF(logistics_data[[#This Row],[Status]]="Delayed","Delayed",
 "Delivered"))))</f>
        <v>Delivered</v>
      </c>
      <c r="M1787" s="2">
        <f>logistics_data[[#This Row],[Cost]]/logistics_data[[#This Row],[Distance_miles]]</f>
        <v>0.2013658536585366</v>
      </c>
      <c r="N1787" t="str">
        <f>IF(logistics_data[[#This Row],[Orginal staus of shipment]]&lt;&gt;"Delivered","not applicabel", IF(logistics_data[[#This Row],[Transit_Days]]&gt;=5,"slow","fast"))</f>
        <v>slow</v>
      </c>
    </row>
    <row r="1788" spans="1:14" x14ac:dyDescent="0.3">
      <c r="A1788" t="s">
        <v>1834</v>
      </c>
      <c r="B1788" t="s">
        <v>49</v>
      </c>
      <c r="C1788" t="s">
        <v>31</v>
      </c>
      <c r="D1788" t="s">
        <v>25</v>
      </c>
      <c r="E1788" s="1">
        <v>44999</v>
      </c>
      <c r="F1788" s="1">
        <v>45000</v>
      </c>
      <c r="G1788">
        <v>24.3</v>
      </c>
      <c r="H1788">
        <v>45.64</v>
      </c>
      <c r="I1788" t="s">
        <v>15</v>
      </c>
      <c r="J1788">
        <v>118</v>
      </c>
      <c r="K1788">
        <v>1</v>
      </c>
      <c r="L1788" t="str">
        <f>IF(logistics_data[[#This Row],[Delivery_Date]]="","In Transit",
 IF(logistics_data[[#This Row],[Status]]="Lost","Lost",
 IF(logistics_data[[#This Row],[Status]]="Returned","Returned",
 IF(logistics_data[[#This Row],[Status]]="Delayed","Delayed",
 "Delivered"))))</f>
        <v>Delivered</v>
      </c>
      <c r="M1788" s="2">
        <f>logistics_data[[#This Row],[Cost]]/logistics_data[[#This Row],[Distance_miles]]</f>
        <v>0.38677966101694916</v>
      </c>
      <c r="N1788" t="str">
        <f>IF(logistics_data[[#This Row],[Orginal staus of shipment]]&lt;&gt;"Delivered","not applicabel", IF(logistics_data[[#This Row],[Transit_Days]]&gt;=5,"slow","fast"))</f>
        <v>fast</v>
      </c>
    </row>
    <row r="1789" spans="1:14" x14ac:dyDescent="0.3">
      <c r="A1789" t="s">
        <v>1835</v>
      </c>
      <c r="B1789" t="s">
        <v>56</v>
      </c>
      <c r="C1789" t="s">
        <v>52</v>
      </c>
      <c r="D1789" t="s">
        <v>37</v>
      </c>
      <c r="E1789" s="1">
        <v>45286</v>
      </c>
      <c r="F1789" s="1">
        <v>45289</v>
      </c>
      <c r="G1789">
        <v>22.5</v>
      </c>
      <c r="H1789">
        <v>199.07</v>
      </c>
      <c r="I1789" t="s">
        <v>15</v>
      </c>
      <c r="J1789">
        <v>1226</v>
      </c>
      <c r="K1789">
        <v>3</v>
      </c>
      <c r="L1789" t="str">
        <f>IF(logistics_data[[#This Row],[Delivery_Date]]="","In Transit",
 IF(logistics_data[[#This Row],[Status]]="Lost","Lost",
 IF(logistics_data[[#This Row],[Status]]="Returned","Returned",
 IF(logistics_data[[#This Row],[Status]]="Delayed","Delayed",
 "Delivered"))))</f>
        <v>Delivered</v>
      </c>
      <c r="M1789" s="2">
        <f>logistics_data[[#This Row],[Cost]]/logistics_data[[#This Row],[Distance_miles]]</f>
        <v>0.16237357259380097</v>
      </c>
      <c r="N1789" t="str">
        <f>IF(logistics_data[[#This Row],[Orginal staus of shipment]]&lt;&gt;"Delivered","not applicabel", IF(logistics_data[[#This Row],[Transit_Days]]&gt;=5,"slow","fast"))</f>
        <v>fast</v>
      </c>
    </row>
    <row r="1790" spans="1:14" x14ac:dyDescent="0.3">
      <c r="A1790" t="s">
        <v>1836</v>
      </c>
      <c r="B1790" t="s">
        <v>20</v>
      </c>
      <c r="C1790" t="s">
        <v>36</v>
      </c>
      <c r="D1790" t="s">
        <v>25</v>
      </c>
      <c r="E1790" s="1">
        <v>45267</v>
      </c>
      <c r="F1790" s="1">
        <v>45281</v>
      </c>
      <c r="G1790">
        <v>48.8</v>
      </c>
      <c r="H1790">
        <v>347.95</v>
      </c>
      <c r="I1790" t="s">
        <v>47</v>
      </c>
      <c r="J1790">
        <v>2192</v>
      </c>
      <c r="K1790">
        <v>6</v>
      </c>
      <c r="L1790" t="str">
        <f>IF(logistics_data[[#This Row],[Delivery_Date]]="","In Transit",
 IF(logistics_data[[#This Row],[Status]]="Lost","Lost",
 IF(logistics_data[[#This Row],[Status]]="Returned","Returned",
 IF(logistics_data[[#This Row],[Status]]="Delayed","Delayed",
 "Delivered"))))</f>
        <v>Delayed</v>
      </c>
      <c r="M1790" s="2">
        <f>logistics_data[[#This Row],[Cost]]/logistics_data[[#This Row],[Distance_miles]]</f>
        <v>0.15873631386861314</v>
      </c>
      <c r="N1790" t="str">
        <f>IF(logistics_data[[#This Row],[Orginal staus of shipment]]&lt;&gt;"Delivered","not applicabel", IF(logistics_data[[#This Row],[Transit_Days]]&gt;=5,"slow","fast"))</f>
        <v>not applicabel</v>
      </c>
    </row>
    <row r="1791" spans="1:14" x14ac:dyDescent="0.3">
      <c r="A1791" t="s">
        <v>1837</v>
      </c>
      <c r="B1791" t="s">
        <v>51</v>
      </c>
      <c r="C1791" t="s">
        <v>44</v>
      </c>
      <c r="D1791" t="s">
        <v>14</v>
      </c>
      <c r="E1791" s="1">
        <v>45045</v>
      </c>
      <c r="F1791" s="1">
        <v>45047</v>
      </c>
      <c r="G1791">
        <v>7.9</v>
      </c>
      <c r="H1791">
        <v>99.83</v>
      </c>
      <c r="I1791" t="s">
        <v>15</v>
      </c>
      <c r="J1791">
        <v>790</v>
      </c>
      <c r="K1791">
        <v>2</v>
      </c>
      <c r="L1791" t="str">
        <f>IF(logistics_data[[#This Row],[Delivery_Date]]="","In Transit",
 IF(logistics_data[[#This Row],[Status]]="Lost","Lost",
 IF(logistics_data[[#This Row],[Status]]="Returned","Returned",
 IF(logistics_data[[#This Row],[Status]]="Delayed","Delayed",
 "Delivered"))))</f>
        <v>Delivered</v>
      </c>
      <c r="M1791" s="2">
        <f>logistics_data[[#This Row],[Cost]]/logistics_data[[#This Row],[Distance_miles]]</f>
        <v>0.12636708860759494</v>
      </c>
      <c r="N1791" t="str">
        <f>IF(logistics_data[[#This Row],[Orginal staus of shipment]]&lt;&gt;"Delivered","not applicabel", IF(logistics_data[[#This Row],[Transit_Days]]&gt;=5,"slow","fast"))</f>
        <v>fast</v>
      </c>
    </row>
    <row r="1792" spans="1:14" x14ac:dyDescent="0.3">
      <c r="A1792" t="s">
        <v>1838</v>
      </c>
      <c r="B1792" t="s">
        <v>27</v>
      </c>
      <c r="C1792" t="s">
        <v>81</v>
      </c>
      <c r="D1792" t="s">
        <v>14</v>
      </c>
      <c r="E1792" s="1">
        <v>45225</v>
      </c>
      <c r="F1792" s="1">
        <v>45235</v>
      </c>
      <c r="G1792">
        <v>34</v>
      </c>
      <c r="H1792">
        <v>316.69</v>
      </c>
      <c r="I1792" t="s">
        <v>47</v>
      </c>
      <c r="J1792">
        <v>2072</v>
      </c>
      <c r="K1792">
        <v>6</v>
      </c>
      <c r="L1792" t="str">
        <f>IF(logistics_data[[#This Row],[Delivery_Date]]="","In Transit",
 IF(logistics_data[[#This Row],[Status]]="Lost","Lost",
 IF(logistics_data[[#This Row],[Status]]="Returned","Returned",
 IF(logistics_data[[#This Row],[Status]]="Delayed","Delayed",
 "Delivered"))))</f>
        <v>Delayed</v>
      </c>
      <c r="M1792" s="2">
        <f>logistics_data[[#This Row],[Cost]]/logistics_data[[#This Row],[Distance_miles]]</f>
        <v>0.15284266409266409</v>
      </c>
      <c r="N1792" t="str">
        <f>IF(logistics_data[[#This Row],[Orginal staus of shipment]]&lt;&gt;"Delivered","not applicabel", IF(logistics_data[[#This Row],[Transit_Days]]&gt;=5,"slow","fast"))</f>
        <v>not applicabel</v>
      </c>
    </row>
    <row r="1793" spans="1:14" x14ac:dyDescent="0.3">
      <c r="A1793" t="s">
        <v>1839</v>
      </c>
      <c r="B1793" t="s">
        <v>30</v>
      </c>
      <c r="C1793" t="s">
        <v>31</v>
      </c>
      <c r="D1793" t="s">
        <v>14</v>
      </c>
      <c r="E1793" s="1">
        <v>44987</v>
      </c>
      <c r="F1793" s="1">
        <v>44990</v>
      </c>
      <c r="G1793">
        <v>21.9</v>
      </c>
      <c r="H1793">
        <v>174.25</v>
      </c>
      <c r="I1793" t="s">
        <v>15</v>
      </c>
      <c r="J1793">
        <v>1073</v>
      </c>
      <c r="K1793">
        <v>3</v>
      </c>
      <c r="L1793" t="str">
        <f>IF(logistics_data[[#This Row],[Delivery_Date]]="","In Transit",
 IF(logistics_data[[#This Row],[Status]]="Lost","Lost",
 IF(logistics_data[[#This Row],[Status]]="Returned","Returned",
 IF(logistics_data[[#This Row],[Status]]="Delayed","Delayed",
 "Delivered"))))</f>
        <v>Delivered</v>
      </c>
      <c r="M1793" s="2">
        <f>logistics_data[[#This Row],[Cost]]/logistics_data[[#This Row],[Distance_miles]]</f>
        <v>0.16239515377446412</v>
      </c>
      <c r="N1793" t="str">
        <f>IF(logistics_data[[#This Row],[Orginal staus of shipment]]&lt;&gt;"Delivered","not applicabel", IF(logistics_data[[#This Row],[Transit_Days]]&gt;=5,"slow","fast"))</f>
        <v>fast</v>
      </c>
    </row>
    <row r="1794" spans="1:14" x14ac:dyDescent="0.3">
      <c r="A1794" t="s">
        <v>1840</v>
      </c>
      <c r="B1794" t="s">
        <v>56</v>
      </c>
      <c r="C1794" t="s">
        <v>13</v>
      </c>
      <c r="D1794" t="s">
        <v>37</v>
      </c>
      <c r="E1794" s="1">
        <v>44961</v>
      </c>
      <c r="F1794" s="1">
        <v>44964</v>
      </c>
      <c r="G1794">
        <v>17.899999999999999</v>
      </c>
      <c r="H1794">
        <v>54.51</v>
      </c>
      <c r="I1794" t="s">
        <v>15</v>
      </c>
      <c r="J1794">
        <v>255</v>
      </c>
      <c r="K1794">
        <v>3</v>
      </c>
      <c r="L1794" t="str">
        <f>IF(logistics_data[[#This Row],[Delivery_Date]]="","In Transit",
 IF(logistics_data[[#This Row],[Status]]="Lost","Lost",
 IF(logistics_data[[#This Row],[Status]]="Returned","Returned",
 IF(logistics_data[[#This Row],[Status]]="Delayed","Delayed",
 "Delivered"))))</f>
        <v>Delivered</v>
      </c>
      <c r="M1794" s="2">
        <f>logistics_data[[#This Row],[Cost]]/logistics_data[[#This Row],[Distance_miles]]</f>
        <v>0.21376470588235294</v>
      </c>
      <c r="N1794" t="str">
        <f>IF(logistics_data[[#This Row],[Orginal staus of shipment]]&lt;&gt;"Delivered","not applicabel", IF(logistics_data[[#This Row],[Transit_Days]]&gt;=5,"slow","fast"))</f>
        <v>fast</v>
      </c>
    </row>
    <row r="1795" spans="1:14" x14ac:dyDescent="0.3">
      <c r="A1795" t="s">
        <v>1841</v>
      </c>
      <c r="B1795" t="s">
        <v>56</v>
      </c>
      <c r="C1795" t="s">
        <v>40</v>
      </c>
      <c r="D1795" t="s">
        <v>14</v>
      </c>
      <c r="E1795" s="1">
        <v>45226</v>
      </c>
      <c r="F1795" s="1">
        <v>45229</v>
      </c>
      <c r="G1795">
        <v>7.9</v>
      </c>
      <c r="H1795">
        <v>111.49</v>
      </c>
      <c r="I1795" t="s">
        <v>15</v>
      </c>
      <c r="J1795">
        <v>865</v>
      </c>
      <c r="K1795">
        <v>3</v>
      </c>
      <c r="L1795" t="str">
        <f>IF(logistics_data[[#This Row],[Delivery_Date]]="","In Transit",
 IF(logistics_data[[#This Row],[Status]]="Lost","Lost",
 IF(logistics_data[[#This Row],[Status]]="Returned","Returned",
 IF(logistics_data[[#This Row],[Status]]="Delayed","Delayed",
 "Delivered"))))</f>
        <v>Delivered</v>
      </c>
      <c r="M1795" s="2">
        <f>logistics_data[[#This Row],[Cost]]/logistics_data[[#This Row],[Distance_miles]]</f>
        <v>0.12889017341040462</v>
      </c>
      <c r="N1795" t="str">
        <f>IF(logistics_data[[#This Row],[Orginal staus of shipment]]&lt;&gt;"Delivered","not applicabel", IF(logistics_data[[#This Row],[Transit_Days]]&gt;=5,"slow","fast"))</f>
        <v>fast</v>
      </c>
    </row>
    <row r="1796" spans="1:14" x14ac:dyDescent="0.3">
      <c r="A1796" t="s">
        <v>1842</v>
      </c>
      <c r="B1796" t="s">
        <v>20</v>
      </c>
      <c r="C1796" t="s">
        <v>57</v>
      </c>
      <c r="D1796" t="s">
        <v>25</v>
      </c>
      <c r="E1796" s="1">
        <v>45035</v>
      </c>
      <c r="F1796" s="1">
        <v>45042</v>
      </c>
      <c r="G1796">
        <v>6.7</v>
      </c>
      <c r="H1796">
        <v>213.54</v>
      </c>
      <c r="I1796" t="s">
        <v>62</v>
      </c>
      <c r="J1796">
        <v>1694</v>
      </c>
      <c r="K1796">
        <v>7</v>
      </c>
      <c r="L1796" t="str">
        <f>IF(logistics_data[[#This Row],[Delivery_Date]]="","In Transit",
 IF(logistics_data[[#This Row],[Status]]="Lost","Lost",
 IF(logistics_data[[#This Row],[Status]]="Returned","Returned",
 IF(logistics_data[[#This Row],[Status]]="Delayed","Delayed",
 "Delivered"))))</f>
        <v>Delivered</v>
      </c>
      <c r="M1796" s="2">
        <f>logistics_data[[#This Row],[Cost]]/logistics_data[[#This Row],[Distance_miles]]</f>
        <v>0.12605667060212514</v>
      </c>
      <c r="N1796" t="str">
        <f>IF(logistics_data[[#This Row],[Orginal staus of shipment]]&lt;&gt;"Delivered","not applicabel", IF(logistics_data[[#This Row],[Transit_Days]]&gt;=5,"slow","fast"))</f>
        <v>slow</v>
      </c>
    </row>
    <row r="1797" spans="1:14" x14ac:dyDescent="0.3">
      <c r="A1797" t="s">
        <v>1843</v>
      </c>
      <c r="B1797" t="s">
        <v>30</v>
      </c>
      <c r="C1797" t="s">
        <v>70</v>
      </c>
      <c r="D1797" t="s">
        <v>32</v>
      </c>
      <c r="E1797" s="1">
        <v>45033</v>
      </c>
      <c r="F1797" s="1">
        <v>45039</v>
      </c>
      <c r="G1797">
        <v>5.0999999999999996</v>
      </c>
      <c r="H1797">
        <v>175.6</v>
      </c>
      <c r="I1797" t="s">
        <v>15</v>
      </c>
      <c r="J1797">
        <v>1317</v>
      </c>
      <c r="K1797">
        <v>6</v>
      </c>
      <c r="L1797" t="str">
        <f>IF(logistics_data[[#This Row],[Delivery_Date]]="","In Transit",
 IF(logistics_data[[#This Row],[Status]]="Lost","Lost",
 IF(logistics_data[[#This Row],[Status]]="Returned","Returned",
 IF(logistics_data[[#This Row],[Status]]="Delayed","Delayed",
 "Delivered"))))</f>
        <v>Delivered</v>
      </c>
      <c r="M1797" s="2">
        <f>logistics_data[[#This Row],[Cost]]/logistics_data[[#This Row],[Distance_miles]]</f>
        <v>0.13333333333333333</v>
      </c>
      <c r="N1797" t="str">
        <f>IF(logistics_data[[#This Row],[Orginal staus of shipment]]&lt;&gt;"Delivered","not applicabel", IF(logistics_data[[#This Row],[Transit_Days]]&gt;=5,"slow","fast"))</f>
        <v>slow</v>
      </c>
    </row>
    <row r="1798" spans="1:14" x14ac:dyDescent="0.3">
      <c r="A1798" t="s">
        <v>1844</v>
      </c>
      <c r="B1798" t="s">
        <v>12</v>
      </c>
      <c r="C1798" t="s">
        <v>36</v>
      </c>
      <c r="D1798" t="s">
        <v>59</v>
      </c>
      <c r="E1798" s="1">
        <v>45076</v>
      </c>
      <c r="F1798" s="1">
        <v>45078</v>
      </c>
      <c r="G1798">
        <v>13.1</v>
      </c>
      <c r="H1798">
        <v>82.17</v>
      </c>
      <c r="I1798" t="s">
        <v>15</v>
      </c>
      <c r="J1798">
        <v>645</v>
      </c>
      <c r="K1798">
        <v>2</v>
      </c>
      <c r="L1798" t="str">
        <f>IF(logistics_data[[#This Row],[Delivery_Date]]="","In Transit",
 IF(logistics_data[[#This Row],[Status]]="Lost","Lost",
 IF(logistics_data[[#This Row],[Status]]="Returned","Returned",
 IF(logistics_data[[#This Row],[Status]]="Delayed","Delayed",
 "Delivered"))))</f>
        <v>Delivered</v>
      </c>
      <c r="M1798" s="2">
        <f>logistics_data[[#This Row],[Cost]]/logistics_data[[#This Row],[Distance_miles]]</f>
        <v>0.12739534883720929</v>
      </c>
      <c r="N1798" t="str">
        <f>IF(logistics_data[[#This Row],[Orginal staus of shipment]]&lt;&gt;"Delivered","not applicabel", IF(logistics_data[[#This Row],[Transit_Days]]&gt;=5,"slow","fast"))</f>
        <v>fast</v>
      </c>
    </row>
    <row r="1799" spans="1:14" x14ac:dyDescent="0.3">
      <c r="A1799" t="s">
        <v>1845</v>
      </c>
      <c r="B1799" t="s">
        <v>51</v>
      </c>
      <c r="C1799" t="s">
        <v>44</v>
      </c>
      <c r="D1799" t="s">
        <v>59</v>
      </c>
      <c r="E1799" s="1">
        <v>45074</v>
      </c>
      <c r="F1799" s="1">
        <v>45076</v>
      </c>
      <c r="G1799">
        <v>19.5</v>
      </c>
      <c r="H1799">
        <v>122.68</v>
      </c>
      <c r="I1799" t="s">
        <v>15</v>
      </c>
      <c r="J1799">
        <v>790</v>
      </c>
      <c r="K1799">
        <v>2</v>
      </c>
      <c r="L1799" t="str">
        <f>IF(logistics_data[[#This Row],[Delivery_Date]]="","In Transit",
 IF(logistics_data[[#This Row],[Status]]="Lost","Lost",
 IF(logistics_data[[#This Row],[Status]]="Returned","Returned",
 IF(logistics_data[[#This Row],[Status]]="Delayed","Delayed",
 "Delivered"))))</f>
        <v>Delivered</v>
      </c>
      <c r="M1799" s="2">
        <f>logistics_data[[#This Row],[Cost]]/logistics_data[[#This Row],[Distance_miles]]</f>
        <v>0.15529113924050633</v>
      </c>
      <c r="N1799" t="str">
        <f>IF(logistics_data[[#This Row],[Orginal staus of shipment]]&lt;&gt;"Delivered","not applicabel", IF(logistics_data[[#This Row],[Transit_Days]]&gt;=5,"slow","fast"))</f>
        <v>fast</v>
      </c>
    </row>
    <row r="1800" spans="1:14" x14ac:dyDescent="0.3">
      <c r="A1800" t="s">
        <v>1846</v>
      </c>
      <c r="B1800" t="s">
        <v>49</v>
      </c>
      <c r="C1800" t="s">
        <v>31</v>
      </c>
      <c r="D1800" t="s">
        <v>25</v>
      </c>
      <c r="E1800" s="1">
        <v>45039</v>
      </c>
      <c r="F1800" s="1">
        <v>45042</v>
      </c>
      <c r="G1800">
        <v>12.1</v>
      </c>
      <c r="H1800">
        <v>147.53</v>
      </c>
      <c r="I1800" t="s">
        <v>15</v>
      </c>
      <c r="J1800">
        <v>1172</v>
      </c>
      <c r="K1800">
        <v>3</v>
      </c>
      <c r="L1800" t="str">
        <f>IF(logistics_data[[#This Row],[Delivery_Date]]="","In Transit",
 IF(logistics_data[[#This Row],[Status]]="Lost","Lost",
 IF(logistics_data[[#This Row],[Status]]="Returned","Returned",
 IF(logistics_data[[#This Row],[Status]]="Delayed","Delayed",
 "Delivered"))))</f>
        <v>Delivered</v>
      </c>
      <c r="M1800" s="2">
        <f>logistics_data[[#This Row],[Cost]]/logistics_data[[#This Row],[Distance_miles]]</f>
        <v>0.12587883959044369</v>
      </c>
      <c r="N1800" t="str">
        <f>IF(logistics_data[[#This Row],[Orginal staus of shipment]]&lt;&gt;"Delivered","not applicabel", IF(logistics_data[[#This Row],[Transit_Days]]&gt;=5,"slow","fast"))</f>
        <v>fast</v>
      </c>
    </row>
    <row r="1801" spans="1:14" x14ac:dyDescent="0.3">
      <c r="A1801" t="s">
        <v>1847</v>
      </c>
      <c r="B1801" t="s">
        <v>35</v>
      </c>
      <c r="C1801" t="s">
        <v>17</v>
      </c>
      <c r="D1801" t="s">
        <v>25</v>
      </c>
      <c r="E1801" s="1">
        <v>45138</v>
      </c>
      <c r="F1801" s="1">
        <v>45142</v>
      </c>
      <c r="G1801">
        <v>24.6</v>
      </c>
      <c r="H1801">
        <v>231.44</v>
      </c>
      <c r="I1801" t="s">
        <v>15</v>
      </c>
      <c r="J1801">
        <v>1711</v>
      </c>
      <c r="K1801">
        <v>4</v>
      </c>
      <c r="L1801" t="str">
        <f>IF(logistics_data[[#This Row],[Delivery_Date]]="","In Transit",
 IF(logistics_data[[#This Row],[Status]]="Lost","Lost",
 IF(logistics_data[[#This Row],[Status]]="Returned","Returned",
 IF(logistics_data[[#This Row],[Status]]="Delayed","Delayed",
 "Delivered"))))</f>
        <v>Delivered</v>
      </c>
      <c r="M1801" s="2">
        <f>logistics_data[[#This Row],[Cost]]/logistics_data[[#This Row],[Distance_miles]]</f>
        <v>0.13526592635885448</v>
      </c>
      <c r="N1801" t="str">
        <f>IF(logistics_data[[#This Row],[Orginal staus of shipment]]&lt;&gt;"Delivered","not applicabel", IF(logistics_data[[#This Row],[Transit_Days]]&gt;=5,"slow","fast"))</f>
        <v>fast</v>
      </c>
    </row>
    <row r="1802" spans="1:14" x14ac:dyDescent="0.3">
      <c r="A1802" t="s">
        <v>1848</v>
      </c>
      <c r="B1802" t="s">
        <v>39</v>
      </c>
      <c r="C1802" t="s">
        <v>28</v>
      </c>
      <c r="D1802" t="s">
        <v>25</v>
      </c>
      <c r="E1802" s="1">
        <v>44998</v>
      </c>
      <c r="F1802" s="1">
        <v>45003</v>
      </c>
      <c r="G1802">
        <v>17.7</v>
      </c>
      <c r="H1802">
        <v>325.61</v>
      </c>
      <c r="I1802" t="s">
        <v>15</v>
      </c>
      <c r="J1802">
        <v>2345</v>
      </c>
      <c r="K1802">
        <v>5</v>
      </c>
      <c r="L1802" t="str">
        <f>IF(logistics_data[[#This Row],[Delivery_Date]]="","In Transit",
 IF(logistics_data[[#This Row],[Status]]="Lost","Lost",
 IF(logistics_data[[#This Row],[Status]]="Returned","Returned",
 IF(logistics_data[[#This Row],[Status]]="Delayed","Delayed",
 "Delivered"))))</f>
        <v>Delivered</v>
      </c>
      <c r="M1802" s="2">
        <f>logistics_data[[#This Row],[Cost]]/logistics_data[[#This Row],[Distance_miles]]</f>
        <v>0.13885287846481878</v>
      </c>
      <c r="N1802" t="str">
        <f>IF(logistics_data[[#This Row],[Orginal staus of shipment]]&lt;&gt;"Delivered","not applicabel", IF(logistics_data[[#This Row],[Transit_Days]]&gt;=5,"slow","fast"))</f>
        <v>slow</v>
      </c>
    </row>
    <row r="1803" spans="1:14" x14ac:dyDescent="0.3">
      <c r="A1803" t="s">
        <v>1849</v>
      </c>
      <c r="B1803" t="s">
        <v>20</v>
      </c>
      <c r="C1803" t="s">
        <v>70</v>
      </c>
      <c r="D1803" t="s">
        <v>18</v>
      </c>
      <c r="E1803" s="1">
        <v>45115</v>
      </c>
      <c r="F1803" s="1">
        <v>45117</v>
      </c>
      <c r="G1803">
        <v>61.4</v>
      </c>
      <c r="H1803">
        <v>111.25</v>
      </c>
      <c r="I1803" t="s">
        <v>15</v>
      </c>
      <c r="J1803">
        <v>128</v>
      </c>
      <c r="K1803">
        <v>2</v>
      </c>
      <c r="L1803" t="str">
        <f>IF(logistics_data[[#This Row],[Delivery_Date]]="","In Transit",
 IF(logistics_data[[#This Row],[Status]]="Lost","Lost",
 IF(logistics_data[[#This Row],[Status]]="Returned","Returned",
 IF(logistics_data[[#This Row],[Status]]="Delayed","Delayed",
 "Delivered"))))</f>
        <v>Delivered</v>
      </c>
      <c r="M1803" s="2">
        <f>logistics_data[[#This Row],[Cost]]/logistics_data[[#This Row],[Distance_miles]]</f>
        <v>0.869140625</v>
      </c>
      <c r="N1803" t="str">
        <f>IF(logistics_data[[#This Row],[Orginal staus of shipment]]&lt;&gt;"Delivered","not applicabel", IF(logistics_data[[#This Row],[Transit_Days]]&gt;=5,"slow","fast"))</f>
        <v>fast</v>
      </c>
    </row>
    <row r="1804" spans="1:14" x14ac:dyDescent="0.3">
      <c r="A1804" t="s">
        <v>1850</v>
      </c>
      <c r="B1804" t="s">
        <v>27</v>
      </c>
      <c r="C1804" t="s">
        <v>13</v>
      </c>
      <c r="D1804" t="s">
        <v>32</v>
      </c>
      <c r="E1804" s="1">
        <v>44944</v>
      </c>
      <c r="F1804" s="1">
        <v>44950</v>
      </c>
      <c r="G1804">
        <v>13.6</v>
      </c>
      <c r="H1804">
        <v>260.64999999999998</v>
      </c>
      <c r="I1804" t="s">
        <v>15</v>
      </c>
      <c r="J1804">
        <v>2044</v>
      </c>
      <c r="K1804">
        <v>6</v>
      </c>
      <c r="L1804" t="str">
        <f>IF(logistics_data[[#This Row],[Delivery_Date]]="","In Transit",
 IF(logistics_data[[#This Row],[Status]]="Lost","Lost",
 IF(logistics_data[[#This Row],[Status]]="Returned","Returned",
 IF(logistics_data[[#This Row],[Status]]="Delayed","Delayed",
 "Delivered"))))</f>
        <v>Delivered</v>
      </c>
      <c r="M1804" s="2">
        <f>logistics_data[[#This Row],[Cost]]/logistics_data[[#This Row],[Distance_miles]]</f>
        <v>0.12751956947162427</v>
      </c>
      <c r="N1804" t="str">
        <f>IF(logistics_data[[#This Row],[Orginal staus of shipment]]&lt;&gt;"Delivered","not applicabel", IF(logistics_data[[#This Row],[Transit_Days]]&gt;=5,"slow","fast"))</f>
        <v>slow</v>
      </c>
    </row>
    <row r="1805" spans="1:14" x14ac:dyDescent="0.3">
      <c r="A1805" t="s">
        <v>1851</v>
      </c>
      <c r="B1805" t="s">
        <v>20</v>
      </c>
      <c r="C1805" t="s">
        <v>28</v>
      </c>
      <c r="D1805" t="s">
        <v>59</v>
      </c>
      <c r="E1805" s="1">
        <v>45141</v>
      </c>
      <c r="F1805" s="1">
        <v>45147</v>
      </c>
      <c r="G1805">
        <v>29.4</v>
      </c>
      <c r="H1805">
        <v>212.9</v>
      </c>
      <c r="I1805" t="s">
        <v>62</v>
      </c>
      <c r="J1805">
        <v>1435</v>
      </c>
      <c r="K1805">
        <v>6</v>
      </c>
      <c r="L1805" t="str">
        <f>IF(logistics_data[[#This Row],[Delivery_Date]]="","In Transit",
 IF(logistics_data[[#This Row],[Status]]="Lost","Lost",
 IF(logistics_data[[#This Row],[Status]]="Returned","Returned",
 IF(logistics_data[[#This Row],[Status]]="Delayed","Delayed",
 "Delivered"))))</f>
        <v>Delivered</v>
      </c>
      <c r="M1805" s="2">
        <f>logistics_data[[#This Row],[Cost]]/logistics_data[[#This Row],[Distance_miles]]</f>
        <v>0.14836236933797911</v>
      </c>
      <c r="N1805" t="str">
        <f>IF(logistics_data[[#This Row],[Orginal staus of shipment]]&lt;&gt;"Delivered","not applicabel", IF(logistics_data[[#This Row],[Transit_Days]]&gt;=5,"slow","fast"))</f>
        <v>slow</v>
      </c>
    </row>
    <row r="1806" spans="1:14" x14ac:dyDescent="0.3">
      <c r="A1806" t="s">
        <v>1852</v>
      </c>
      <c r="B1806" t="s">
        <v>39</v>
      </c>
      <c r="C1806" t="s">
        <v>54</v>
      </c>
      <c r="D1806" t="s">
        <v>32</v>
      </c>
      <c r="E1806" s="1">
        <v>45227</v>
      </c>
      <c r="F1806" s="1">
        <v>45243</v>
      </c>
      <c r="G1806">
        <v>14.7</v>
      </c>
      <c r="H1806">
        <v>224.05</v>
      </c>
      <c r="I1806" t="s">
        <v>47</v>
      </c>
      <c r="J1806">
        <v>1715</v>
      </c>
      <c r="K1806">
        <v>5</v>
      </c>
      <c r="L1806" t="str">
        <f>IF(logistics_data[[#This Row],[Delivery_Date]]="","In Transit",
 IF(logistics_data[[#This Row],[Status]]="Lost","Lost",
 IF(logistics_data[[#This Row],[Status]]="Returned","Returned",
 IF(logistics_data[[#This Row],[Status]]="Delayed","Delayed",
 "Delivered"))))</f>
        <v>Delayed</v>
      </c>
      <c r="M1806" s="2">
        <f>logistics_data[[#This Row],[Cost]]/logistics_data[[#This Row],[Distance_miles]]</f>
        <v>0.13064139941690964</v>
      </c>
      <c r="N1806" t="str">
        <f>IF(logistics_data[[#This Row],[Orginal staus of shipment]]&lt;&gt;"Delivered","not applicabel", IF(logistics_data[[#This Row],[Transit_Days]]&gt;=5,"slow","fast"))</f>
        <v>not applicabel</v>
      </c>
    </row>
    <row r="1807" spans="1:14" x14ac:dyDescent="0.3">
      <c r="A1807" t="s">
        <v>1853</v>
      </c>
      <c r="B1807" t="s">
        <v>30</v>
      </c>
      <c r="C1807" t="s">
        <v>52</v>
      </c>
      <c r="D1807" t="s">
        <v>18</v>
      </c>
      <c r="E1807" s="1">
        <v>45279</v>
      </c>
      <c r="F1807" s="1">
        <v>45283</v>
      </c>
      <c r="G1807">
        <v>7.4</v>
      </c>
      <c r="H1807">
        <v>323.36</v>
      </c>
      <c r="I1807" t="s">
        <v>15</v>
      </c>
      <c r="J1807">
        <v>1880</v>
      </c>
      <c r="K1807">
        <v>4</v>
      </c>
      <c r="L1807" t="str">
        <f>IF(logistics_data[[#This Row],[Delivery_Date]]="","In Transit",
 IF(logistics_data[[#This Row],[Status]]="Lost","Lost",
 IF(logistics_data[[#This Row],[Status]]="Returned","Returned",
 IF(logistics_data[[#This Row],[Status]]="Delayed","Delayed",
 "Delivered"))))</f>
        <v>Delivered</v>
      </c>
      <c r="M1807" s="2">
        <f>logistics_data[[#This Row],[Cost]]/logistics_data[[#This Row],[Distance_miles]]</f>
        <v>0.17200000000000001</v>
      </c>
      <c r="N1807" t="str">
        <f>IF(logistics_data[[#This Row],[Orginal staus of shipment]]&lt;&gt;"Delivered","not applicabel", IF(logistics_data[[#This Row],[Transit_Days]]&gt;=5,"slow","fast"))</f>
        <v>fast</v>
      </c>
    </row>
    <row r="1808" spans="1:14" x14ac:dyDescent="0.3">
      <c r="A1808" t="s">
        <v>1854</v>
      </c>
      <c r="B1808" t="s">
        <v>51</v>
      </c>
      <c r="C1808" t="s">
        <v>21</v>
      </c>
      <c r="D1808" t="s">
        <v>25</v>
      </c>
      <c r="E1808" s="1">
        <v>45111</v>
      </c>
      <c r="F1808" s="1">
        <v>45117</v>
      </c>
      <c r="G1808">
        <v>16.2</v>
      </c>
      <c r="H1808">
        <v>245.98</v>
      </c>
      <c r="I1808" t="s">
        <v>15</v>
      </c>
      <c r="J1808">
        <v>1870</v>
      </c>
      <c r="K1808">
        <v>6</v>
      </c>
      <c r="L1808" t="str">
        <f>IF(logistics_data[[#This Row],[Delivery_Date]]="","In Transit",
 IF(logistics_data[[#This Row],[Status]]="Lost","Lost",
 IF(logistics_data[[#This Row],[Status]]="Returned","Returned",
 IF(logistics_data[[#This Row],[Status]]="Delayed","Delayed",
 "Delivered"))))</f>
        <v>Delivered</v>
      </c>
      <c r="M1808" s="2">
        <f>logistics_data[[#This Row],[Cost]]/logistics_data[[#This Row],[Distance_miles]]</f>
        <v>0.13154010695187165</v>
      </c>
      <c r="N1808" t="str">
        <f>IF(logistics_data[[#This Row],[Orginal staus of shipment]]&lt;&gt;"Delivered","not applicabel", IF(logistics_data[[#This Row],[Transit_Days]]&gt;=5,"slow","fast"))</f>
        <v>slow</v>
      </c>
    </row>
    <row r="1809" spans="1:14" x14ac:dyDescent="0.3">
      <c r="A1809" t="s">
        <v>1855</v>
      </c>
      <c r="B1809" t="s">
        <v>51</v>
      </c>
      <c r="C1809" t="s">
        <v>36</v>
      </c>
      <c r="D1809" t="s">
        <v>42</v>
      </c>
      <c r="E1809" s="1">
        <v>45113</v>
      </c>
      <c r="F1809" s="1">
        <v>45117</v>
      </c>
      <c r="G1809">
        <v>6.2</v>
      </c>
      <c r="H1809">
        <v>139.44</v>
      </c>
      <c r="I1809" t="s">
        <v>15</v>
      </c>
      <c r="J1809">
        <v>1227</v>
      </c>
      <c r="K1809">
        <v>4</v>
      </c>
      <c r="L1809" t="str">
        <f>IF(logistics_data[[#This Row],[Delivery_Date]]="","In Transit",
 IF(logistics_data[[#This Row],[Status]]="Lost","Lost",
 IF(logistics_data[[#This Row],[Status]]="Returned","Returned",
 IF(logistics_data[[#This Row],[Status]]="Delayed","Delayed",
 "Delivered"))))</f>
        <v>Delivered</v>
      </c>
      <c r="M1809" s="2">
        <f>logistics_data[[#This Row],[Cost]]/logistics_data[[#This Row],[Distance_miles]]</f>
        <v>0.11364303178484107</v>
      </c>
      <c r="N1809" t="str">
        <f>IF(logistics_data[[#This Row],[Orginal staus of shipment]]&lt;&gt;"Delivered","not applicabel", IF(logistics_data[[#This Row],[Transit_Days]]&gt;=5,"slow","fast"))</f>
        <v>fast</v>
      </c>
    </row>
    <row r="1810" spans="1:14" x14ac:dyDescent="0.3">
      <c r="A1810" t="s">
        <v>1856</v>
      </c>
      <c r="B1810" t="s">
        <v>39</v>
      </c>
      <c r="C1810" t="s">
        <v>13</v>
      </c>
      <c r="D1810" t="s">
        <v>25</v>
      </c>
      <c r="E1810" s="1">
        <v>45062</v>
      </c>
      <c r="F1810" s="1">
        <v>45069</v>
      </c>
      <c r="G1810">
        <v>15.7</v>
      </c>
      <c r="H1810">
        <v>318.83999999999997</v>
      </c>
      <c r="I1810" t="s">
        <v>15</v>
      </c>
      <c r="J1810">
        <v>2321</v>
      </c>
      <c r="K1810">
        <v>7</v>
      </c>
      <c r="L1810" t="str">
        <f>IF(logistics_data[[#This Row],[Delivery_Date]]="","In Transit",
 IF(logistics_data[[#This Row],[Status]]="Lost","Lost",
 IF(logistics_data[[#This Row],[Status]]="Returned","Returned",
 IF(logistics_data[[#This Row],[Status]]="Delayed","Delayed",
 "Delivered"))))</f>
        <v>Delivered</v>
      </c>
      <c r="M1810" s="2">
        <f>logistics_data[[#This Row],[Cost]]/logistics_data[[#This Row],[Distance_miles]]</f>
        <v>0.13737182249030588</v>
      </c>
      <c r="N1810" t="str">
        <f>IF(logistics_data[[#This Row],[Orginal staus of shipment]]&lt;&gt;"Delivered","not applicabel", IF(logistics_data[[#This Row],[Transit_Days]]&gt;=5,"slow","fast"))</f>
        <v>slow</v>
      </c>
    </row>
    <row r="1811" spans="1:14" x14ac:dyDescent="0.3">
      <c r="A1811" t="s">
        <v>1857</v>
      </c>
      <c r="B1811" t="s">
        <v>56</v>
      </c>
      <c r="C1811" t="s">
        <v>17</v>
      </c>
      <c r="D1811" t="s">
        <v>59</v>
      </c>
      <c r="E1811" s="1">
        <v>45119</v>
      </c>
      <c r="F1811" s="1">
        <v>45123</v>
      </c>
      <c r="G1811">
        <v>30.2</v>
      </c>
      <c r="I1811" t="s">
        <v>15</v>
      </c>
      <c r="J1811">
        <v>1393</v>
      </c>
      <c r="K1811">
        <v>4</v>
      </c>
      <c r="L1811" t="str">
        <f>IF(logistics_data[[#This Row],[Delivery_Date]]="","In Transit",
 IF(logistics_data[[#This Row],[Status]]="Lost","Lost",
 IF(logistics_data[[#This Row],[Status]]="Returned","Returned",
 IF(logistics_data[[#This Row],[Status]]="Delayed","Delayed",
 "Delivered"))))</f>
        <v>Delivered</v>
      </c>
      <c r="M1811" s="2">
        <f>logistics_data[[#This Row],[Cost]]/logistics_data[[#This Row],[Distance_miles]]</f>
        <v>0</v>
      </c>
      <c r="N1811" t="str">
        <f>IF(logistics_data[[#This Row],[Orginal staus of shipment]]&lt;&gt;"Delivered","not applicabel", IF(logistics_data[[#This Row],[Transit_Days]]&gt;=5,"slow","fast"))</f>
        <v>fast</v>
      </c>
    </row>
    <row r="1812" spans="1:14" x14ac:dyDescent="0.3">
      <c r="A1812" t="s">
        <v>1858</v>
      </c>
      <c r="B1812" t="s">
        <v>30</v>
      </c>
      <c r="C1812" t="s">
        <v>17</v>
      </c>
      <c r="D1812" t="s">
        <v>32</v>
      </c>
      <c r="E1812" s="1">
        <v>45128</v>
      </c>
      <c r="F1812" s="1">
        <v>45136</v>
      </c>
      <c r="G1812">
        <v>32.799999999999997</v>
      </c>
      <c r="H1812">
        <v>360.03</v>
      </c>
      <c r="I1812" t="s">
        <v>15</v>
      </c>
      <c r="J1812">
        <v>2464</v>
      </c>
      <c r="K1812">
        <v>8</v>
      </c>
      <c r="L1812" t="str">
        <f>IF(logistics_data[[#This Row],[Delivery_Date]]="","In Transit",
 IF(logistics_data[[#This Row],[Status]]="Lost","Lost",
 IF(logistics_data[[#This Row],[Status]]="Returned","Returned",
 IF(logistics_data[[#This Row],[Status]]="Delayed","Delayed",
 "Delivered"))))</f>
        <v>Delivered</v>
      </c>
      <c r="M1812" s="2">
        <f>logistics_data[[#This Row],[Cost]]/logistics_data[[#This Row],[Distance_miles]]</f>
        <v>0.14611607142857141</v>
      </c>
      <c r="N1812" t="str">
        <f>IF(logistics_data[[#This Row],[Orginal staus of shipment]]&lt;&gt;"Delivered","not applicabel", IF(logistics_data[[#This Row],[Transit_Days]]&gt;=5,"slow","fast"))</f>
        <v>slow</v>
      </c>
    </row>
    <row r="1813" spans="1:14" x14ac:dyDescent="0.3">
      <c r="A1813" t="s">
        <v>1859</v>
      </c>
      <c r="B1813" t="s">
        <v>12</v>
      </c>
      <c r="C1813" t="s">
        <v>40</v>
      </c>
      <c r="D1813" t="s">
        <v>18</v>
      </c>
      <c r="E1813" s="1">
        <v>45032</v>
      </c>
      <c r="F1813" s="1">
        <v>45034</v>
      </c>
      <c r="G1813">
        <v>29.5</v>
      </c>
      <c r="H1813">
        <v>110.42</v>
      </c>
      <c r="I1813" t="s">
        <v>15</v>
      </c>
      <c r="J1813">
        <v>476</v>
      </c>
      <c r="K1813">
        <v>2</v>
      </c>
      <c r="L1813" t="str">
        <f>IF(logistics_data[[#This Row],[Delivery_Date]]="","In Transit",
 IF(logistics_data[[#This Row],[Status]]="Lost","Lost",
 IF(logistics_data[[#This Row],[Status]]="Returned","Returned",
 IF(logistics_data[[#This Row],[Status]]="Delayed","Delayed",
 "Delivered"))))</f>
        <v>Delivered</v>
      </c>
      <c r="M1813" s="2">
        <f>logistics_data[[#This Row],[Cost]]/logistics_data[[#This Row],[Distance_miles]]</f>
        <v>0.2319747899159664</v>
      </c>
      <c r="N1813" t="str">
        <f>IF(logistics_data[[#This Row],[Orginal staus of shipment]]&lt;&gt;"Delivered","not applicabel", IF(logistics_data[[#This Row],[Transit_Days]]&gt;=5,"slow","fast"))</f>
        <v>fast</v>
      </c>
    </row>
    <row r="1814" spans="1:14" x14ac:dyDescent="0.3">
      <c r="A1814" t="s">
        <v>1860</v>
      </c>
      <c r="B1814" t="s">
        <v>51</v>
      </c>
      <c r="C1814" t="s">
        <v>52</v>
      </c>
      <c r="D1814" t="s">
        <v>25</v>
      </c>
      <c r="E1814" s="1">
        <v>45170</v>
      </c>
      <c r="F1814" s="1">
        <v>45174</v>
      </c>
      <c r="G1814">
        <v>16.7</v>
      </c>
      <c r="H1814">
        <v>203.66</v>
      </c>
      <c r="I1814" t="s">
        <v>15</v>
      </c>
      <c r="J1814">
        <v>1423</v>
      </c>
      <c r="K1814">
        <v>4</v>
      </c>
      <c r="L1814" t="str">
        <f>IF(logistics_data[[#This Row],[Delivery_Date]]="","In Transit",
 IF(logistics_data[[#This Row],[Status]]="Lost","Lost",
 IF(logistics_data[[#This Row],[Status]]="Returned","Returned",
 IF(logistics_data[[#This Row],[Status]]="Delayed","Delayed",
 "Delivered"))))</f>
        <v>Delivered</v>
      </c>
      <c r="M1814" s="2">
        <f>logistics_data[[#This Row],[Cost]]/logistics_data[[#This Row],[Distance_miles]]</f>
        <v>0.14312016865776528</v>
      </c>
      <c r="N1814" t="str">
        <f>IF(logistics_data[[#This Row],[Orginal staus of shipment]]&lt;&gt;"Delivered","not applicabel", IF(logistics_data[[#This Row],[Transit_Days]]&gt;=5,"slow","fast"))</f>
        <v>fast</v>
      </c>
    </row>
    <row r="1815" spans="1:14" x14ac:dyDescent="0.3">
      <c r="A1815" t="s">
        <v>1861</v>
      </c>
      <c r="B1815" t="s">
        <v>49</v>
      </c>
      <c r="C1815" t="s">
        <v>13</v>
      </c>
      <c r="D1815" t="s">
        <v>32</v>
      </c>
      <c r="E1815" s="1">
        <v>45055</v>
      </c>
      <c r="F1815" s="1">
        <v>45070</v>
      </c>
      <c r="G1815">
        <v>16.600000000000001</v>
      </c>
      <c r="H1815">
        <v>285.36</v>
      </c>
      <c r="I1815" t="s">
        <v>47</v>
      </c>
      <c r="J1815">
        <v>2126</v>
      </c>
      <c r="K1815">
        <v>7</v>
      </c>
      <c r="L1815" t="str">
        <f>IF(logistics_data[[#This Row],[Delivery_Date]]="","In Transit",
 IF(logistics_data[[#This Row],[Status]]="Lost","Lost",
 IF(logistics_data[[#This Row],[Status]]="Returned","Returned",
 IF(logistics_data[[#This Row],[Status]]="Delayed","Delayed",
 "Delivered"))))</f>
        <v>Delayed</v>
      </c>
      <c r="M1815" s="2">
        <f>logistics_data[[#This Row],[Cost]]/logistics_data[[#This Row],[Distance_miles]]</f>
        <v>0.1342238946378175</v>
      </c>
      <c r="N1815" t="str">
        <f>IF(logistics_data[[#This Row],[Orginal staus of shipment]]&lt;&gt;"Delivered","not applicabel", IF(logistics_data[[#This Row],[Transit_Days]]&gt;=5,"slow","fast"))</f>
        <v>not applicabel</v>
      </c>
    </row>
    <row r="1816" spans="1:14" x14ac:dyDescent="0.3">
      <c r="A1816" t="s">
        <v>1862</v>
      </c>
      <c r="B1816" t="s">
        <v>56</v>
      </c>
      <c r="C1816" t="s">
        <v>13</v>
      </c>
      <c r="D1816" t="s">
        <v>42</v>
      </c>
      <c r="E1816" s="1">
        <v>45212</v>
      </c>
      <c r="F1816" s="1">
        <v>45216</v>
      </c>
      <c r="G1816">
        <v>17</v>
      </c>
      <c r="H1816">
        <v>245.26</v>
      </c>
      <c r="I1816" t="s">
        <v>15</v>
      </c>
      <c r="J1816">
        <v>1731</v>
      </c>
      <c r="K1816">
        <v>4</v>
      </c>
      <c r="L1816" t="str">
        <f>IF(logistics_data[[#This Row],[Delivery_Date]]="","In Transit",
 IF(logistics_data[[#This Row],[Status]]="Lost","Lost",
 IF(logistics_data[[#This Row],[Status]]="Returned","Returned",
 IF(logistics_data[[#This Row],[Status]]="Delayed","Delayed",
 "Delivered"))))</f>
        <v>Delivered</v>
      </c>
      <c r="M1816" s="2">
        <f>logistics_data[[#This Row],[Cost]]/logistics_data[[#This Row],[Distance_miles]]</f>
        <v>0.14168688619295206</v>
      </c>
      <c r="N1816" t="str">
        <f>IF(logistics_data[[#This Row],[Orginal staus of shipment]]&lt;&gt;"Delivered","not applicabel", IF(logistics_data[[#This Row],[Transit_Days]]&gt;=5,"slow","fast"))</f>
        <v>fast</v>
      </c>
    </row>
    <row r="1817" spans="1:14" x14ac:dyDescent="0.3">
      <c r="A1817" t="s">
        <v>1863</v>
      </c>
      <c r="B1817" t="s">
        <v>20</v>
      </c>
      <c r="C1817" t="s">
        <v>81</v>
      </c>
      <c r="D1817" t="s">
        <v>37</v>
      </c>
      <c r="E1817" s="1">
        <v>45189</v>
      </c>
      <c r="F1817" s="1">
        <v>45191</v>
      </c>
      <c r="G1817">
        <v>30.5</v>
      </c>
      <c r="H1817">
        <v>115.38</v>
      </c>
      <c r="I1817" t="s">
        <v>15</v>
      </c>
      <c r="J1817">
        <v>619</v>
      </c>
      <c r="K1817">
        <v>2</v>
      </c>
      <c r="L1817" t="str">
        <f>IF(logistics_data[[#This Row],[Delivery_Date]]="","In Transit",
 IF(logistics_data[[#This Row],[Status]]="Lost","Lost",
 IF(logistics_data[[#This Row],[Status]]="Returned","Returned",
 IF(logistics_data[[#This Row],[Status]]="Delayed","Delayed",
 "Delivered"))))</f>
        <v>Delivered</v>
      </c>
      <c r="M1817" s="2">
        <f>logistics_data[[#This Row],[Cost]]/logistics_data[[#This Row],[Distance_miles]]</f>
        <v>0.18639741518578351</v>
      </c>
      <c r="N1817" t="str">
        <f>IF(logistics_data[[#This Row],[Orginal staus of shipment]]&lt;&gt;"Delivered","not applicabel", IF(logistics_data[[#This Row],[Transit_Days]]&gt;=5,"slow","fast"))</f>
        <v>fast</v>
      </c>
    </row>
    <row r="1818" spans="1:14" x14ac:dyDescent="0.3">
      <c r="A1818" t="s">
        <v>1864</v>
      </c>
      <c r="B1818" t="s">
        <v>12</v>
      </c>
      <c r="C1818" t="s">
        <v>57</v>
      </c>
      <c r="D1818" t="s">
        <v>18</v>
      </c>
      <c r="E1818" s="1">
        <v>45071</v>
      </c>
      <c r="F1818" s="1">
        <v>45076</v>
      </c>
      <c r="G1818">
        <v>17.7</v>
      </c>
      <c r="H1818">
        <v>326.89999999999998</v>
      </c>
      <c r="I1818" t="s">
        <v>15</v>
      </c>
      <c r="J1818">
        <v>2208</v>
      </c>
      <c r="K1818">
        <v>5</v>
      </c>
      <c r="L1818" t="str">
        <f>IF(logistics_data[[#This Row],[Delivery_Date]]="","In Transit",
 IF(logistics_data[[#This Row],[Status]]="Lost","Lost",
 IF(logistics_data[[#This Row],[Status]]="Returned","Returned",
 IF(logistics_data[[#This Row],[Status]]="Delayed","Delayed",
 "Delivered"))))</f>
        <v>Delivered</v>
      </c>
      <c r="M1818" s="2">
        <f>logistics_data[[#This Row],[Cost]]/logistics_data[[#This Row],[Distance_miles]]</f>
        <v>0.14805253623188405</v>
      </c>
      <c r="N1818" t="str">
        <f>IF(logistics_data[[#This Row],[Orginal staus of shipment]]&lt;&gt;"Delivered","not applicabel", IF(logistics_data[[#This Row],[Transit_Days]]&gt;=5,"slow","fast"))</f>
        <v>slow</v>
      </c>
    </row>
    <row r="1819" spans="1:14" x14ac:dyDescent="0.3">
      <c r="A1819" t="s">
        <v>1865</v>
      </c>
      <c r="B1819" t="s">
        <v>35</v>
      </c>
      <c r="C1819" t="s">
        <v>28</v>
      </c>
      <c r="D1819" t="s">
        <v>59</v>
      </c>
      <c r="E1819" s="1">
        <v>45039</v>
      </c>
      <c r="F1819" s="1">
        <v>45043</v>
      </c>
      <c r="G1819">
        <v>11.6</v>
      </c>
      <c r="H1819">
        <v>135.55000000000001</v>
      </c>
      <c r="I1819" t="s">
        <v>15</v>
      </c>
      <c r="J1819">
        <v>1021</v>
      </c>
      <c r="K1819">
        <v>4</v>
      </c>
      <c r="L1819" t="str">
        <f>IF(logistics_data[[#This Row],[Delivery_Date]]="","In Transit",
 IF(logistics_data[[#This Row],[Status]]="Lost","Lost",
 IF(logistics_data[[#This Row],[Status]]="Returned","Returned",
 IF(logistics_data[[#This Row],[Status]]="Delayed","Delayed",
 "Delivered"))))</f>
        <v>Delivered</v>
      </c>
      <c r="M1819" s="2">
        <f>logistics_data[[#This Row],[Cost]]/logistics_data[[#This Row],[Distance_miles]]</f>
        <v>0.13276199804113614</v>
      </c>
      <c r="N1819" t="str">
        <f>IF(logistics_data[[#This Row],[Orginal staus of shipment]]&lt;&gt;"Delivered","not applicabel", IF(logistics_data[[#This Row],[Transit_Days]]&gt;=5,"slow","fast"))</f>
        <v>fast</v>
      </c>
    </row>
    <row r="1820" spans="1:14" x14ac:dyDescent="0.3">
      <c r="A1820" t="s">
        <v>1866</v>
      </c>
      <c r="B1820" t="s">
        <v>23</v>
      </c>
      <c r="C1820" t="s">
        <v>40</v>
      </c>
      <c r="D1820" t="s">
        <v>25</v>
      </c>
      <c r="E1820" s="1">
        <v>45057</v>
      </c>
      <c r="F1820" s="1">
        <v>45065</v>
      </c>
      <c r="G1820">
        <v>34.6</v>
      </c>
      <c r="H1820">
        <v>319.66000000000003</v>
      </c>
      <c r="I1820" t="s">
        <v>15</v>
      </c>
      <c r="J1820">
        <v>2216</v>
      </c>
      <c r="K1820">
        <v>8</v>
      </c>
      <c r="L1820" t="str">
        <f>IF(logistics_data[[#This Row],[Delivery_Date]]="","In Transit",
 IF(logistics_data[[#This Row],[Status]]="Lost","Lost",
 IF(logistics_data[[#This Row],[Status]]="Returned","Returned",
 IF(logistics_data[[#This Row],[Status]]="Delayed","Delayed",
 "Delivered"))))</f>
        <v>Delivered</v>
      </c>
      <c r="M1820" s="2">
        <f>logistics_data[[#This Row],[Cost]]/logistics_data[[#This Row],[Distance_miles]]</f>
        <v>0.14425090252707581</v>
      </c>
      <c r="N1820" t="str">
        <f>IF(logistics_data[[#This Row],[Orginal staus of shipment]]&lt;&gt;"Delivered","not applicabel", IF(logistics_data[[#This Row],[Transit_Days]]&gt;=5,"slow","fast"))</f>
        <v>slow</v>
      </c>
    </row>
    <row r="1821" spans="1:14" x14ac:dyDescent="0.3">
      <c r="A1821" t="s">
        <v>1867</v>
      </c>
      <c r="B1821" t="s">
        <v>23</v>
      </c>
      <c r="C1821" t="s">
        <v>81</v>
      </c>
      <c r="D1821" t="s">
        <v>18</v>
      </c>
      <c r="E1821" s="1">
        <v>44980</v>
      </c>
      <c r="F1821" s="1">
        <v>44986</v>
      </c>
      <c r="G1821">
        <v>35.299999999999997</v>
      </c>
      <c r="H1821">
        <v>314.52</v>
      </c>
      <c r="I1821" t="s">
        <v>15</v>
      </c>
      <c r="J1821">
        <v>1724</v>
      </c>
      <c r="K1821">
        <v>6</v>
      </c>
      <c r="L1821" t="str">
        <f>IF(logistics_data[[#This Row],[Delivery_Date]]="","In Transit",
 IF(logistics_data[[#This Row],[Status]]="Lost","Lost",
 IF(logistics_data[[#This Row],[Status]]="Returned","Returned",
 IF(logistics_data[[#This Row],[Status]]="Delayed","Delayed",
 "Delivered"))))</f>
        <v>Delivered</v>
      </c>
      <c r="M1821" s="2">
        <f>logistics_data[[#This Row],[Cost]]/logistics_data[[#This Row],[Distance_miles]]</f>
        <v>0.18243619489559162</v>
      </c>
      <c r="N1821" t="str">
        <f>IF(logistics_data[[#This Row],[Orginal staus of shipment]]&lt;&gt;"Delivered","not applicabel", IF(logistics_data[[#This Row],[Transit_Days]]&gt;=5,"slow","fast"))</f>
        <v>slow</v>
      </c>
    </row>
    <row r="1822" spans="1:14" x14ac:dyDescent="0.3">
      <c r="A1822" t="s">
        <v>1868</v>
      </c>
      <c r="B1822" t="s">
        <v>27</v>
      </c>
      <c r="C1822" t="s">
        <v>70</v>
      </c>
      <c r="D1822" t="s">
        <v>59</v>
      </c>
      <c r="E1822" s="1">
        <v>45037</v>
      </c>
      <c r="F1822" s="1">
        <v>45043</v>
      </c>
      <c r="G1822">
        <v>5.3</v>
      </c>
      <c r="H1822">
        <v>263.08</v>
      </c>
      <c r="I1822" t="s">
        <v>15</v>
      </c>
      <c r="J1822">
        <v>2362</v>
      </c>
      <c r="K1822">
        <v>6</v>
      </c>
      <c r="L1822" t="str">
        <f>IF(logistics_data[[#This Row],[Delivery_Date]]="","In Transit",
 IF(logistics_data[[#This Row],[Status]]="Lost","Lost",
 IF(logistics_data[[#This Row],[Status]]="Returned","Returned",
 IF(logistics_data[[#This Row],[Status]]="Delayed","Delayed",
 "Delivered"))))</f>
        <v>Delivered</v>
      </c>
      <c r="M1822" s="2">
        <f>logistics_data[[#This Row],[Cost]]/logistics_data[[#This Row],[Distance_miles]]</f>
        <v>0.11138018628281117</v>
      </c>
      <c r="N1822" t="str">
        <f>IF(logistics_data[[#This Row],[Orginal staus of shipment]]&lt;&gt;"Delivered","not applicabel", IF(logistics_data[[#This Row],[Transit_Days]]&gt;=5,"slow","fast"))</f>
        <v>slow</v>
      </c>
    </row>
    <row r="1823" spans="1:14" x14ac:dyDescent="0.3">
      <c r="A1823" t="s">
        <v>1869</v>
      </c>
      <c r="B1823" t="s">
        <v>12</v>
      </c>
      <c r="C1823" t="s">
        <v>40</v>
      </c>
      <c r="D1823" t="s">
        <v>25</v>
      </c>
      <c r="E1823" s="1">
        <v>45012</v>
      </c>
      <c r="F1823" s="1">
        <v>45017</v>
      </c>
      <c r="G1823">
        <v>32.1</v>
      </c>
      <c r="H1823">
        <v>323.02999999999997</v>
      </c>
      <c r="I1823" t="s">
        <v>15</v>
      </c>
      <c r="J1823">
        <v>2360</v>
      </c>
      <c r="K1823">
        <v>5</v>
      </c>
      <c r="L1823" t="str">
        <f>IF(logistics_data[[#This Row],[Delivery_Date]]="","In Transit",
 IF(logistics_data[[#This Row],[Status]]="Lost","Lost",
 IF(logistics_data[[#This Row],[Status]]="Returned","Returned",
 IF(logistics_data[[#This Row],[Status]]="Delayed","Delayed",
 "Delivered"))))</f>
        <v>Delivered</v>
      </c>
      <c r="M1823" s="2">
        <f>logistics_data[[#This Row],[Cost]]/logistics_data[[#This Row],[Distance_miles]]</f>
        <v>0.13687711864406779</v>
      </c>
      <c r="N1823" t="str">
        <f>IF(logistics_data[[#This Row],[Orginal staus of shipment]]&lt;&gt;"Delivered","not applicabel", IF(logistics_data[[#This Row],[Transit_Days]]&gt;=5,"slow","fast"))</f>
        <v>slow</v>
      </c>
    </row>
    <row r="1824" spans="1:14" x14ac:dyDescent="0.3">
      <c r="A1824" t="s">
        <v>1870</v>
      </c>
      <c r="B1824" t="s">
        <v>30</v>
      </c>
      <c r="C1824" t="s">
        <v>46</v>
      </c>
      <c r="D1824" t="s">
        <v>25</v>
      </c>
      <c r="E1824" s="1">
        <v>44989</v>
      </c>
      <c r="F1824" s="1">
        <v>44995</v>
      </c>
      <c r="G1824">
        <v>17.100000000000001</v>
      </c>
      <c r="H1824">
        <v>302.85000000000002</v>
      </c>
      <c r="I1824" t="s">
        <v>15</v>
      </c>
      <c r="J1824">
        <v>2450</v>
      </c>
      <c r="K1824">
        <v>6</v>
      </c>
      <c r="L1824" t="str">
        <f>IF(logistics_data[[#This Row],[Delivery_Date]]="","In Transit",
 IF(logistics_data[[#This Row],[Status]]="Lost","Lost",
 IF(logistics_data[[#This Row],[Status]]="Returned","Returned",
 IF(logistics_data[[#This Row],[Status]]="Delayed","Delayed",
 "Delivered"))))</f>
        <v>Delivered</v>
      </c>
      <c r="M1824" s="2">
        <f>logistics_data[[#This Row],[Cost]]/logistics_data[[#This Row],[Distance_miles]]</f>
        <v>0.12361224489795919</v>
      </c>
      <c r="N1824" t="str">
        <f>IF(logistics_data[[#This Row],[Orginal staus of shipment]]&lt;&gt;"Delivered","not applicabel", IF(logistics_data[[#This Row],[Transit_Days]]&gt;=5,"slow","fast"))</f>
        <v>slow</v>
      </c>
    </row>
    <row r="1825" spans="1:14" x14ac:dyDescent="0.3">
      <c r="A1825" t="s">
        <v>1871</v>
      </c>
      <c r="B1825" t="s">
        <v>39</v>
      </c>
      <c r="C1825" t="s">
        <v>46</v>
      </c>
      <c r="D1825" t="s">
        <v>37</v>
      </c>
      <c r="E1825" s="1">
        <v>45047</v>
      </c>
      <c r="F1825" s="1">
        <v>45051</v>
      </c>
      <c r="G1825">
        <v>7.5</v>
      </c>
      <c r="H1825">
        <v>208.84</v>
      </c>
      <c r="I1825" t="s">
        <v>15</v>
      </c>
      <c r="J1825">
        <v>1642</v>
      </c>
      <c r="K1825">
        <v>4</v>
      </c>
      <c r="L1825" t="str">
        <f>IF(logistics_data[[#This Row],[Delivery_Date]]="","In Transit",
 IF(logistics_data[[#This Row],[Status]]="Lost","Lost",
 IF(logistics_data[[#This Row],[Status]]="Returned","Returned",
 IF(logistics_data[[#This Row],[Status]]="Delayed","Delayed",
 "Delivered"))))</f>
        <v>Delivered</v>
      </c>
      <c r="M1825" s="2">
        <f>logistics_data[[#This Row],[Cost]]/logistics_data[[#This Row],[Distance_miles]]</f>
        <v>0.12718635809987819</v>
      </c>
      <c r="N1825" t="str">
        <f>IF(logistics_data[[#This Row],[Orginal staus of shipment]]&lt;&gt;"Delivered","not applicabel", IF(logistics_data[[#This Row],[Transit_Days]]&gt;=5,"slow","fast"))</f>
        <v>fast</v>
      </c>
    </row>
    <row r="1826" spans="1:14" x14ac:dyDescent="0.3">
      <c r="A1826" t="s">
        <v>1872</v>
      </c>
      <c r="B1826" t="s">
        <v>39</v>
      </c>
      <c r="C1826" t="s">
        <v>31</v>
      </c>
      <c r="D1826" t="s">
        <v>59</v>
      </c>
      <c r="E1826" s="1">
        <v>44977</v>
      </c>
      <c r="F1826" s="1">
        <v>44984</v>
      </c>
      <c r="G1826">
        <v>89.4</v>
      </c>
      <c r="H1826">
        <v>267.14</v>
      </c>
      <c r="I1826" t="s">
        <v>15</v>
      </c>
      <c r="J1826">
        <v>1548</v>
      </c>
      <c r="K1826">
        <v>7</v>
      </c>
      <c r="L1826" t="str">
        <f>IF(logistics_data[[#This Row],[Delivery_Date]]="","In Transit",
 IF(logistics_data[[#This Row],[Status]]="Lost","Lost",
 IF(logistics_data[[#This Row],[Status]]="Returned","Returned",
 IF(logistics_data[[#This Row],[Status]]="Delayed","Delayed",
 "Delivered"))))</f>
        <v>Delivered</v>
      </c>
      <c r="M1826" s="2">
        <f>logistics_data[[#This Row],[Cost]]/logistics_data[[#This Row],[Distance_miles]]</f>
        <v>0.17257105943152454</v>
      </c>
      <c r="N1826" t="str">
        <f>IF(logistics_data[[#This Row],[Orginal staus of shipment]]&lt;&gt;"Delivered","not applicabel", IF(logistics_data[[#This Row],[Transit_Days]]&gt;=5,"slow","fast"))</f>
        <v>slow</v>
      </c>
    </row>
    <row r="1827" spans="1:14" x14ac:dyDescent="0.3">
      <c r="A1827" t="s">
        <v>1873</v>
      </c>
      <c r="B1827" t="s">
        <v>39</v>
      </c>
      <c r="C1827" t="s">
        <v>24</v>
      </c>
      <c r="D1827" t="s">
        <v>37</v>
      </c>
      <c r="E1827" s="1">
        <v>45287</v>
      </c>
      <c r="F1827" s="1">
        <v>45299</v>
      </c>
      <c r="G1827">
        <v>16.7</v>
      </c>
      <c r="H1827">
        <v>336.83</v>
      </c>
      <c r="I1827" t="s">
        <v>47</v>
      </c>
      <c r="J1827">
        <v>2305</v>
      </c>
      <c r="K1827">
        <v>8</v>
      </c>
      <c r="L1827" t="str">
        <f>IF(logistics_data[[#This Row],[Delivery_Date]]="","In Transit",
 IF(logistics_data[[#This Row],[Status]]="Lost","Lost",
 IF(logistics_data[[#This Row],[Status]]="Returned","Returned",
 IF(logistics_data[[#This Row],[Status]]="Delayed","Delayed",
 "Delivered"))))</f>
        <v>Delayed</v>
      </c>
      <c r="M1827" s="2">
        <f>logistics_data[[#This Row],[Cost]]/logistics_data[[#This Row],[Distance_miles]]</f>
        <v>0.14613015184381778</v>
      </c>
      <c r="N1827" t="str">
        <f>IF(logistics_data[[#This Row],[Orginal staus of shipment]]&lt;&gt;"Delivered","not applicabel", IF(logistics_data[[#This Row],[Transit_Days]]&gt;=5,"slow","fast"))</f>
        <v>not applicabel</v>
      </c>
    </row>
    <row r="1828" spans="1:14" x14ac:dyDescent="0.3">
      <c r="A1828" t="s">
        <v>1874</v>
      </c>
      <c r="B1828" t="s">
        <v>12</v>
      </c>
      <c r="C1828" t="s">
        <v>44</v>
      </c>
      <c r="D1828" t="s">
        <v>32</v>
      </c>
      <c r="E1828" s="1">
        <v>45057</v>
      </c>
      <c r="F1828" s="1">
        <v>45061</v>
      </c>
      <c r="G1828">
        <v>17.8</v>
      </c>
      <c r="H1828">
        <v>263.77</v>
      </c>
      <c r="I1828" t="s">
        <v>15</v>
      </c>
      <c r="J1828">
        <v>1657</v>
      </c>
      <c r="K1828">
        <v>4</v>
      </c>
      <c r="L1828" t="str">
        <f>IF(logistics_data[[#This Row],[Delivery_Date]]="","In Transit",
 IF(logistics_data[[#This Row],[Status]]="Lost","Lost",
 IF(logistics_data[[#This Row],[Status]]="Returned","Returned",
 IF(logistics_data[[#This Row],[Status]]="Delayed","Delayed",
 "Delivered"))))</f>
        <v>Delivered</v>
      </c>
      <c r="M1828" s="2">
        <f>logistics_data[[#This Row],[Cost]]/logistics_data[[#This Row],[Distance_miles]]</f>
        <v>0.15918527459263729</v>
      </c>
      <c r="N1828" t="str">
        <f>IF(logistics_data[[#This Row],[Orginal staus of shipment]]&lt;&gt;"Delivered","not applicabel", IF(logistics_data[[#This Row],[Transit_Days]]&gt;=5,"slow","fast"))</f>
        <v>fast</v>
      </c>
    </row>
    <row r="1829" spans="1:14" x14ac:dyDescent="0.3">
      <c r="A1829" t="s">
        <v>1875</v>
      </c>
      <c r="B1829" t="s">
        <v>51</v>
      </c>
      <c r="C1829" t="s">
        <v>57</v>
      </c>
      <c r="D1829" t="s">
        <v>14</v>
      </c>
      <c r="E1829" s="1">
        <v>45197</v>
      </c>
      <c r="F1829" s="1">
        <v>45202</v>
      </c>
      <c r="G1829">
        <v>19.8</v>
      </c>
      <c r="H1829">
        <v>253.63</v>
      </c>
      <c r="I1829" t="s">
        <v>15</v>
      </c>
      <c r="J1829">
        <v>1855</v>
      </c>
      <c r="K1829">
        <v>5</v>
      </c>
      <c r="L1829" t="str">
        <f>IF(logistics_data[[#This Row],[Delivery_Date]]="","In Transit",
 IF(logistics_data[[#This Row],[Status]]="Lost","Lost",
 IF(logistics_data[[#This Row],[Status]]="Returned","Returned",
 IF(logistics_data[[#This Row],[Status]]="Delayed","Delayed",
 "Delivered"))))</f>
        <v>Delivered</v>
      </c>
      <c r="M1829" s="2">
        <f>logistics_data[[#This Row],[Cost]]/logistics_data[[#This Row],[Distance_miles]]</f>
        <v>0.13672776280323451</v>
      </c>
      <c r="N1829" t="str">
        <f>IF(logistics_data[[#This Row],[Orginal staus of shipment]]&lt;&gt;"Delivered","not applicabel", IF(logistics_data[[#This Row],[Transit_Days]]&gt;=5,"slow","fast"))</f>
        <v>slow</v>
      </c>
    </row>
    <row r="1830" spans="1:14" x14ac:dyDescent="0.3">
      <c r="A1830" t="s">
        <v>1876</v>
      </c>
      <c r="B1830" t="s">
        <v>51</v>
      </c>
      <c r="C1830" t="s">
        <v>24</v>
      </c>
      <c r="D1830" t="s">
        <v>59</v>
      </c>
      <c r="E1830" s="1">
        <v>45248</v>
      </c>
      <c r="F1830" s="1">
        <v>45252</v>
      </c>
      <c r="G1830">
        <v>35.9</v>
      </c>
      <c r="H1830">
        <v>220.77</v>
      </c>
      <c r="I1830" t="s">
        <v>15</v>
      </c>
      <c r="J1830">
        <v>1360</v>
      </c>
      <c r="K1830">
        <v>4</v>
      </c>
      <c r="L1830" t="str">
        <f>IF(logistics_data[[#This Row],[Delivery_Date]]="","In Transit",
 IF(logistics_data[[#This Row],[Status]]="Lost","Lost",
 IF(logistics_data[[#This Row],[Status]]="Returned","Returned",
 IF(logistics_data[[#This Row],[Status]]="Delayed","Delayed",
 "Delivered"))))</f>
        <v>Delivered</v>
      </c>
      <c r="M1830" s="2">
        <f>logistics_data[[#This Row],[Cost]]/logistics_data[[#This Row],[Distance_miles]]</f>
        <v>0.16233088235294119</v>
      </c>
      <c r="N1830" t="str">
        <f>IF(logistics_data[[#This Row],[Orginal staus of shipment]]&lt;&gt;"Delivered","not applicabel", IF(logistics_data[[#This Row],[Transit_Days]]&gt;=5,"slow","fast"))</f>
        <v>fast</v>
      </c>
    </row>
    <row r="1831" spans="1:14" x14ac:dyDescent="0.3">
      <c r="A1831" t="s">
        <v>1877</v>
      </c>
      <c r="B1831" t="s">
        <v>27</v>
      </c>
      <c r="C1831" t="s">
        <v>36</v>
      </c>
      <c r="D1831" t="s">
        <v>32</v>
      </c>
      <c r="E1831" s="1">
        <v>45147</v>
      </c>
      <c r="F1831" s="1">
        <v>45148</v>
      </c>
      <c r="G1831">
        <v>27.9</v>
      </c>
      <c r="H1831">
        <v>59.52</v>
      </c>
      <c r="I1831" t="s">
        <v>15</v>
      </c>
      <c r="J1831">
        <v>139</v>
      </c>
      <c r="K1831">
        <v>1</v>
      </c>
      <c r="L1831" t="str">
        <f>IF(logistics_data[[#This Row],[Delivery_Date]]="","In Transit",
 IF(logistics_data[[#This Row],[Status]]="Lost","Lost",
 IF(logistics_data[[#This Row],[Status]]="Returned","Returned",
 IF(logistics_data[[#This Row],[Status]]="Delayed","Delayed",
 "Delivered"))))</f>
        <v>Delivered</v>
      </c>
      <c r="M1831" s="2">
        <f>logistics_data[[#This Row],[Cost]]/logistics_data[[#This Row],[Distance_miles]]</f>
        <v>0.42820143884892087</v>
      </c>
      <c r="N1831" t="str">
        <f>IF(logistics_data[[#This Row],[Orginal staus of shipment]]&lt;&gt;"Delivered","not applicabel", IF(logistics_data[[#This Row],[Transit_Days]]&gt;=5,"slow","fast"))</f>
        <v>fast</v>
      </c>
    </row>
    <row r="1832" spans="1:14" x14ac:dyDescent="0.3">
      <c r="A1832" t="s">
        <v>1878</v>
      </c>
      <c r="B1832" t="s">
        <v>20</v>
      </c>
      <c r="C1832" t="s">
        <v>36</v>
      </c>
      <c r="D1832" t="s">
        <v>59</v>
      </c>
      <c r="E1832" s="1">
        <v>45251</v>
      </c>
      <c r="F1832" s="1">
        <v>45254</v>
      </c>
      <c r="G1832">
        <v>82.7</v>
      </c>
      <c r="H1832">
        <v>243.19</v>
      </c>
      <c r="I1832" t="s">
        <v>15</v>
      </c>
      <c r="J1832">
        <v>1023</v>
      </c>
      <c r="K1832">
        <v>3</v>
      </c>
      <c r="L1832" t="str">
        <f>IF(logistics_data[[#This Row],[Delivery_Date]]="","In Transit",
 IF(logistics_data[[#This Row],[Status]]="Lost","Lost",
 IF(logistics_data[[#This Row],[Status]]="Returned","Returned",
 IF(logistics_data[[#This Row],[Status]]="Delayed","Delayed",
 "Delivered"))))</f>
        <v>Delivered</v>
      </c>
      <c r="M1832" s="2">
        <f>logistics_data[[#This Row],[Cost]]/logistics_data[[#This Row],[Distance_miles]]</f>
        <v>0.23772238514173999</v>
      </c>
      <c r="N1832" t="str">
        <f>IF(logistics_data[[#This Row],[Orginal staus of shipment]]&lt;&gt;"Delivered","not applicabel", IF(logistics_data[[#This Row],[Transit_Days]]&gt;=5,"slow","fast"))</f>
        <v>fast</v>
      </c>
    </row>
    <row r="1833" spans="1:14" x14ac:dyDescent="0.3">
      <c r="A1833" t="s">
        <v>1879</v>
      </c>
      <c r="B1833" t="s">
        <v>49</v>
      </c>
      <c r="C1833" t="s">
        <v>54</v>
      </c>
      <c r="D1833" t="s">
        <v>37</v>
      </c>
      <c r="E1833" s="1">
        <v>45102</v>
      </c>
      <c r="F1833" s="1">
        <v>45108</v>
      </c>
      <c r="G1833">
        <v>39.1</v>
      </c>
      <c r="H1833">
        <v>273.41000000000003</v>
      </c>
      <c r="I1833" t="s">
        <v>15</v>
      </c>
      <c r="J1833">
        <v>2104</v>
      </c>
      <c r="K1833">
        <v>6</v>
      </c>
      <c r="L1833" t="str">
        <f>IF(logistics_data[[#This Row],[Delivery_Date]]="","In Transit",
 IF(logistics_data[[#This Row],[Status]]="Lost","Lost",
 IF(logistics_data[[#This Row],[Status]]="Returned","Returned",
 IF(logistics_data[[#This Row],[Status]]="Delayed","Delayed",
 "Delivered"))))</f>
        <v>Delivered</v>
      </c>
      <c r="M1833" s="2">
        <f>logistics_data[[#This Row],[Cost]]/logistics_data[[#This Row],[Distance_miles]]</f>
        <v>0.12994771863117871</v>
      </c>
      <c r="N1833" t="str">
        <f>IF(logistics_data[[#This Row],[Orginal staus of shipment]]&lt;&gt;"Delivered","not applicabel", IF(logistics_data[[#This Row],[Transit_Days]]&gt;=5,"slow","fast"))</f>
        <v>slow</v>
      </c>
    </row>
    <row r="1834" spans="1:14" x14ac:dyDescent="0.3">
      <c r="A1834" t="s">
        <v>1880</v>
      </c>
      <c r="B1834" t="s">
        <v>27</v>
      </c>
      <c r="C1834" t="s">
        <v>28</v>
      </c>
      <c r="D1834" t="s">
        <v>37</v>
      </c>
      <c r="E1834" s="1">
        <v>44932</v>
      </c>
      <c r="F1834" s="1">
        <v>44934</v>
      </c>
      <c r="G1834">
        <v>26.2</v>
      </c>
      <c r="H1834">
        <v>48.64</v>
      </c>
      <c r="I1834" t="s">
        <v>60</v>
      </c>
      <c r="J1834">
        <v>116</v>
      </c>
      <c r="K1834">
        <v>2</v>
      </c>
      <c r="L1834" t="str">
        <f>IF(logistics_data[[#This Row],[Delivery_Date]]="","In Transit",
 IF(logistics_data[[#This Row],[Status]]="Lost","Lost",
 IF(logistics_data[[#This Row],[Status]]="Returned","Returned",
 IF(logistics_data[[#This Row],[Status]]="Delayed","Delayed",
 "Delivered"))))</f>
        <v>Lost</v>
      </c>
      <c r="M1834" s="2">
        <f>logistics_data[[#This Row],[Cost]]/logistics_data[[#This Row],[Distance_miles]]</f>
        <v>0.41931034482758622</v>
      </c>
      <c r="N1834" t="str">
        <f>IF(logistics_data[[#This Row],[Orginal staus of shipment]]&lt;&gt;"Delivered","not applicabel", IF(logistics_data[[#This Row],[Transit_Days]]&gt;=5,"slow","fast"))</f>
        <v>not applicabel</v>
      </c>
    </row>
    <row r="1835" spans="1:14" x14ac:dyDescent="0.3">
      <c r="A1835" t="s">
        <v>1881</v>
      </c>
      <c r="B1835" t="s">
        <v>12</v>
      </c>
      <c r="C1835" t="s">
        <v>81</v>
      </c>
      <c r="D1835" t="s">
        <v>42</v>
      </c>
      <c r="E1835" s="1">
        <v>45285</v>
      </c>
      <c r="F1835" s="1">
        <v>45290</v>
      </c>
      <c r="G1835">
        <v>20.399999999999999</v>
      </c>
      <c r="H1835">
        <v>281.08</v>
      </c>
      <c r="I1835" t="s">
        <v>15</v>
      </c>
      <c r="J1835">
        <v>1809</v>
      </c>
      <c r="K1835">
        <v>5</v>
      </c>
      <c r="L1835" t="str">
        <f>IF(logistics_data[[#This Row],[Delivery_Date]]="","In Transit",
 IF(logistics_data[[#This Row],[Status]]="Lost","Lost",
 IF(logistics_data[[#This Row],[Status]]="Returned","Returned",
 IF(logistics_data[[#This Row],[Status]]="Delayed","Delayed",
 "Delivered"))))</f>
        <v>Delivered</v>
      </c>
      <c r="M1835" s="2">
        <f>logistics_data[[#This Row],[Cost]]/logistics_data[[#This Row],[Distance_miles]]</f>
        <v>0.15537866224433389</v>
      </c>
      <c r="N1835" t="str">
        <f>IF(logistics_data[[#This Row],[Orginal staus of shipment]]&lt;&gt;"Delivered","not applicabel", IF(logistics_data[[#This Row],[Transit_Days]]&gt;=5,"slow","fast"))</f>
        <v>slow</v>
      </c>
    </row>
    <row r="1836" spans="1:14" x14ac:dyDescent="0.3">
      <c r="A1836" t="s">
        <v>1882</v>
      </c>
      <c r="B1836" t="s">
        <v>23</v>
      </c>
      <c r="C1836" t="s">
        <v>40</v>
      </c>
      <c r="D1836" t="s">
        <v>59</v>
      </c>
      <c r="E1836" s="1">
        <v>45214</v>
      </c>
      <c r="F1836" s="1">
        <v>45217</v>
      </c>
      <c r="G1836">
        <v>4.8</v>
      </c>
      <c r="H1836">
        <v>173.28</v>
      </c>
      <c r="I1836" t="s">
        <v>15</v>
      </c>
      <c r="J1836">
        <v>1478</v>
      </c>
      <c r="K1836">
        <v>3</v>
      </c>
      <c r="L1836" t="str">
        <f>IF(logistics_data[[#This Row],[Delivery_Date]]="","In Transit",
 IF(logistics_data[[#This Row],[Status]]="Lost","Lost",
 IF(logistics_data[[#This Row],[Status]]="Returned","Returned",
 IF(logistics_data[[#This Row],[Status]]="Delayed","Delayed",
 "Delivered"))))</f>
        <v>Delivered</v>
      </c>
      <c r="M1836" s="2">
        <f>logistics_data[[#This Row],[Cost]]/logistics_data[[#This Row],[Distance_miles]]</f>
        <v>0.11723951285520974</v>
      </c>
      <c r="N1836" t="str">
        <f>IF(logistics_data[[#This Row],[Orginal staus of shipment]]&lt;&gt;"Delivered","not applicabel", IF(logistics_data[[#This Row],[Transit_Days]]&gt;=5,"slow","fast"))</f>
        <v>fast</v>
      </c>
    </row>
    <row r="1837" spans="1:14" x14ac:dyDescent="0.3">
      <c r="A1837" t="s">
        <v>1883</v>
      </c>
      <c r="B1837" t="s">
        <v>23</v>
      </c>
      <c r="C1837" t="s">
        <v>36</v>
      </c>
      <c r="D1837" t="s">
        <v>59</v>
      </c>
      <c r="E1837" s="1">
        <v>45036</v>
      </c>
      <c r="F1837" s="1">
        <v>45042</v>
      </c>
      <c r="G1837">
        <v>6.4</v>
      </c>
      <c r="H1837">
        <v>219.55</v>
      </c>
      <c r="I1837" t="s">
        <v>15</v>
      </c>
      <c r="J1837">
        <v>1811</v>
      </c>
      <c r="K1837">
        <v>6</v>
      </c>
      <c r="L1837" t="str">
        <f>IF(logistics_data[[#This Row],[Delivery_Date]]="","In Transit",
 IF(logistics_data[[#This Row],[Status]]="Lost","Lost",
 IF(logistics_data[[#This Row],[Status]]="Returned","Returned",
 IF(logistics_data[[#This Row],[Status]]="Delayed","Delayed",
 "Delivered"))))</f>
        <v>Delivered</v>
      </c>
      <c r="M1837" s="2">
        <f>logistics_data[[#This Row],[Cost]]/logistics_data[[#This Row],[Distance_miles]]</f>
        <v>0.12123136388735506</v>
      </c>
      <c r="N1837" t="str">
        <f>IF(logistics_data[[#This Row],[Orginal staus of shipment]]&lt;&gt;"Delivered","not applicabel", IF(logistics_data[[#This Row],[Transit_Days]]&gt;=5,"slow","fast"))</f>
        <v>slow</v>
      </c>
    </row>
    <row r="1838" spans="1:14" x14ac:dyDescent="0.3">
      <c r="A1838" t="s">
        <v>1884</v>
      </c>
      <c r="B1838" t="s">
        <v>39</v>
      </c>
      <c r="C1838" t="s">
        <v>54</v>
      </c>
      <c r="D1838" t="s">
        <v>42</v>
      </c>
      <c r="E1838" s="1">
        <v>45105</v>
      </c>
      <c r="F1838" s="1">
        <v>45109</v>
      </c>
      <c r="G1838">
        <v>25.4</v>
      </c>
      <c r="H1838">
        <v>171.77</v>
      </c>
      <c r="I1838" t="s">
        <v>15</v>
      </c>
      <c r="J1838">
        <v>1145</v>
      </c>
      <c r="K1838">
        <v>4</v>
      </c>
      <c r="L1838" t="str">
        <f>IF(logistics_data[[#This Row],[Delivery_Date]]="","In Transit",
 IF(logistics_data[[#This Row],[Status]]="Lost","Lost",
 IF(logistics_data[[#This Row],[Status]]="Returned","Returned",
 IF(logistics_data[[#This Row],[Status]]="Delayed","Delayed",
 "Delivered"))))</f>
        <v>Delivered</v>
      </c>
      <c r="M1838" s="2">
        <f>logistics_data[[#This Row],[Cost]]/logistics_data[[#This Row],[Distance_miles]]</f>
        <v>0.1500174672489083</v>
      </c>
      <c r="N1838" t="str">
        <f>IF(logistics_data[[#This Row],[Orginal staus of shipment]]&lt;&gt;"Delivered","not applicabel", IF(logistics_data[[#This Row],[Transit_Days]]&gt;=5,"slow","fast"))</f>
        <v>fast</v>
      </c>
    </row>
    <row r="1839" spans="1:14" x14ac:dyDescent="0.3">
      <c r="A1839" t="s">
        <v>1885</v>
      </c>
      <c r="B1839" t="s">
        <v>27</v>
      </c>
      <c r="C1839" t="s">
        <v>70</v>
      </c>
      <c r="D1839" t="s">
        <v>42</v>
      </c>
      <c r="E1839" s="1">
        <v>45232</v>
      </c>
      <c r="F1839" s="1">
        <v>45237</v>
      </c>
      <c r="G1839">
        <v>15.2</v>
      </c>
      <c r="H1839">
        <v>322.73</v>
      </c>
      <c r="I1839" t="s">
        <v>15</v>
      </c>
      <c r="J1839">
        <v>2106</v>
      </c>
      <c r="K1839">
        <v>5</v>
      </c>
      <c r="L1839" t="str">
        <f>IF(logistics_data[[#This Row],[Delivery_Date]]="","In Transit",
 IF(logistics_data[[#This Row],[Status]]="Lost","Lost",
 IF(logistics_data[[#This Row],[Status]]="Returned","Returned",
 IF(logistics_data[[#This Row],[Status]]="Delayed","Delayed",
 "Delivered"))))</f>
        <v>Delivered</v>
      </c>
      <c r="M1839" s="2">
        <f>logistics_data[[#This Row],[Cost]]/logistics_data[[#This Row],[Distance_miles]]</f>
        <v>0.1532431149097816</v>
      </c>
      <c r="N1839" t="str">
        <f>IF(logistics_data[[#This Row],[Orginal staus of shipment]]&lt;&gt;"Delivered","not applicabel", IF(logistics_data[[#This Row],[Transit_Days]]&gt;=5,"slow","fast"))</f>
        <v>slow</v>
      </c>
    </row>
    <row r="1840" spans="1:14" x14ac:dyDescent="0.3">
      <c r="A1840" t="s">
        <v>1886</v>
      </c>
      <c r="B1840" t="s">
        <v>27</v>
      </c>
      <c r="C1840" t="s">
        <v>21</v>
      </c>
      <c r="D1840" t="s">
        <v>14</v>
      </c>
      <c r="E1840" s="1">
        <v>45234</v>
      </c>
      <c r="F1840" s="1">
        <v>45236</v>
      </c>
      <c r="G1840">
        <v>19.5</v>
      </c>
      <c r="H1840">
        <v>123.49</v>
      </c>
      <c r="I1840" t="s">
        <v>15</v>
      </c>
      <c r="J1840">
        <v>629</v>
      </c>
      <c r="K1840">
        <v>2</v>
      </c>
      <c r="L1840" t="str">
        <f>IF(logistics_data[[#This Row],[Delivery_Date]]="","In Transit",
 IF(logistics_data[[#This Row],[Status]]="Lost","Lost",
 IF(logistics_data[[#This Row],[Status]]="Returned","Returned",
 IF(logistics_data[[#This Row],[Status]]="Delayed","Delayed",
 "Delivered"))))</f>
        <v>Delivered</v>
      </c>
      <c r="M1840" s="2">
        <f>logistics_data[[#This Row],[Cost]]/logistics_data[[#This Row],[Distance_miles]]</f>
        <v>0.19632750397456278</v>
      </c>
      <c r="N1840" t="str">
        <f>IF(logistics_data[[#This Row],[Orginal staus of shipment]]&lt;&gt;"Delivered","not applicabel", IF(logistics_data[[#This Row],[Transit_Days]]&gt;=5,"slow","fast"))</f>
        <v>fast</v>
      </c>
    </row>
    <row r="1841" spans="1:14" x14ac:dyDescent="0.3">
      <c r="A1841" t="s">
        <v>1887</v>
      </c>
      <c r="B1841" t="s">
        <v>30</v>
      </c>
      <c r="C1841" t="s">
        <v>36</v>
      </c>
      <c r="D1841" t="s">
        <v>32</v>
      </c>
      <c r="E1841" s="1">
        <v>45146</v>
      </c>
      <c r="F1841" s="1">
        <v>45150</v>
      </c>
      <c r="G1841">
        <v>25.1</v>
      </c>
      <c r="H1841">
        <v>296.48</v>
      </c>
      <c r="I1841" t="s">
        <v>15</v>
      </c>
      <c r="J1841">
        <v>1809</v>
      </c>
      <c r="K1841">
        <v>4</v>
      </c>
      <c r="L1841" t="str">
        <f>IF(logistics_data[[#This Row],[Delivery_Date]]="","In Transit",
 IF(logistics_data[[#This Row],[Status]]="Lost","Lost",
 IF(logistics_data[[#This Row],[Status]]="Returned","Returned",
 IF(logistics_data[[#This Row],[Status]]="Delayed","Delayed",
 "Delivered"))))</f>
        <v>Delivered</v>
      </c>
      <c r="M1841" s="2">
        <f>logistics_data[[#This Row],[Cost]]/logistics_data[[#This Row],[Distance_miles]]</f>
        <v>0.16389165284687673</v>
      </c>
      <c r="N1841" t="str">
        <f>IF(logistics_data[[#This Row],[Orginal staus of shipment]]&lt;&gt;"Delivered","not applicabel", IF(logistics_data[[#This Row],[Transit_Days]]&gt;=5,"slow","fast"))</f>
        <v>fast</v>
      </c>
    </row>
    <row r="1842" spans="1:14" x14ac:dyDescent="0.3">
      <c r="A1842" t="s">
        <v>1888</v>
      </c>
      <c r="B1842" t="s">
        <v>23</v>
      </c>
      <c r="C1842" t="s">
        <v>70</v>
      </c>
      <c r="D1842" t="s">
        <v>37</v>
      </c>
      <c r="E1842" s="1">
        <v>45254</v>
      </c>
      <c r="F1842" s="1">
        <v>45258</v>
      </c>
      <c r="G1842">
        <v>34</v>
      </c>
      <c r="H1842">
        <v>63.15</v>
      </c>
      <c r="I1842" t="s">
        <v>62</v>
      </c>
      <c r="J1842">
        <v>113</v>
      </c>
      <c r="K1842">
        <v>4</v>
      </c>
      <c r="L1842" t="str">
        <f>IF(logistics_data[[#This Row],[Delivery_Date]]="","In Transit",
 IF(logistics_data[[#This Row],[Status]]="Lost","Lost",
 IF(logistics_data[[#This Row],[Status]]="Returned","Returned",
 IF(logistics_data[[#This Row],[Status]]="Delayed","Delayed",
 "Delivered"))))</f>
        <v>Delivered</v>
      </c>
      <c r="M1842" s="2">
        <f>logistics_data[[#This Row],[Cost]]/logistics_data[[#This Row],[Distance_miles]]</f>
        <v>0.55884955752212384</v>
      </c>
      <c r="N1842" t="str">
        <f>IF(logistics_data[[#This Row],[Orginal staus of shipment]]&lt;&gt;"Delivered","not applicabel", IF(logistics_data[[#This Row],[Transit_Days]]&gt;=5,"slow","fast"))</f>
        <v>fast</v>
      </c>
    </row>
    <row r="1843" spans="1:14" x14ac:dyDescent="0.3">
      <c r="A1843" t="s">
        <v>1889</v>
      </c>
      <c r="B1843" t="s">
        <v>30</v>
      </c>
      <c r="C1843" t="s">
        <v>28</v>
      </c>
      <c r="D1843" t="s">
        <v>18</v>
      </c>
      <c r="E1843" s="1">
        <v>44984</v>
      </c>
      <c r="F1843" s="1">
        <v>45002</v>
      </c>
      <c r="G1843">
        <v>25</v>
      </c>
      <c r="H1843">
        <v>381.58</v>
      </c>
      <c r="I1843" t="s">
        <v>47</v>
      </c>
      <c r="J1843">
        <v>2462</v>
      </c>
      <c r="K1843">
        <v>5</v>
      </c>
      <c r="L1843" t="str">
        <f>IF(logistics_data[[#This Row],[Delivery_Date]]="","In Transit",
 IF(logistics_data[[#This Row],[Status]]="Lost","Lost",
 IF(logistics_data[[#This Row],[Status]]="Returned","Returned",
 IF(logistics_data[[#This Row],[Status]]="Delayed","Delayed",
 "Delivered"))))</f>
        <v>Delayed</v>
      </c>
      <c r="M1843" s="2">
        <f>logistics_data[[#This Row],[Cost]]/logistics_data[[#This Row],[Distance_miles]]</f>
        <v>0.15498781478472787</v>
      </c>
      <c r="N1843" t="str">
        <f>IF(logistics_data[[#This Row],[Orginal staus of shipment]]&lt;&gt;"Delivered","not applicabel", IF(logistics_data[[#This Row],[Transit_Days]]&gt;=5,"slow","fast"))</f>
        <v>not applicabel</v>
      </c>
    </row>
    <row r="1844" spans="1:14" x14ac:dyDescent="0.3">
      <c r="A1844" t="s">
        <v>1890</v>
      </c>
      <c r="B1844" t="s">
        <v>39</v>
      </c>
      <c r="C1844" t="s">
        <v>40</v>
      </c>
      <c r="D1844" t="s">
        <v>25</v>
      </c>
      <c r="E1844" s="1">
        <v>45165</v>
      </c>
      <c r="F1844" s="1">
        <v>45168</v>
      </c>
      <c r="G1844">
        <v>5.3</v>
      </c>
      <c r="H1844">
        <v>73</v>
      </c>
      <c r="I1844" t="s">
        <v>15</v>
      </c>
      <c r="J1844">
        <v>503</v>
      </c>
      <c r="K1844">
        <v>3</v>
      </c>
      <c r="L1844" t="str">
        <f>IF(logistics_data[[#This Row],[Delivery_Date]]="","In Transit",
 IF(logistics_data[[#This Row],[Status]]="Lost","Lost",
 IF(logistics_data[[#This Row],[Status]]="Returned","Returned",
 IF(logistics_data[[#This Row],[Status]]="Delayed","Delayed",
 "Delivered"))))</f>
        <v>Delivered</v>
      </c>
      <c r="M1844" s="2">
        <f>logistics_data[[#This Row],[Cost]]/logistics_data[[#This Row],[Distance_miles]]</f>
        <v>0.14512922465208747</v>
      </c>
      <c r="N1844" t="str">
        <f>IF(logistics_data[[#This Row],[Orginal staus of shipment]]&lt;&gt;"Delivered","not applicabel", IF(logistics_data[[#This Row],[Transit_Days]]&gt;=5,"slow","fast"))</f>
        <v>fast</v>
      </c>
    </row>
    <row r="1845" spans="1:14" x14ac:dyDescent="0.3">
      <c r="A1845" t="s">
        <v>1891</v>
      </c>
      <c r="B1845" t="s">
        <v>39</v>
      </c>
      <c r="C1845" t="s">
        <v>21</v>
      </c>
      <c r="D1845" t="s">
        <v>59</v>
      </c>
      <c r="E1845" s="1">
        <v>45001</v>
      </c>
      <c r="F1845" s="1">
        <v>45005</v>
      </c>
      <c r="G1845">
        <v>52</v>
      </c>
      <c r="H1845">
        <v>229.42</v>
      </c>
      <c r="I1845" t="s">
        <v>15</v>
      </c>
      <c r="J1845">
        <v>1460</v>
      </c>
      <c r="K1845">
        <v>4</v>
      </c>
      <c r="L1845" t="str">
        <f>IF(logistics_data[[#This Row],[Delivery_Date]]="","In Transit",
 IF(logistics_data[[#This Row],[Status]]="Lost","Lost",
 IF(logistics_data[[#This Row],[Status]]="Returned","Returned",
 IF(logistics_data[[#This Row],[Status]]="Delayed","Delayed",
 "Delivered"))))</f>
        <v>Delivered</v>
      </c>
      <c r="M1845" s="2">
        <f>logistics_data[[#This Row],[Cost]]/logistics_data[[#This Row],[Distance_miles]]</f>
        <v>0.15713698630136985</v>
      </c>
      <c r="N1845" t="str">
        <f>IF(logistics_data[[#This Row],[Orginal staus of shipment]]&lt;&gt;"Delivered","not applicabel", IF(logistics_data[[#This Row],[Transit_Days]]&gt;=5,"slow","fast"))</f>
        <v>fast</v>
      </c>
    </row>
    <row r="1846" spans="1:14" x14ac:dyDescent="0.3">
      <c r="A1846" t="s">
        <v>1892</v>
      </c>
      <c r="B1846" t="s">
        <v>51</v>
      </c>
      <c r="C1846" t="s">
        <v>28</v>
      </c>
      <c r="D1846" t="s">
        <v>37</v>
      </c>
      <c r="E1846" s="1">
        <v>44941</v>
      </c>
      <c r="F1846" s="1">
        <v>44947</v>
      </c>
      <c r="G1846">
        <v>27.4</v>
      </c>
      <c r="I1846" t="s">
        <v>15</v>
      </c>
      <c r="J1846">
        <v>1518</v>
      </c>
      <c r="K1846">
        <v>6</v>
      </c>
      <c r="L1846" t="str">
        <f>IF(logistics_data[[#This Row],[Delivery_Date]]="","In Transit",
 IF(logistics_data[[#This Row],[Status]]="Lost","Lost",
 IF(logistics_data[[#This Row],[Status]]="Returned","Returned",
 IF(logistics_data[[#This Row],[Status]]="Delayed","Delayed",
 "Delivered"))))</f>
        <v>Delivered</v>
      </c>
      <c r="M1846" s="2">
        <f>logistics_data[[#This Row],[Cost]]/logistics_data[[#This Row],[Distance_miles]]</f>
        <v>0</v>
      </c>
      <c r="N1846" t="str">
        <f>IF(logistics_data[[#This Row],[Orginal staus of shipment]]&lt;&gt;"Delivered","not applicabel", IF(logistics_data[[#This Row],[Transit_Days]]&gt;=5,"slow","fast"))</f>
        <v>slow</v>
      </c>
    </row>
    <row r="1847" spans="1:14" x14ac:dyDescent="0.3">
      <c r="A1847" t="s">
        <v>1893</v>
      </c>
      <c r="B1847" t="s">
        <v>51</v>
      </c>
      <c r="C1847" t="s">
        <v>13</v>
      </c>
      <c r="D1847" t="s">
        <v>37</v>
      </c>
      <c r="E1847" s="1">
        <v>44941</v>
      </c>
      <c r="F1847" s="1">
        <v>44945</v>
      </c>
      <c r="G1847">
        <v>17.3</v>
      </c>
      <c r="H1847">
        <v>73.25</v>
      </c>
      <c r="I1847" t="s">
        <v>62</v>
      </c>
      <c r="J1847">
        <v>489</v>
      </c>
      <c r="K1847">
        <v>4</v>
      </c>
      <c r="L1847" t="str">
        <f>IF(logistics_data[[#This Row],[Delivery_Date]]="","In Transit",
 IF(logistics_data[[#This Row],[Status]]="Lost","Lost",
 IF(logistics_data[[#This Row],[Status]]="Returned","Returned",
 IF(logistics_data[[#This Row],[Status]]="Delayed","Delayed",
 "Delivered"))))</f>
        <v>Delivered</v>
      </c>
      <c r="M1847" s="2">
        <f>logistics_data[[#This Row],[Cost]]/logistics_data[[#This Row],[Distance_miles]]</f>
        <v>0.14979550102249489</v>
      </c>
      <c r="N1847" t="str">
        <f>IF(logistics_data[[#This Row],[Orginal staus of shipment]]&lt;&gt;"Delivered","not applicabel", IF(logistics_data[[#This Row],[Transit_Days]]&gt;=5,"slow","fast"))</f>
        <v>fast</v>
      </c>
    </row>
    <row r="1848" spans="1:14" x14ac:dyDescent="0.3">
      <c r="A1848" t="s">
        <v>1894</v>
      </c>
      <c r="B1848" t="s">
        <v>56</v>
      </c>
      <c r="C1848" t="s">
        <v>81</v>
      </c>
      <c r="D1848" t="s">
        <v>37</v>
      </c>
      <c r="E1848" s="1">
        <v>45176</v>
      </c>
      <c r="F1848" s="1">
        <v>45178</v>
      </c>
      <c r="G1848">
        <v>38.9</v>
      </c>
      <c r="H1848">
        <v>101.69</v>
      </c>
      <c r="I1848" t="s">
        <v>15</v>
      </c>
      <c r="J1848">
        <v>491</v>
      </c>
      <c r="K1848">
        <v>2</v>
      </c>
      <c r="L1848" t="str">
        <f>IF(logistics_data[[#This Row],[Delivery_Date]]="","In Transit",
 IF(logistics_data[[#This Row],[Status]]="Lost","Lost",
 IF(logistics_data[[#This Row],[Status]]="Returned","Returned",
 IF(logistics_data[[#This Row],[Status]]="Delayed","Delayed",
 "Delivered"))))</f>
        <v>Delivered</v>
      </c>
      <c r="M1848" s="2">
        <f>logistics_data[[#This Row],[Cost]]/logistics_data[[#This Row],[Distance_miles]]</f>
        <v>0.20710794297352342</v>
      </c>
      <c r="N1848" t="str">
        <f>IF(logistics_data[[#This Row],[Orginal staus of shipment]]&lt;&gt;"Delivered","not applicabel", IF(logistics_data[[#This Row],[Transit_Days]]&gt;=5,"slow","fast"))</f>
        <v>fast</v>
      </c>
    </row>
    <row r="1849" spans="1:14" x14ac:dyDescent="0.3">
      <c r="A1849" t="s">
        <v>1895</v>
      </c>
      <c r="B1849" t="s">
        <v>12</v>
      </c>
      <c r="C1849" t="s">
        <v>40</v>
      </c>
      <c r="D1849" t="s">
        <v>25</v>
      </c>
      <c r="E1849" s="1">
        <v>44975</v>
      </c>
      <c r="F1849" s="1">
        <v>44985</v>
      </c>
      <c r="G1849">
        <v>12.6</v>
      </c>
      <c r="H1849">
        <v>77.290000000000006</v>
      </c>
      <c r="I1849" t="s">
        <v>47</v>
      </c>
      <c r="J1849">
        <v>464</v>
      </c>
      <c r="K1849">
        <v>3</v>
      </c>
      <c r="L1849" t="str">
        <f>IF(logistics_data[[#This Row],[Delivery_Date]]="","In Transit",
 IF(logistics_data[[#This Row],[Status]]="Lost","Lost",
 IF(logistics_data[[#This Row],[Status]]="Returned","Returned",
 IF(logistics_data[[#This Row],[Status]]="Delayed","Delayed",
 "Delivered"))))</f>
        <v>Delayed</v>
      </c>
      <c r="M1849" s="2">
        <f>logistics_data[[#This Row],[Cost]]/logistics_data[[#This Row],[Distance_miles]]</f>
        <v>0.16657327586206899</v>
      </c>
      <c r="N1849" t="str">
        <f>IF(logistics_data[[#This Row],[Orginal staus of shipment]]&lt;&gt;"Delivered","not applicabel", IF(logistics_data[[#This Row],[Transit_Days]]&gt;=5,"slow","fast"))</f>
        <v>not applicabel</v>
      </c>
    </row>
    <row r="1850" spans="1:14" x14ac:dyDescent="0.3">
      <c r="A1850" t="s">
        <v>1896</v>
      </c>
      <c r="B1850" t="s">
        <v>30</v>
      </c>
      <c r="C1850" t="s">
        <v>57</v>
      </c>
      <c r="D1850" t="s">
        <v>37</v>
      </c>
      <c r="E1850" s="1">
        <v>45139</v>
      </c>
      <c r="F1850" s="1">
        <v>45153</v>
      </c>
      <c r="G1850">
        <v>79.599999999999994</v>
      </c>
      <c r="I1850" t="s">
        <v>47</v>
      </c>
      <c r="J1850">
        <v>1521</v>
      </c>
      <c r="K1850">
        <v>6</v>
      </c>
      <c r="L1850" t="str">
        <f>IF(logistics_data[[#This Row],[Delivery_Date]]="","In Transit",
 IF(logistics_data[[#This Row],[Status]]="Lost","Lost",
 IF(logistics_data[[#This Row],[Status]]="Returned","Returned",
 IF(logistics_data[[#This Row],[Status]]="Delayed","Delayed",
 "Delivered"))))</f>
        <v>Delayed</v>
      </c>
      <c r="M1850" s="2">
        <f>logistics_data[[#This Row],[Cost]]/logistics_data[[#This Row],[Distance_miles]]</f>
        <v>0</v>
      </c>
      <c r="N1850" t="str">
        <f>IF(logistics_data[[#This Row],[Orginal staus of shipment]]&lt;&gt;"Delivered","not applicabel", IF(logistics_data[[#This Row],[Transit_Days]]&gt;=5,"slow","fast"))</f>
        <v>not applicabel</v>
      </c>
    </row>
    <row r="1851" spans="1:14" x14ac:dyDescent="0.3">
      <c r="A1851" t="s">
        <v>1897</v>
      </c>
      <c r="B1851" t="s">
        <v>35</v>
      </c>
      <c r="C1851" t="s">
        <v>17</v>
      </c>
      <c r="D1851" t="s">
        <v>18</v>
      </c>
      <c r="E1851" s="1">
        <v>45126</v>
      </c>
      <c r="F1851" s="1">
        <v>45131</v>
      </c>
      <c r="G1851">
        <v>7.7</v>
      </c>
      <c r="H1851">
        <v>272.22000000000003</v>
      </c>
      <c r="I1851" t="s">
        <v>15</v>
      </c>
      <c r="J1851">
        <v>1814</v>
      </c>
      <c r="K1851">
        <v>5</v>
      </c>
      <c r="L1851" t="str">
        <f>IF(logistics_data[[#This Row],[Delivery_Date]]="","In Transit",
 IF(logistics_data[[#This Row],[Status]]="Lost","Lost",
 IF(logistics_data[[#This Row],[Status]]="Returned","Returned",
 IF(logistics_data[[#This Row],[Status]]="Delayed","Delayed",
 "Delivered"))))</f>
        <v>Delivered</v>
      </c>
      <c r="M1851" s="2">
        <f>logistics_data[[#This Row],[Cost]]/logistics_data[[#This Row],[Distance_miles]]</f>
        <v>0.1500661521499449</v>
      </c>
      <c r="N1851" t="str">
        <f>IF(logistics_data[[#This Row],[Orginal staus of shipment]]&lt;&gt;"Delivered","not applicabel", IF(logistics_data[[#This Row],[Transit_Days]]&gt;=5,"slow","fast"))</f>
        <v>slow</v>
      </c>
    </row>
    <row r="1852" spans="1:14" x14ac:dyDescent="0.3">
      <c r="A1852" t="s">
        <v>1898</v>
      </c>
      <c r="B1852" t="s">
        <v>49</v>
      </c>
      <c r="C1852" t="s">
        <v>36</v>
      </c>
      <c r="D1852" t="s">
        <v>42</v>
      </c>
      <c r="E1852" s="1">
        <v>45063</v>
      </c>
      <c r="F1852" s="1">
        <v>45069</v>
      </c>
      <c r="G1852">
        <v>16.600000000000001</v>
      </c>
      <c r="H1852">
        <v>261.31</v>
      </c>
      <c r="I1852" t="s">
        <v>15</v>
      </c>
      <c r="J1852">
        <v>2220</v>
      </c>
      <c r="K1852">
        <v>6</v>
      </c>
      <c r="L1852" t="str">
        <f>IF(logistics_data[[#This Row],[Delivery_Date]]="","In Transit",
 IF(logistics_data[[#This Row],[Status]]="Lost","Lost",
 IF(logistics_data[[#This Row],[Status]]="Returned","Returned",
 IF(logistics_data[[#This Row],[Status]]="Delayed","Delayed",
 "Delivered"))))</f>
        <v>Delivered</v>
      </c>
      <c r="M1852" s="2">
        <f>logistics_data[[#This Row],[Cost]]/logistics_data[[#This Row],[Distance_miles]]</f>
        <v>0.1177072072072072</v>
      </c>
      <c r="N1852" t="str">
        <f>IF(logistics_data[[#This Row],[Orginal staus of shipment]]&lt;&gt;"Delivered","not applicabel", IF(logistics_data[[#This Row],[Transit_Days]]&gt;=5,"slow","fast"))</f>
        <v>slow</v>
      </c>
    </row>
    <row r="1853" spans="1:14" x14ac:dyDescent="0.3">
      <c r="A1853" t="s">
        <v>1899</v>
      </c>
      <c r="B1853" t="s">
        <v>51</v>
      </c>
      <c r="C1853" t="s">
        <v>36</v>
      </c>
      <c r="D1853" t="s">
        <v>59</v>
      </c>
      <c r="E1853" s="1">
        <v>45023</v>
      </c>
      <c r="F1853" s="1">
        <v>45029</v>
      </c>
      <c r="G1853">
        <v>20.8</v>
      </c>
      <c r="H1853">
        <v>289.2</v>
      </c>
      <c r="I1853" t="s">
        <v>15</v>
      </c>
      <c r="J1853">
        <v>2420</v>
      </c>
      <c r="K1853">
        <v>6</v>
      </c>
      <c r="L1853" t="str">
        <f>IF(logistics_data[[#This Row],[Delivery_Date]]="","In Transit",
 IF(logistics_data[[#This Row],[Status]]="Lost","Lost",
 IF(logistics_data[[#This Row],[Status]]="Returned","Returned",
 IF(logistics_data[[#This Row],[Status]]="Delayed","Delayed",
 "Delivered"))))</f>
        <v>Delivered</v>
      </c>
      <c r="M1853" s="2">
        <f>logistics_data[[#This Row],[Cost]]/logistics_data[[#This Row],[Distance_miles]]</f>
        <v>0.11950413223140495</v>
      </c>
      <c r="N1853" t="str">
        <f>IF(logistics_data[[#This Row],[Orginal staus of shipment]]&lt;&gt;"Delivered","not applicabel", IF(logistics_data[[#This Row],[Transit_Days]]&gt;=5,"slow","fast"))</f>
        <v>slow</v>
      </c>
    </row>
    <row r="1854" spans="1:14" x14ac:dyDescent="0.3">
      <c r="A1854" t="s">
        <v>1900</v>
      </c>
      <c r="B1854" t="s">
        <v>27</v>
      </c>
      <c r="C1854" t="s">
        <v>17</v>
      </c>
      <c r="D1854" t="s">
        <v>37</v>
      </c>
      <c r="E1854" s="1">
        <v>44980</v>
      </c>
      <c r="F1854" s="1">
        <v>44987</v>
      </c>
      <c r="G1854">
        <v>6.6</v>
      </c>
      <c r="H1854">
        <v>81.819999999999993</v>
      </c>
      <c r="I1854" t="s">
        <v>47</v>
      </c>
      <c r="J1854">
        <v>613</v>
      </c>
      <c r="K1854">
        <v>5</v>
      </c>
      <c r="L1854" t="str">
        <f>IF(logistics_data[[#This Row],[Delivery_Date]]="","In Transit",
 IF(logistics_data[[#This Row],[Status]]="Lost","Lost",
 IF(logistics_data[[#This Row],[Status]]="Returned","Returned",
 IF(logistics_data[[#This Row],[Status]]="Delayed","Delayed",
 "Delivered"))))</f>
        <v>Delayed</v>
      </c>
      <c r="M1854" s="2">
        <f>logistics_data[[#This Row],[Cost]]/logistics_data[[#This Row],[Distance_miles]]</f>
        <v>0.1334747145187602</v>
      </c>
      <c r="N1854" t="str">
        <f>IF(logistics_data[[#This Row],[Orginal staus of shipment]]&lt;&gt;"Delivered","not applicabel", IF(logistics_data[[#This Row],[Transit_Days]]&gt;=5,"slow","fast"))</f>
        <v>not applicabel</v>
      </c>
    </row>
    <row r="1855" spans="1:14" x14ac:dyDescent="0.3">
      <c r="A1855" t="s">
        <v>1901</v>
      </c>
      <c r="B1855" t="s">
        <v>23</v>
      </c>
      <c r="C1855" t="s">
        <v>13</v>
      </c>
      <c r="D1855" t="s">
        <v>42</v>
      </c>
      <c r="E1855" s="1">
        <v>45145</v>
      </c>
      <c r="F1855" s="1">
        <v>45151</v>
      </c>
      <c r="G1855">
        <v>21.5</v>
      </c>
      <c r="H1855">
        <v>293.41000000000003</v>
      </c>
      <c r="I1855" t="s">
        <v>15</v>
      </c>
      <c r="J1855">
        <v>2170</v>
      </c>
      <c r="K1855">
        <v>6</v>
      </c>
      <c r="L1855" t="str">
        <f>IF(logistics_data[[#This Row],[Delivery_Date]]="","In Transit",
 IF(logistics_data[[#This Row],[Status]]="Lost","Lost",
 IF(logistics_data[[#This Row],[Status]]="Returned","Returned",
 IF(logistics_data[[#This Row],[Status]]="Delayed","Delayed",
 "Delivered"))))</f>
        <v>Delivered</v>
      </c>
      <c r="M1855" s="2">
        <f>logistics_data[[#This Row],[Cost]]/logistics_data[[#This Row],[Distance_miles]]</f>
        <v>0.13521198156682029</v>
      </c>
      <c r="N1855" t="str">
        <f>IF(logistics_data[[#This Row],[Orginal staus of shipment]]&lt;&gt;"Delivered","not applicabel", IF(logistics_data[[#This Row],[Transit_Days]]&gt;=5,"slow","fast"))</f>
        <v>slow</v>
      </c>
    </row>
    <row r="1856" spans="1:14" x14ac:dyDescent="0.3">
      <c r="A1856" t="s">
        <v>1902</v>
      </c>
      <c r="B1856" t="s">
        <v>12</v>
      </c>
      <c r="C1856" t="s">
        <v>70</v>
      </c>
      <c r="D1856" t="s">
        <v>18</v>
      </c>
      <c r="E1856" s="1">
        <v>45134</v>
      </c>
      <c r="F1856" s="1">
        <v>45136</v>
      </c>
      <c r="G1856">
        <v>13.7</v>
      </c>
      <c r="H1856">
        <v>87.28</v>
      </c>
      <c r="I1856" t="s">
        <v>15</v>
      </c>
      <c r="J1856">
        <v>451</v>
      </c>
      <c r="K1856">
        <v>2</v>
      </c>
      <c r="L1856" t="str">
        <f>IF(logistics_data[[#This Row],[Delivery_Date]]="","In Transit",
 IF(logistics_data[[#This Row],[Status]]="Lost","Lost",
 IF(logistics_data[[#This Row],[Status]]="Returned","Returned",
 IF(logistics_data[[#This Row],[Status]]="Delayed","Delayed",
 "Delivered"))))</f>
        <v>Delivered</v>
      </c>
      <c r="M1856" s="2">
        <f>logistics_data[[#This Row],[Cost]]/logistics_data[[#This Row],[Distance_miles]]</f>
        <v>0.19352549889135257</v>
      </c>
      <c r="N1856" t="str">
        <f>IF(logistics_data[[#This Row],[Orginal staus of shipment]]&lt;&gt;"Delivered","not applicabel", IF(logistics_data[[#This Row],[Transit_Days]]&gt;=5,"slow","fast"))</f>
        <v>fast</v>
      </c>
    </row>
    <row r="1857" spans="1:14" x14ac:dyDescent="0.3">
      <c r="A1857" t="s">
        <v>1903</v>
      </c>
      <c r="B1857" t="s">
        <v>51</v>
      </c>
      <c r="C1857" t="s">
        <v>28</v>
      </c>
      <c r="D1857" t="s">
        <v>37</v>
      </c>
      <c r="E1857" s="1">
        <v>45281</v>
      </c>
      <c r="F1857" s="1">
        <v>45299</v>
      </c>
      <c r="G1857">
        <v>16</v>
      </c>
      <c r="H1857">
        <v>158.75</v>
      </c>
      <c r="I1857" t="s">
        <v>47</v>
      </c>
      <c r="J1857">
        <v>1052</v>
      </c>
      <c r="K1857">
        <v>7</v>
      </c>
      <c r="L1857" t="str">
        <f>IF(logistics_data[[#This Row],[Delivery_Date]]="","In Transit",
 IF(logistics_data[[#This Row],[Status]]="Lost","Lost",
 IF(logistics_data[[#This Row],[Status]]="Returned","Returned",
 IF(logistics_data[[#This Row],[Status]]="Delayed","Delayed",
 "Delivered"))))</f>
        <v>Delayed</v>
      </c>
      <c r="M1857" s="2">
        <f>logistics_data[[#This Row],[Cost]]/logistics_data[[#This Row],[Distance_miles]]</f>
        <v>0.15090304182509506</v>
      </c>
      <c r="N1857" t="str">
        <f>IF(logistics_data[[#This Row],[Orginal staus of shipment]]&lt;&gt;"Delivered","not applicabel", IF(logistics_data[[#This Row],[Transit_Days]]&gt;=5,"slow","fast"))</f>
        <v>not applicabel</v>
      </c>
    </row>
    <row r="1858" spans="1:14" x14ac:dyDescent="0.3">
      <c r="A1858" t="s">
        <v>1904</v>
      </c>
      <c r="B1858" t="s">
        <v>49</v>
      </c>
      <c r="C1858" t="s">
        <v>36</v>
      </c>
      <c r="D1858" t="s">
        <v>59</v>
      </c>
      <c r="E1858" s="1">
        <v>44953</v>
      </c>
      <c r="F1858" s="1">
        <v>44965</v>
      </c>
      <c r="G1858">
        <v>20</v>
      </c>
      <c r="H1858">
        <v>63.36</v>
      </c>
      <c r="I1858" t="s">
        <v>47</v>
      </c>
      <c r="J1858">
        <v>379</v>
      </c>
      <c r="K1858">
        <v>2</v>
      </c>
      <c r="L1858" t="str">
        <f>IF(logistics_data[[#This Row],[Delivery_Date]]="","In Transit",
 IF(logistics_data[[#This Row],[Status]]="Lost","Lost",
 IF(logistics_data[[#This Row],[Status]]="Returned","Returned",
 IF(logistics_data[[#This Row],[Status]]="Delayed","Delayed",
 "Delivered"))))</f>
        <v>Delayed</v>
      </c>
      <c r="M1858" s="2">
        <f>logistics_data[[#This Row],[Cost]]/logistics_data[[#This Row],[Distance_miles]]</f>
        <v>0.16717678100263852</v>
      </c>
      <c r="N1858" t="str">
        <f>IF(logistics_data[[#This Row],[Orginal staus of shipment]]&lt;&gt;"Delivered","not applicabel", IF(logistics_data[[#This Row],[Transit_Days]]&gt;=5,"slow","fast"))</f>
        <v>not applicabel</v>
      </c>
    </row>
    <row r="1859" spans="1:14" x14ac:dyDescent="0.3">
      <c r="A1859" t="s">
        <v>1905</v>
      </c>
      <c r="B1859" t="s">
        <v>30</v>
      </c>
      <c r="C1859" t="s">
        <v>52</v>
      </c>
      <c r="D1859" t="s">
        <v>18</v>
      </c>
      <c r="E1859" s="1">
        <v>44997</v>
      </c>
      <c r="F1859" s="1">
        <v>45002</v>
      </c>
      <c r="G1859">
        <v>4.2</v>
      </c>
      <c r="H1859">
        <v>266.62</v>
      </c>
      <c r="I1859" t="s">
        <v>15</v>
      </c>
      <c r="J1859">
        <v>1931</v>
      </c>
      <c r="K1859">
        <v>5</v>
      </c>
      <c r="L1859" t="str">
        <f>IF(logistics_data[[#This Row],[Delivery_Date]]="","In Transit",
 IF(logistics_data[[#This Row],[Status]]="Lost","Lost",
 IF(logistics_data[[#This Row],[Status]]="Returned","Returned",
 IF(logistics_data[[#This Row],[Status]]="Delayed","Delayed",
 "Delivered"))))</f>
        <v>Delivered</v>
      </c>
      <c r="M1859" s="2">
        <f>logistics_data[[#This Row],[Cost]]/logistics_data[[#This Row],[Distance_miles]]</f>
        <v>0.13807353702744693</v>
      </c>
      <c r="N1859" t="str">
        <f>IF(logistics_data[[#This Row],[Orginal staus of shipment]]&lt;&gt;"Delivered","not applicabel", IF(logistics_data[[#This Row],[Transit_Days]]&gt;=5,"slow","fast"))</f>
        <v>slow</v>
      </c>
    </row>
    <row r="1860" spans="1:14" x14ac:dyDescent="0.3">
      <c r="A1860" t="s">
        <v>1906</v>
      </c>
      <c r="B1860" t="s">
        <v>30</v>
      </c>
      <c r="C1860" t="s">
        <v>57</v>
      </c>
      <c r="D1860" t="s">
        <v>14</v>
      </c>
      <c r="E1860" s="1">
        <v>45068</v>
      </c>
      <c r="F1860" s="1">
        <v>45076</v>
      </c>
      <c r="G1860">
        <v>12.4</v>
      </c>
      <c r="H1860">
        <v>345.97</v>
      </c>
      <c r="I1860" t="s">
        <v>15</v>
      </c>
      <c r="J1860">
        <v>2449</v>
      </c>
      <c r="K1860">
        <v>8</v>
      </c>
      <c r="L1860" t="str">
        <f>IF(logistics_data[[#This Row],[Delivery_Date]]="","In Transit",
 IF(logistics_data[[#This Row],[Status]]="Lost","Lost",
 IF(logistics_data[[#This Row],[Status]]="Returned","Returned",
 IF(logistics_data[[#This Row],[Status]]="Delayed","Delayed",
 "Delivered"))))</f>
        <v>Delivered</v>
      </c>
      <c r="M1860" s="2">
        <f>logistics_data[[#This Row],[Cost]]/logistics_data[[#This Row],[Distance_miles]]</f>
        <v>0.14126990608411596</v>
      </c>
      <c r="N1860" t="str">
        <f>IF(logistics_data[[#This Row],[Orginal staus of shipment]]&lt;&gt;"Delivered","not applicabel", IF(logistics_data[[#This Row],[Transit_Days]]&gt;=5,"slow","fast"))</f>
        <v>slow</v>
      </c>
    </row>
    <row r="1861" spans="1:14" x14ac:dyDescent="0.3">
      <c r="A1861" t="s">
        <v>1907</v>
      </c>
      <c r="B1861" t="s">
        <v>39</v>
      </c>
      <c r="C1861" t="s">
        <v>17</v>
      </c>
      <c r="D1861" t="s">
        <v>59</v>
      </c>
      <c r="E1861" s="1">
        <v>44964</v>
      </c>
      <c r="F1861" s="1">
        <v>44968</v>
      </c>
      <c r="G1861">
        <v>15.6</v>
      </c>
      <c r="H1861">
        <v>116.02</v>
      </c>
      <c r="I1861" t="s">
        <v>15</v>
      </c>
      <c r="J1861">
        <v>800</v>
      </c>
      <c r="K1861">
        <v>4</v>
      </c>
      <c r="L1861" t="str">
        <f>IF(logistics_data[[#This Row],[Delivery_Date]]="","In Transit",
 IF(logistics_data[[#This Row],[Status]]="Lost","Lost",
 IF(logistics_data[[#This Row],[Status]]="Returned","Returned",
 IF(logistics_data[[#This Row],[Status]]="Delayed","Delayed",
 "Delivered"))))</f>
        <v>Delivered</v>
      </c>
      <c r="M1861" s="2">
        <f>logistics_data[[#This Row],[Cost]]/logistics_data[[#This Row],[Distance_miles]]</f>
        <v>0.14502499999999999</v>
      </c>
      <c r="N1861" t="str">
        <f>IF(logistics_data[[#This Row],[Orginal staus of shipment]]&lt;&gt;"Delivered","not applicabel", IF(logistics_data[[#This Row],[Transit_Days]]&gt;=5,"slow","fast"))</f>
        <v>fast</v>
      </c>
    </row>
    <row r="1862" spans="1:14" x14ac:dyDescent="0.3">
      <c r="A1862" t="s">
        <v>1908</v>
      </c>
      <c r="B1862" t="s">
        <v>27</v>
      </c>
      <c r="C1862" t="s">
        <v>28</v>
      </c>
      <c r="D1862" t="s">
        <v>59</v>
      </c>
      <c r="E1862" s="1">
        <v>45130</v>
      </c>
      <c r="F1862" s="1">
        <v>45133</v>
      </c>
      <c r="G1862">
        <v>43.4</v>
      </c>
      <c r="H1862">
        <v>196.44</v>
      </c>
      <c r="I1862" t="s">
        <v>15</v>
      </c>
      <c r="J1862">
        <v>1323</v>
      </c>
      <c r="K1862">
        <v>3</v>
      </c>
      <c r="L1862" t="str">
        <f>IF(logistics_data[[#This Row],[Delivery_Date]]="","In Transit",
 IF(logistics_data[[#This Row],[Status]]="Lost","Lost",
 IF(logistics_data[[#This Row],[Status]]="Returned","Returned",
 IF(logistics_data[[#This Row],[Status]]="Delayed","Delayed",
 "Delivered"))))</f>
        <v>Delivered</v>
      </c>
      <c r="M1862" s="2">
        <f>logistics_data[[#This Row],[Cost]]/logistics_data[[#This Row],[Distance_miles]]</f>
        <v>0.14848072562358278</v>
      </c>
      <c r="N1862" t="str">
        <f>IF(logistics_data[[#This Row],[Orginal staus of shipment]]&lt;&gt;"Delivered","not applicabel", IF(logistics_data[[#This Row],[Transit_Days]]&gt;=5,"slow","fast"))</f>
        <v>fast</v>
      </c>
    </row>
    <row r="1863" spans="1:14" x14ac:dyDescent="0.3">
      <c r="A1863" t="s">
        <v>1909</v>
      </c>
      <c r="B1863" t="s">
        <v>49</v>
      </c>
      <c r="C1863" t="s">
        <v>40</v>
      </c>
      <c r="D1863" t="s">
        <v>25</v>
      </c>
      <c r="E1863" s="1">
        <v>45077</v>
      </c>
      <c r="F1863" s="1">
        <v>45082</v>
      </c>
      <c r="G1863">
        <v>46.6</v>
      </c>
      <c r="H1863">
        <v>122.94</v>
      </c>
      <c r="I1863" t="s">
        <v>15</v>
      </c>
      <c r="J1863">
        <v>510</v>
      </c>
      <c r="K1863">
        <v>5</v>
      </c>
      <c r="L1863" t="str">
        <f>IF(logistics_data[[#This Row],[Delivery_Date]]="","In Transit",
 IF(logistics_data[[#This Row],[Status]]="Lost","Lost",
 IF(logistics_data[[#This Row],[Status]]="Returned","Returned",
 IF(logistics_data[[#This Row],[Status]]="Delayed","Delayed",
 "Delivered"))))</f>
        <v>Delivered</v>
      </c>
      <c r="M1863" s="2">
        <f>logistics_data[[#This Row],[Cost]]/logistics_data[[#This Row],[Distance_miles]]</f>
        <v>0.24105882352941177</v>
      </c>
      <c r="N1863" t="str">
        <f>IF(logistics_data[[#This Row],[Orginal staus of shipment]]&lt;&gt;"Delivered","not applicabel", IF(logistics_data[[#This Row],[Transit_Days]]&gt;=5,"slow","fast"))</f>
        <v>slow</v>
      </c>
    </row>
    <row r="1864" spans="1:14" x14ac:dyDescent="0.3">
      <c r="A1864" t="s">
        <v>1910</v>
      </c>
      <c r="B1864" t="s">
        <v>51</v>
      </c>
      <c r="C1864" t="s">
        <v>13</v>
      </c>
      <c r="D1864" t="s">
        <v>59</v>
      </c>
      <c r="E1864" s="1">
        <v>45254</v>
      </c>
      <c r="F1864" s="1">
        <v>45257</v>
      </c>
      <c r="G1864">
        <v>9.5</v>
      </c>
      <c r="H1864">
        <v>76.52</v>
      </c>
      <c r="I1864" t="s">
        <v>15</v>
      </c>
      <c r="J1864">
        <v>465</v>
      </c>
      <c r="K1864">
        <v>3</v>
      </c>
      <c r="L1864" t="str">
        <f>IF(logistics_data[[#This Row],[Delivery_Date]]="","In Transit",
 IF(logistics_data[[#This Row],[Status]]="Lost","Lost",
 IF(logistics_data[[#This Row],[Status]]="Returned","Returned",
 IF(logistics_data[[#This Row],[Status]]="Delayed","Delayed",
 "Delivered"))))</f>
        <v>Delivered</v>
      </c>
      <c r="M1864" s="2">
        <f>logistics_data[[#This Row],[Cost]]/logistics_data[[#This Row],[Distance_miles]]</f>
        <v>0.16455913978494624</v>
      </c>
      <c r="N1864" t="str">
        <f>IF(logistics_data[[#This Row],[Orginal staus of shipment]]&lt;&gt;"Delivered","not applicabel", IF(logistics_data[[#This Row],[Transit_Days]]&gt;=5,"slow","fast"))</f>
        <v>fast</v>
      </c>
    </row>
    <row r="1865" spans="1:14" x14ac:dyDescent="0.3">
      <c r="A1865" t="s">
        <v>1911</v>
      </c>
      <c r="B1865" t="s">
        <v>20</v>
      </c>
      <c r="C1865" t="s">
        <v>44</v>
      </c>
      <c r="D1865" t="s">
        <v>25</v>
      </c>
      <c r="E1865" s="1">
        <v>44940</v>
      </c>
      <c r="F1865" s="1">
        <v>44944</v>
      </c>
      <c r="G1865">
        <v>16.100000000000001</v>
      </c>
      <c r="H1865">
        <v>105.58</v>
      </c>
      <c r="I1865" t="s">
        <v>15</v>
      </c>
      <c r="J1865">
        <v>664</v>
      </c>
      <c r="K1865">
        <v>4</v>
      </c>
      <c r="L1865" t="str">
        <f>IF(logistics_data[[#This Row],[Delivery_Date]]="","In Transit",
 IF(logistics_data[[#This Row],[Status]]="Lost","Lost",
 IF(logistics_data[[#This Row],[Status]]="Returned","Returned",
 IF(logistics_data[[#This Row],[Status]]="Delayed","Delayed",
 "Delivered"))))</f>
        <v>Delivered</v>
      </c>
      <c r="M1865" s="2">
        <f>logistics_data[[#This Row],[Cost]]/logistics_data[[#This Row],[Distance_miles]]</f>
        <v>0.15900602409638553</v>
      </c>
      <c r="N1865" t="str">
        <f>IF(logistics_data[[#This Row],[Orginal staus of shipment]]&lt;&gt;"Delivered","not applicabel", IF(logistics_data[[#This Row],[Transit_Days]]&gt;=5,"slow","fast"))</f>
        <v>fast</v>
      </c>
    </row>
    <row r="1866" spans="1:14" x14ac:dyDescent="0.3">
      <c r="A1866" t="s">
        <v>1912</v>
      </c>
      <c r="B1866" t="s">
        <v>27</v>
      </c>
      <c r="C1866" t="s">
        <v>31</v>
      </c>
      <c r="D1866" t="s">
        <v>32</v>
      </c>
      <c r="E1866" s="1">
        <v>45118</v>
      </c>
      <c r="F1866" s="1">
        <v>45124</v>
      </c>
      <c r="G1866">
        <v>88.9</v>
      </c>
      <c r="H1866">
        <v>424.24</v>
      </c>
      <c r="I1866" t="s">
        <v>15</v>
      </c>
      <c r="J1866">
        <v>2356</v>
      </c>
      <c r="K1866">
        <v>6</v>
      </c>
      <c r="L1866" t="str">
        <f>IF(logistics_data[[#This Row],[Delivery_Date]]="","In Transit",
 IF(logistics_data[[#This Row],[Status]]="Lost","Lost",
 IF(logistics_data[[#This Row],[Status]]="Returned","Returned",
 IF(logistics_data[[#This Row],[Status]]="Delayed","Delayed",
 "Delivered"))))</f>
        <v>Delivered</v>
      </c>
      <c r="M1866" s="2">
        <f>logistics_data[[#This Row],[Cost]]/logistics_data[[#This Row],[Distance_miles]]</f>
        <v>0.1800679117147708</v>
      </c>
      <c r="N1866" t="str">
        <f>IF(logistics_data[[#This Row],[Orginal staus of shipment]]&lt;&gt;"Delivered","not applicabel", IF(logistics_data[[#This Row],[Transit_Days]]&gt;=5,"slow","fast"))</f>
        <v>slow</v>
      </c>
    </row>
    <row r="1867" spans="1:14" x14ac:dyDescent="0.3">
      <c r="A1867" t="s">
        <v>1913</v>
      </c>
      <c r="B1867" t="s">
        <v>12</v>
      </c>
      <c r="C1867" t="s">
        <v>31</v>
      </c>
      <c r="D1867" t="s">
        <v>59</v>
      </c>
      <c r="E1867" s="1">
        <v>45081</v>
      </c>
      <c r="F1867" s="1">
        <v>45084</v>
      </c>
      <c r="G1867">
        <v>24.8</v>
      </c>
      <c r="H1867">
        <v>140.88</v>
      </c>
      <c r="I1867" t="s">
        <v>60</v>
      </c>
      <c r="J1867">
        <v>944</v>
      </c>
      <c r="K1867">
        <v>3</v>
      </c>
      <c r="L1867" t="str">
        <f>IF(logistics_data[[#This Row],[Delivery_Date]]="","In Transit",
 IF(logistics_data[[#This Row],[Status]]="Lost","Lost",
 IF(logistics_data[[#This Row],[Status]]="Returned","Returned",
 IF(logistics_data[[#This Row],[Status]]="Delayed","Delayed",
 "Delivered"))))</f>
        <v>Lost</v>
      </c>
      <c r="M1867" s="2">
        <f>logistics_data[[#This Row],[Cost]]/logistics_data[[#This Row],[Distance_miles]]</f>
        <v>0.14923728813559323</v>
      </c>
      <c r="N1867" t="str">
        <f>IF(logistics_data[[#This Row],[Orginal staus of shipment]]&lt;&gt;"Delivered","not applicabel", IF(logistics_data[[#This Row],[Transit_Days]]&gt;=5,"slow","fast"))</f>
        <v>not applicabel</v>
      </c>
    </row>
    <row r="1868" spans="1:14" x14ac:dyDescent="0.3">
      <c r="A1868" t="s">
        <v>1914</v>
      </c>
      <c r="B1868" t="s">
        <v>20</v>
      </c>
      <c r="C1868" t="s">
        <v>81</v>
      </c>
      <c r="D1868" t="s">
        <v>37</v>
      </c>
      <c r="E1868" s="1">
        <v>45227</v>
      </c>
      <c r="F1868" s="1">
        <v>45235</v>
      </c>
      <c r="G1868">
        <v>18.100000000000001</v>
      </c>
      <c r="H1868">
        <v>242.86</v>
      </c>
      <c r="I1868" t="s">
        <v>15</v>
      </c>
      <c r="J1868">
        <v>1746</v>
      </c>
      <c r="K1868">
        <v>8</v>
      </c>
      <c r="L1868" t="str">
        <f>IF(logistics_data[[#This Row],[Delivery_Date]]="","In Transit",
 IF(logistics_data[[#This Row],[Status]]="Lost","Lost",
 IF(logistics_data[[#This Row],[Status]]="Returned","Returned",
 IF(logistics_data[[#This Row],[Status]]="Delayed","Delayed",
 "Delivered"))))</f>
        <v>Delivered</v>
      </c>
      <c r="M1868" s="2">
        <f>logistics_data[[#This Row],[Cost]]/logistics_data[[#This Row],[Distance_miles]]</f>
        <v>0.13909507445589919</v>
      </c>
      <c r="N1868" t="str">
        <f>IF(logistics_data[[#This Row],[Orginal staus of shipment]]&lt;&gt;"Delivered","not applicabel", IF(logistics_data[[#This Row],[Transit_Days]]&gt;=5,"slow","fast"))</f>
        <v>slow</v>
      </c>
    </row>
    <row r="1869" spans="1:14" x14ac:dyDescent="0.3">
      <c r="A1869" t="s">
        <v>1915</v>
      </c>
      <c r="B1869" t="s">
        <v>39</v>
      </c>
      <c r="C1869" t="s">
        <v>36</v>
      </c>
      <c r="D1869" t="s">
        <v>42</v>
      </c>
      <c r="E1869" s="1">
        <v>44992</v>
      </c>
      <c r="F1869" s="1">
        <v>44996</v>
      </c>
      <c r="G1869">
        <v>29.7</v>
      </c>
      <c r="H1869">
        <v>271.76</v>
      </c>
      <c r="I1869" t="s">
        <v>15</v>
      </c>
      <c r="J1869">
        <v>2067</v>
      </c>
      <c r="K1869">
        <v>4</v>
      </c>
      <c r="L1869" t="str">
        <f>IF(logistics_data[[#This Row],[Delivery_Date]]="","In Transit",
 IF(logistics_data[[#This Row],[Status]]="Lost","Lost",
 IF(logistics_data[[#This Row],[Status]]="Returned","Returned",
 IF(logistics_data[[#This Row],[Status]]="Delayed","Delayed",
 "Delivered"))))</f>
        <v>Delivered</v>
      </c>
      <c r="M1869" s="2">
        <f>logistics_data[[#This Row],[Cost]]/logistics_data[[#This Row],[Distance_miles]]</f>
        <v>0.13147556845670053</v>
      </c>
      <c r="N1869" t="str">
        <f>IF(logistics_data[[#This Row],[Orginal staus of shipment]]&lt;&gt;"Delivered","not applicabel", IF(logistics_data[[#This Row],[Transit_Days]]&gt;=5,"slow","fast"))</f>
        <v>fast</v>
      </c>
    </row>
    <row r="1870" spans="1:14" x14ac:dyDescent="0.3">
      <c r="A1870" t="s">
        <v>1916</v>
      </c>
      <c r="B1870" t="s">
        <v>23</v>
      </c>
      <c r="C1870" t="s">
        <v>46</v>
      </c>
      <c r="D1870" t="s">
        <v>32</v>
      </c>
      <c r="E1870" s="1">
        <v>45047</v>
      </c>
      <c r="F1870" s="1">
        <v>45051</v>
      </c>
      <c r="G1870">
        <v>5404.2</v>
      </c>
      <c r="H1870">
        <v>226.51</v>
      </c>
      <c r="I1870" t="s">
        <v>15</v>
      </c>
      <c r="J1870">
        <v>1053</v>
      </c>
      <c r="K1870">
        <v>4</v>
      </c>
      <c r="L1870" t="str">
        <f>IF(logistics_data[[#This Row],[Delivery_Date]]="","In Transit",
 IF(logistics_data[[#This Row],[Status]]="Lost","Lost",
 IF(logistics_data[[#This Row],[Status]]="Returned","Returned",
 IF(logistics_data[[#This Row],[Status]]="Delayed","Delayed",
 "Delivered"))))</f>
        <v>Delivered</v>
      </c>
      <c r="M1870" s="2">
        <f>logistics_data[[#This Row],[Cost]]/logistics_data[[#This Row],[Distance_miles]]</f>
        <v>0.21510921177587844</v>
      </c>
      <c r="N1870" t="str">
        <f>IF(logistics_data[[#This Row],[Orginal staus of shipment]]&lt;&gt;"Delivered","not applicabel", IF(logistics_data[[#This Row],[Transit_Days]]&gt;=5,"slow","fast"))</f>
        <v>fast</v>
      </c>
    </row>
    <row r="1871" spans="1:14" x14ac:dyDescent="0.3">
      <c r="A1871" t="s">
        <v>1917</v>
      </c>
      <c r="B1871" t="s">
        <v>35</v>
      </c>
      <c r="C1871" t="s">
        <v>70</v>
      </c>
      <c r="D1871" t="s">
        <v>25</v>
      </c>
      <c r="E1871" s="1">
        <v>45202</v>
      </c>
      <c r="F1871" s="1">
        <v>45204</v>
      </c>
      <c r="G1871">
        <v>32.200000000000003</v>
      </c>
      <c r="H1871">
        <v>96.92</v>
      </c>
      <c r="I1871" t="s">
        <v>15</v>
      </c>
      <c r="J1871">
        <v>447</v>
      </c>
      <c r="K1871">
        <v>2</v>
      </c>
      <c r="L1871" t="str">
        <f>IF(logistics_data[[#This Row],[Delivery_Date]]="","In Transit",
 IF(logistics_data[[#This Row],[Status]]="Lost","Lost",
 IF(logistics_data[[#This Row],[Status]]="Returned","Returned",
 IF(logistics_data[[#This Row],[Status]]="Delayed","Delayed",
 "Delivered"))))</f>
        <v>Delivered</v>
      </c>
      <c r="M1871" s="2">
        <f>logistics_data[[#This Row],[Cost]]/logistics_data[[#This Row],[Distance_miles]]</f>
        <v>0.21682326621923939</v>
      </c>
      <c r="N1871" t="str">
        <f>IF(logistics_data[[#This Row],[Orginal staus of shipment]]&lt;&gt;"Delivered","not applicabel", IF(logistics_data[[#This Row],[Transit_Days]]&gt;=5,"slow","fast"))</f>
        <v>fast</v>
      </c>
    </row>
    <row r="1872" spans="1:14" x14ac:dyDescent="0.3">
      <c r="A1872" t="s">
        <v>1918</v>
      </c>
      <c r="B1872" t="s">
        <v>56</v>
      </c>
      <c r="C1872" t="s">
        <v>21</v>
      </c>
      <c r="D1872" t="s">
        <v>25</v>
      </c>
      <c r="E1872" s="1">
        <v>44932</v>
      </c>
      <c r="F1872" s="1">
        <v>44936</v>
      </c>
      <c r="G1872">
        <v>119.7</v>
      </c>
      <c r="H1872">
        <v>390.46</v>
      </c>
      <c r="I1872" t="s">
        <v>15</v>
      </c>
      <c r="J1872">
        <v>1834</v>
      </c>
      <c r="K1872">
        <v>4</v>
      </c>
      <c r="L1872" t="str">
        <f>IF(logistics_data[[#This Row],[Delivery_Date]]="","In Transit",
 IF(logistics_data[[#This Row],[Status]]="Lost","Lost",
 IF(logistics_data[[#This Row],[Status]]="Returned","Returned",
 IF(logistics_data[[#This Row],[Status]]="Delayed","Delayed",
 "Delivered"))))</f>
        <v>Delivered</v>
      </c>
      <c r="M1872" s="2">
        <f>logistics_data[[#This Row],[Cost]]/logistics_data[[#This Row],[Distance_miles]]</f>
        <v>0.21290076335877861</v>
      </c>
      <c r="N1872" t="str">
        <f>IF(logistics_data[[#This Row],[Orginal staus of shipment]]&lt;&gt;"Delivered","not applicabel", IF(logistics_data[[#This Row],[Transit_Days]]&gt;=5,"slow","fast"))</f>
        <v>fast</v>
      </c>
    </row>
    <row r="1873" spans="1:14" x14ac:dyDescent="0.3">
      <c r="A1873" t="s">
        <v>1919</v>
      </c>
      <c r="B1873" t="s">
        <v>23</v>
      </c>
      <c r="C1873" t="s">
        <v>44</v>
      </c>
      <c r="D1873" t="s">
        <v>25</v>
      </c>
      <c r="E1873" s="1">
        <v>45159</v>
      </c>
      <c r="F1873" s="1">
        <v>45162</v>
      </c>
      <c r="G1873">
        <v>28.4</v>
      </c>
      <c r="H1873">
        <v>117.74</v>
      </c>
      <c r="I1873" t="s">
        <v>62</v>
      </c>
      <c r="J1873">
        <v>677</v>
      </c>
      <c r="K1873">
        <v>3</v>
      </c>
      <c r="L1873" t="str">
        <f>IF(logistics_data[[#This Row],[Delivery_Date]]="","In Transit",
 IF(logistics_data[[#This Row],[Status]]="Lost","Lost",
 IF(logistics_data[[#This Row],[Status]]="Returned","Returned",
 IF(logistics_data[[#This Row],[Status]]="Delayed","Delayed",
 "Delivered"))))</f>
        <v>Delivered</v>
      </c>
      <c r="M1873" s="2">
        <f>logistics_data[[#This Row],[Cost]]/logistics_data[[#This Row],[Distance_miles]]</f>
        <v>0.17391432791728212</v>
      </c>
      <c r="N1873" t="str">
        <f>IF(logistics_data[[#This Row],[Orginal staus of shipment]]&lt;&gt;"Delivered","not applicabel", IF(logistics_data[[#This Row],[Transit_Days]]&gt;=5,"slow","fast"))</f>
        <v>fast</v>
      </c>
    </row>
    <row r="1874" spans="1:14" x14ac:dyDescent="0.3">
      <c r="A1874" t="s">
        <v>1920</v>
      </c>
      <c r="B1874" t="s">
        <v>20</v>
      </c>
      <c r="C1874" t="s">
        <v>31</v>
      </c>
      <c r="D1874" t="s">
        <v>42</v>
      </c>
      <c r="E1874" s="1">
        <v>45235</v>
      </c>
      <c r="F1874" s="1">
        <v>45241</v>
      </c>
      <c r="G1874">
        <v>17.3</v>
      </c>
      <c r="H1874">
        <v>309.39</v>
      </c>
      <c r="I1874" t="s">
        <v>15</v>
      </c>
      <c r="J1874">
        <v>1780</v>
      </c>
      <c r="K1874">
        <v>6</v>
      </c>
      <c r="L1874" t="str">
        <f>IF(logistics_data[[#This Row],[Delivery_Date]]="","In Transit",
 IF(logistics_data[[#This Row],[Status]]="Lost","Lost",
 IF(logistics_data[[#This Row],[Status]]="Returned","Returned",
 IF(logistics_data[[#This Row],[Status]]="Delayed","Delayed",
 "Delivered"))))</f>
        <v>Delivered</v>
      </c>
      <c r="M1874" s="2">
        <f>logistics_data[[#This Row],[Cost]]/logistics_data[[#This Row],[Distance_miles]]</f>
        <v>0.17381460674157304</v>
      </c>
      <c r="N1874" t="str">
        <f>IF(logistics_data[[#This Row],[Orginal staus of shipment]]&lt;&gt;"Delivered","not applicabel", IF(logistics_data[[#This Row],[Transit_Days]]&gt;=5,"slow","fast"))</f>
        <v>slow</v>
      </c>
    </row>
    <row r="1875" spans="1:14" x14ac:dyDescent="0.3">
      <c r="A1875" t="s">
        <v>1921</v>
      </c>
      <c r="B1875" t="s">
        <v>35</v>
      </c>
      <c r="C1875" t="s">
        <v>40</v>
      </c>
      <c r="D1875" t="s">
        <v>14</v>
      </c>
      <c r="E1875" s="1">
        <v>45261</v>
      </c>
      <c r="F1875" s="1">
        <v>45263</v>
      </c>
      <c r="G1875">
        <v>13.8</v>
      </c>
      <c r="H1875">
        <v>63.06</v>
      </c>
      <c r="I1875" t="s">
        <v>15</v>
      </c>
      <c r="J1875">
        <v>283</v>
      </c>
      <c r="K1875">
        <v>2</v>
      </c>
      <c r="L1875" t="str">
        <f>IF(logistics_data[[#This Row],[Delivery_Date]]="","In Transit",
 IF(logistics_data[[#This Row],[Status]]="Lost","Lost",
 IF(logistics_data[[#This Row],[Status]]="Returned","Returned",
 IF(logistics_data[[#This Row],[Status]]="Delayed","Delayed",
 "Delivered"))))</f>
        <v>Delivered</v>
      </c>
      <c r="M1875" s="2">
        <f>logistics_data[[#This Row],[Cost]]/logistics_data[[#This Row],[Distance_miles]]</f>
        <v>0.22282685512367492</v>
      </c>
      <c r="N1875" t="str">
        <f>IF(logistics_data[[#This Row],[Orginal staus of shipment]]&lt;&gt;"Delivered","not applicabel", IF(logistics_data[[#This Row],[Transit_Days]]&gt;=5,"slow","fast"))</f>
        <v>fast</v>
      </c>
    </row>
    <row r="1876" spans="1:14" x14ac:dyDescent="0.3">
      <c r="A1876" t="s">
        <v>1922</v>
      </c>
      <c r="B1876" t="s">
        <v>30</v>
      </c>
      <c r="C1876" t="s">
        <v>21</v>
      </c>
      <c r="D1876" t="s">
        <v>25</v>
      </c>
      <c r="E1876" s="1">
        <v>45126</v>
      </c>
      <c r="F1876" s="1">
        <v>45131</v>
      </c>
      <c r="G1876">
        <v>79.3</v>
      </c>
      <c r="H1876">
        <v>348.67</v>
      </c>
      <c r="I1876" t="s">
        <v>15</v>
      </c>
      <c r="J1876">
        <v>2393</v>
      </c>
      <c r="K1876">
        <v>5</v>
      </c>
      <c r="L1876" t="str">
        <f>IF(logistics_data[[#This Row],[Delivery_Date]]="","In Transit",
 IF(logistics_data[[#This Row],[Status]]="Lost","Lost",
 IF(logistics_data[[#This Row],[Status]]="Returned","Returned",
 IF(logistics_data[[#This Row],[Status]]="Delayed","Delayed",
 "Delivered"))))</f>
        <v>Delivered</v>
      </c>
      <c r="M1876" s="2">
        <f>logistics_data[[#This Row],[Cost]]/logistics_data[[#This Row],[Distance_miles]]</f>
        <v>0.14570413706644381</v>
      </c>
      <c r="N1876" t="str">
        <f>IF(logistics_data[[#This Row],[Orginal staus of shipment]]&lt;&gt;"Delivered","not applicabel", IF(logistics_data[[#This Row],[Transit_Days]]&gt;=5,"slow","fast"))</f>
        <v>slow</v>
      </c>
    </row>
    <row r="1877" spans="1:14" x14ac:dyDescent="0.3">
      <c r="A1877" t="s">
        <v>1923</v>
      </c>
      <c r="B1877" t="s">
        <v>35</v>
      </c>
      <c r="C1877" t="s">
        <v>81</v>
      </c>
      <c r="D1877" t="s">
        <v>14</v>
      </c>
      <c r="E1877" s="1">
        <v>45224</v>
      </c>
      <c r="F1877" s="1">
        <v>45229</v>
      </c>
      <c r="G1877">
        <v>5.9</v>
      </c>
      <c r="H1877">
        <v>145.47</v>
      </c>
      <c r="I1877" t="s">
        <v>15</v>
      </c>
      <c r="J1877">
        <v>1000</v>
      </c>
      <c r="K1877">
        <v>5</v>
      </c>
      <c r="L1877" t="str">
        <f>IF(logistics_data[[#This Row],[Delivery_Date]]="","In Transit",
 IF(logistics_data[[#This Row],[Status]]="Lost","Lost",
 IF(logistics_data[[#This Row],[Status]]="Returned","Returned",
 IF(logistics_data[[#This Row],[Status]]="Delayed","Delayed",
 "Delivered"))))</f>
        <v>Delivered</v>
      </c>
      <c r="M1877" s="2">
        <f>logistics_data[[#This Row],[Cost]]/logistics_data[[#This Row],[Distance_miles]]</f>
        <v>0.14546999999999999</v>
      </c>
      <c r="N1877" t="str">
        <f>IF(logistics_data[[#This Row],[Orginal staus of shipment]]&lt;&gt;"Delivered","not applicabel", IF(logistics_data[[#This Row],[Transit_Days]]&gt;=5,"slow","fast"))</f>
        <v>slow</v>
      </c>
    </row>
    <row r="1878" spans="1:14" x14ac:dyDescent="0.3">
      <c r="A1878" t="s">
        <v>1924</v>
      </c>
      <c r="B1878" t="s">
        <v>51</v>
      </c>
      <c r="C1878" t="s">
        <v>28</v>
      </c>
      <c r="D1878" t="s">
        <v>18</v>
      </c>
      <c r="E1878" s="1">
        <v>45033</v>
      </c>
      <c r="F1878" s="1">
        <v>45034</v>
      </c>
      <c r="G1878">
        <v>26.2</v>
      </c>
      <c r="H1878">
        <v>86.35</v>
      </c>
      <c r="I1878" t="s">
        <v>15</v>
      </c>
      <c r="J1878">
        <v>351</v>
      </c>
      <c r="K1878">
        <v>1</v>
      </c>
      <c r="L1878" t="str">
        <f>IF(logistics_data[[#This Row],[Delivery_Date]]="","In Transit",
 IF(logistics_data[[#This Row],[Status]]="Lost","Lost",
 IF(logistics_data[[#This Row],[Status]]="Returned","Returned",
 IF(logistics_data[[#This Row],[Status]]="Delayed","Delayed",
 "Delivered"))))</f>
        <v>Delivered</v>
      </c>
      <c r="M1878" s="2">
        <f>logistics_data[[#This Row],[Cost]]/logistics_data[[#This Row],[Distance_miles]]</f>
        <v>0.24601139601139599</v>
      </c>
      <c r="N1878" t="str">
        <f>IF(logistics_data[[#This Row],[Orginal staus of shipment]]&lt;&gt;"Delivered","not applicabel", IF(logistics_data[[#This Row],[Transit_Days]]&gt;=5,"slow","fast"))</f>
        <v>fast</v>
      </c>
    </row>
    <row r="1879" spans="1:14" x14ac:dyDescent="0.3">
      <c r="A1879" t="s">
        <v>1925</v>
      </c>
      <c r="B1879" t="s">
        <v>20</v>
      </c>
      <c r="C1879" t="s">
        <v>24</v>
      </c>
      <c r="D1879" t="s">
        <v>14</v>
      </c>
      <c r="E1879" s="1">
        <v>44929</v>
      </c>
      <c r="F1879" s="1">
        <v>44934</v>
      </c>
      <c r="G1879">
        <v>16.8</v>
      </c>
      <c r="H1879">
        <v>174.76</v>
      </c>
      <c r="I1879" t="s">
        <v>15</v>
      </c>
      <c r="J1879">
        <v>1135</v>
      </c>
      <c r="K1879">
        <v>5</v>
      </c>
      <c r="L1879" t="str">
        <f>IF(logistics_data[[#This Row],[Delivery_Date]]="","In Transit",
 IF(logistics_data[[#This Row],[Status]]="Lost","Lost",
 IF(logistics_data[[#This Row],[Status]]="Returned","Returned",
 IF(logistics_data[[#This Row],[Status]]="Delayed","Delayed",
 "Delivered"))))</f>
        <v>Delivered</v>
      </c>
      <c r="M1879" s="2">
        <f>logistics_data[[#This Row],[Cost]]/logistics_data[[#This Row],[Distance_miles]]</f>
        <v>0.15397356828193831</v>
      </c>
      <c r="N1879" t="str">
        <f>IF(logistics_data[[#This Row],[Orginal staus of shipment]]&lt;&gt;"Delivered","not applicabel", IF(logistics_data[[#This Row],[Transit_Days]]&gt;=5,"slow","fast"))</f>
        <v>slow</v>
      </c>
    </row>
    <row r="1880" spans="1:14" x14ac:dyDescent="0.3">
      <c r="A1880" t="s">
        <v>1926</v>
      </c>
      <c r="B1880" t="s">
        <v>23</v>
      </c>
      <c r="C1880" t="s">
        <v>24</v>
      </c>
      <c r="D1880" t="s">
        <v>59</v>
      </c>
      <c r="E1880" s="1">
        <v>44989</v>
      </c>
      <c r="F1880" s="1">
        <v>44993</v>
      </c>
      <c r="G1880">
        <v>24.1</v>
      </c>
      <c r="H1880">
        <v>213.6</v>
      </c>
      <c r="I1880" t="s">
        <v>15</v>
      </c>
      <c r="J1880">
        <v>1794</v>
      </c>
      <c r="K1880">
        <v>4</v>
      </c>
      <c r="L1880" t="str">
        <f>IF(logistics_data[[#This Row],[Delivery_Date]]="","In Transit",
 IF(logistics_data[[#This Row],[Status]]="Lost","Lost",
 IF(logistics_data[[#This Row],[Status]]="Returned","Returned",
 IF(logistics_data[[#This Row],[Status]]="Delayed","Delayed",
 "Delivered"))))</f>
        <v>Delivered</v>
      </c>
      <c r="M1880" s="2">
        <f>logistics_data[[#This Row],[Cost]]/logistics_data[[#This Row],[Distance_miles]]</f>
        <v>0.11906354515050167</v>
      </c>
      <c r="N1880" t="str">
        <f>IF(logistics_data[[#This Row],[Orginal staus of shipment]]&lt;&gt;"Delivered","not applicabel", IF(logistics_data[[#This Row],[Transit_Days]]&gt;=5,"slow","fast"))</f>
        <v>fast</v>
      </c>
    </row>
    <row r="1881" spans="1:14" x14ac:dyDescent="0.3">
      <c r="A1881" t="s">
        <v>1927</v>
      </c>
      <c r="B1881" t="s">
        <v>51</v>
      </c>
      <c r="C1881" t="s">
        <v>24</v>
      </c>
      <c r="D1881" t="s">
        <v>18</v>
      </c>
      <c r="E1881" s="1">
        <v>45155</v>
      </c>
      <c r="F1881" s="1">
        <v>45159</v>
      </c>
      <c r="G1881">
        <v>10.199999999999999</v>
      </c>
      <c r="H1881">
        <v>286.07</v>
      </c>
      <c r="I1881" t="s">
        <v>15</v>
      </c>
      <c r="J1881">
        <v>1919</v>
      </c>
      <c r="K1881">
        <v>4</v>
      </c>
      <c r="L1881" t="str">
        <f>IF(logistics_data[[#This Row],[Delivery_Date]]="","In Transit",
 IF(logistics_data[[#This Row],[Status]]="Lost","Lost",
 IF(logistics_data[[#This Row],[Status]]="Returned","Returned",
 IF(logistics_data[[#This Row],[Status]]="Delayed","Delayed",
 "Delivered"))))</f>
        <v>Delivered</v>
      </c>
      <c r="M1881" s="2">
        <f>logistics_data[[#This Row],[Cost]]/logistics_data[[#This Row],[Distance_miles]]</f>
        <v>0.14907243355914537</v>
      </c>
      <c r="N1881" t="str">
        <f>IF(logistics_data[[#This Row],[Orginal staus of shipment]]&lt;&gt;"Delivered","not applicabel", IF(logistics_data[[#This Row],[Transit_Days]]&gt;=5,"slow","fast"))</f>
        <v>fast</v>
      </c>
    </row>
    <row r="1882" spans="1:14" x14ac:dyDescent="0.3">
      <c r="A1882" t="s">
        <v>1928</v>
      </c>
      <c r="B1882" t="s">
        <v>51</v>
      </c>
      <c r="C1882" t="s">
        <v>57</v>
      </c>
      <c r="D1882" t="s">
        <v>25</v>
      </c>
      <c r="E1882" s="1">
        <v>45141</v>
      </c>
      <c r="F1882" s="1">
        <v>45144</v>
      </c>
      <c r="G1882">
        <v>25.6</v>
      </c>
      <c r="H1882">
        <v>114.68</v>
      </c>
      <c r="I1882" t="s">
        <v>15</v>
      </c>
      <c r="J1882">
        <v>801</v>
      </c>
      <c r="K1882">
        <v>3</v>
      </c>
      <c r="L1882" t="str">
        <f>IF(logistics_data[[#This Row],[Delivery_Date]]="","In Transit",
 IF(logistics_data[[#This Row],[Status]]="Lost","Lost",
 IF(logistics_data[[#This Row],[Status]]="Returned","Returned",
 IF(logistics_data[[#This Row],[Status]]="Delayed","Delayed",
 "Delivered"))))</f>
        <v>Delivered</v>
      </c>
      <c r="M1882" s="2">
        <f>logistics_data[[#This Row],[Cost]]/logistics_data[[#This Row],[Distance_miles]]</f>
        <v>0.14317103620474408</v>
      </c>
      <c r="N1882" t="str">
        <f>IF(logistics_data[[#This Row],[Orginal staus of shipment]]&lt;&gt;"Delivered","not applicabel", IF(logistics_data[[#This Row],[Transit_Days]]&gt;=5,"slow","fast"))</f>
        <v>fast</v>
      </c>
    </row>
    <row r="1883" spans="1:14" x14ac:dyDescent="0.3">
      <c r="A1883" t="s">
        <v>1929</v>
      </c>
      <c r="B1883" t="s">
        <v>12</v>
      </c>
      <c r="C1883" t="s">
        <v>54</v>
      </c>
      <c r="D1883" t="s">
        <v>32</v>
      </c>
      <c r="E1883" s="1">
        <v>45242</v>
      </c>
      <c r="F1883" s="1">
        <v>45244</v>
      </c>
      <c r="G1883">
        <v>6.1</v>
      </c>
      <c r="H1883">
        <v>39.840000000000003</v>
      </c>
      <c r="I1883" t="s">
        <v>15</v>
      </c>
      <c r="J1883">
        <v>218</v>
      </c>
      <c r="K1883">
        <v>2</v>
      </c>
      <c r="L1883" t="str">
        <f>IF(logistics_data[[#This Row],[Delivery_Date]]="","In Transit",
 IF(logistics_data[[#This Row],[Status]]="Lost","Lost",
 IF(logistics_data[[#This Row],[Status]]="Returned","Returned",
 IF(logistics_data[[#This Row],[Status]]="Delayed","Delayed",
 "Delivered"))))</f>
        <v>Delivered</v>
      </c>
      <c r="M1883" s="2">
        <f>logistics_data[[#This Row],[Cost]]/logistics_data[[#This Row],[Distance_miles]]</f>
        <v>0.18275229357798167</v>
      </c>
      <c r="N1883" t="str">
        <f>IF(logistics_data[[#This Row],[Orginal staus of shipment]]&lt;&gt;"Delivered","not applicabel", IF(logistics_data[[#This Row],[Transit_Days]]&gt;=5,"slow","fast"))</f>
        <v>fast</v>
      </c>
    </row>
    <row r="1884" spans="1:14" x14ac:dyDescent="0.3">
      <c r="A1884" t="s">
        <v>1930</v>
      </c>
      <c r="B1884" t="s">
        <v>20</v>
      </c>
      <c r="C1884" t="s">
        <v>52</v>
      </c>
      <c r="D1884" t="s">
        <v>14</v>
      </c>
      <c r="E1884" s="1">
        <v>45138</v>
      </c>
      <c r="F1884" s="1">
        <v>45142</v>
      </c>
      <c r="G1884">
        <v>29.9</v>
      </c>
      <c r="H1884">
        <v>84.58</v>
      </c>
      <c r="I1884" t="s">
        <v>15</v>
      </c>
      <c r="J1884">
        <v>373</v>
      </c>
      <c r="K1884">
        <v>4</v>
      </c>
      <c r="L1884" t="str">
        <f>IF(logistics_data[[#This Row],[Delivery_Date]]="","In Transit",
 IF(logistics_data[[#This Row],[Status]]="Lost","Lost",
 IF(logistics_data[[#This Row],[Status]]="Returned","Returned",
 IF(logistics_data[[#This Row],[Status]]="Delayed","Delayed",
 "Delivered"))))</f>
        <v>Delivered</v>
      </c>
      <c r="M1884" s="2">
        <f>logistics_data[[#This Row],[Cost]]/logistics_data[[#This Row],[Distance_miles]]</f>
        <v>0.22675603217158177</v>
      </c>
      <c r="N1884" t="str">
        <f>IF(logistics_data[[#This Row],[Orginal staus of shipment]]&lt;&gt;"Delivered","not applicabel", IF(logistics_data[[#This Row],[Transit_Days]]&gt;=5,"slow","fast"))</f>
        <v>fast</v>
      </c>
    </row>
    <row r="1885" spans="1:14" x14ac:dyDescent="0.3">
      <c r="A1885" t="s">
        <v>1931</v>
      </c>
      <c r="B1885" t="s">
        <v>30</v>
      </c>
      <c r="C1885" t="s">
        <v>46</v>
      </c>
      <c r="D1885" t="s">
        <v>25</v>
      </c>
      <c r="E1885" s="1">
        <v>45255</v>
      </c>
      <c r="F1885" s="1">
        <v>45259</v>
      </c>
      <c r="G1885">
        <v>7.2</v>
      </c>
      <c r="H1885">
        <v>212.11</v>
      </c>
      <c r="I1885" t="s">
        <v>15</v>
      </c>
      <c r="J1885">
        <v>1306</v>
      </c>
      <c r="K1885">
        <v>4</v>
      </c>
      <c r="L1885" t="str">
        <f>IF(logistics_data[[#This Row],[Delivery_Date]]="","In Transit",
 IF(logistics_data[[#This Row],[Status]]="Lost","Lost",
 IF(logistics_data[[#This Row],[Status]]="Returned","Returned",
 IF(logistics_data[[#This Row],[Status]]="Delayed","Delayed",
 "Delivered"))))</f>
        <v>Delivered</v>
      </c>
      <c r="M1885" s="2">
        <f>logistics_data[[#This Row],[Cost]]/logistics_data[[#This Row],[Distance_miles]]</f>
        <v>0.16241194486983157</v>
      </c>
      <c r="N1885" t="str">
        <f>IF(logistics_data[[#This Row],[Orginal staus of shipment]]&lt;&gt;"Delivered","not applicabel", IF(logistics_data[[#This Row],[Transit_Days]]&gt;=5,"slow","fast"))</f>
        <v>fast</v>
      </c>
    </row>
    <row r="1886" spans="1:14" x14ac:dyDescent="0.3">
      <c r="A1886" t="s">
        <v>1932</v>
      </c>
      <c r="B1886" t="s">
        <v>35</v>
      </c>
      <c r="C1886" t="s">
        <v>57</v>
      </c>
      <c r="D1886" t="s">
        <v>37</v>
      </c>
      <c r="E1886" s="1">
        <v>45131</v>
      </c>
      <c r="F1886" s="1">
        <v>45138</v>
      </c>
      <c r="G1886">
        <v>40.700000000000003</v>
      </c>
      <c r="H1886">
        <v>292.44</v>
      </c>
      <c r="I1886" t="s">
        <v>15</v>
      </c>
      <c r="J1886">
        <v>2247</v>
      </c>
      <c r="K1886">
        <v>7</v>
      </c>
      <c r="L1886" t="str">
        <f>IF(logistics_data[[#This Row],[Delivery_Date]]="","In Transit",
 IF(logistics_data[[#This Row],[Status]]="Lost","Lost",
 IF(logistics_data[[#This Row],[Status]]="Returned","Returned",
 IF(logistics_data[[#This Row],[Status]]="Delayed","Delayed",
 "Delivered"))))</f>
        <v>Delivered</v>
      </c>
      <c r="M1886" s="2">
        <f>logistics_data[[#This Row],[Cost]]/logistics_data[[#This Row],[Distance_miles]]</f>
        <v>0.13014686248331109</v>
      </c>
      <c r="N1886" t="str">
        <f>IF(logistics_data[[#This Row],[Orginal staus of shipment]]&lt;&gt;"Delivered","not applicabel", IF(logistics_data[[#This Row],[Transit_Days]]&gt;=5,"slow","fast"))</f>
        <v>slow</v>
      </c>
    </row>
    <row r="1887" spans="1:14" x14ac:dyDescent="0.3">
      <c r="A1887" t="s">
        <v>1933</v>
      </c>
      <c r="B1887" t="s">
        <v>35</v>
      </c>
      <c r="C1887" t="s">
        <v>70</v>
      </c>
      <c r="D1887" t="s">
        <v>37</v>
      </c>
      <c r="E1887" s="1">
        <v>45179</v>
      </c>
      <c r="F1887" s="1">
        <v>45183</v>
      </c>
      <c r="G1887">
        <v>34.700000000000003</v>
      </c>
      <c r="H1887">
        <v>252.26</v>
      </c>
      <c r="I1887" t="s">
        <v>15</v>
      </c>
      <c r="J1887">
        <v>1603</v>
      </c>
      <c r="K1887">
        <v>4</v>
      </c>
      <c r="L1887" t="str">
        <f>IF(logistics_data[[#This Row],[Delivery_Date]]="","In Transit",
 IF(logistics_data[[#This Row],[Status]]="Lost","Lost",
 IF(logistics_data[[#This Row],[Status]]="Returned","Returned",
 IF(logistics_data[[#This Row],[Status]]="Delayed","Delayed",
 "Delivered"))))</f>
        <v>Delivered</v>
      </c>
      <c r="M1887" s="2">
        <f>logistics_data[[#This Row],[Cost]]/logistics_data[[#This Row],[Distance_miles]]</f>
        <v>0.1573674360573924</v>
      </c>
      <c r="N1887" t="str">
        <f>IF(logistics_data[[#This Row],[Orginal staus of shipment]]&lt;&gt;"Delivered","not applicabel", IF(logistics_data[[#This Row],[Transit_Days]]&gt;=5,"slow","fast"))</f>
        <v>fast</v>
      </c>
    </row>
    <row r="1888" spans="1:14" x14ac:dyDescent="0.3">
      <c r="A1888" t="s">
        <v>1934</v>
      </c>
      <c r="B1888" t="s">
        <v>27</v>
      </c>
      <c r="C1888" t="s">
        <v>40</v>
      </c>
      <c r="D1888" t="s">
        <v>42</v>
      </c>
      <c r="E1888" s="1">
        <v>45242</v>
      </c>
      <c r="F1888" s="1">
        <v>45245</v>
      </c>
      <c r="G1888">
        <v>24.8</v>
      </c>
      <c r="H1888">
        <v>206.07</v>
      </c>
      <c r="I1888" t="s">
        <v>15</v>
      </c>
      <c r="J1888">
        <v>1099</v>
      </c>
      <c r="K1888">
        <v>3</v>
      </c>
      <c r="L1888" t="str">
        <f>IF(logistics_data[[#This Row],[Delivery_Date]]="","In Transit",
 IF(logistics_data[[#This Row],[Status]]="Lost","Lost",
 IF(logistics_data[[#This Row],[Status]]="Returned","Returned",
 IF(logistics_data[[#This Row],[Status]]="Delayed","Delayed",
 "Delivered"))))</f>
        <v>Delivered</v>
      </c>
      <c r="M1888" s="2">
        <f>logistics_data[[#This Row],[Cost]]/logistics_data[[#This Row],[Distance_miles]]</f>
        <v>0.18750682438580527</v>
      </c>
      <c r="N1888" t="str">
        <f>IF(logistics_data[[#This Row],[Orginal staus of shipment]]&lt;&gt;"Delivered","not applicabel", IF(logistics_data[[#This Row],[Transit_Days]]&gt;=5,"slow","fast"))</f>
        <v>fast</v>
      </c>
    </row>
    <row r="1889" spans="1:14" x14ac:dyDescent="0.3">
      <c r="A1889" t="s">
        <v>1935</v>
      </c>
      <c r="B1889" t="s">
        <v>39</v>
      </c>
      <c r="C1889" t="s">
        <v>54</v>
      </c>
      <c r="D1889" t="s">
        <v>25</v>
      </c>
      <c r="E1889" s="1">
        <v>45257</v>
      </c>
      <c r="F1889" s="1">
        <v>45262</v>
      </c>
      <c r="G1889">
        <v>28.1</v>
      </c>
      <c r="H1889">
        <v>195.61</v>
      </c>
      <c r="I1889" t="s">
        <v>67</v>
      </c>
      <c r="J1889">
        <v>1012</v>
      </c>
      <c r="K1889">
        <v>5</v>
      </c>
      <c r="L1889" t="str">
        <f>IF(logistics_data[[#This Row],[Delivery_Date]]="","In Transit",
 IF(logistics_data[[#This Row],[Status]]="Lost","Lost",
 IF(logistics_data[[#This Row],[Status]]="Returned","Returned",
 IF(logistics_data[[#This Row],[Status]]="Delayed","Delayed",
 "Delivered"))))</f>
        <v>Returned</v>
      </c>
      <c r="M1889" s="2">
        <f>logistics_data[[#This Row],[Cost]]/logistics_data[[#This Row],[Distance_miles]]</f>
        <v>0.19329051383399209</v>
      </c>
      <c r="N1889" t="str">
        <f>IF(logistics_data[[#This Row],[Orginal staus of shipment]]&lt;&gt;"Delivered","not applicabel", IF(logistics_data[[#This Row],[Transit_Days]]&gt;=5,"slow","fast"))</f>
        <v>not applicabel</v>
      </c>
    </row>
    <row r="1890" spans="1:14" x14ac:dyDescent="0.3">
      <c r="A1890" t="s">
        <v>1936</v>
      </c>
      <c r="B1890" t="s">
        <v>51</v>
      </c>
      <c r="C1890" t="s">
        <v>13</v>
      </c>
      <c r="D1890" t="s">
        <v>37</v>
      </c>
      <c r="E1890" s="1">
        <v>45170</v>
      </c>
      <c r="F1890" s="1">
        <v>45172</v>
      </c>
      <c r="G1890">
        <v>10.7</v>
      </c>
      <c r="I1890" t="s">
        <v>15</v>
      </c>
      <c r="J1890">
        <v>392</v>
      </c>
      <c r="K1890">
        <v>2</v>
      </c>
      <c r="L1890" t="str">
        <f>IF(logistics_data[[#This Row],[Delivery_Date]]="","In Transit",
 IF(logistics_data[[#This Row],[Status]]="Lost","Lost",
 IF(logistics_data[[#This Row],[Status]]="Returned","Returned",
 IF(logistics_data[[#This Row],[Status]]="Delayed","Delayed",
 "Delivered"))))</f>
        <v>Delivered</v>
      </c>
      <c r="M1890" s="2">
        <f>logistics_data[[#This Row],[Cost]]/logistics_data[[#This Row],[Distance_miles]]</f>
        <v>0</v>
      </c>
      <c r="N1890" t="str">
        <f>IF(logistics_data[[#This Row],[Orginal staus of shipment]]&lt;&gt;"Delivered","not applicabel", IF(logistics_data[[#This Row],[Transit_Days]]&gt;=5,"slow","fast"))</f>
        <v>fast</v>
      </c>
    </row>
    <row r="1891" spans="1:14" x14ac:dyDescent="0.3">
      <c r="A1891" t="s">
        <v>1937</v>
      </c>
      <c r="B1891" t="s">
        <v>12</v>
      </c>
      <c r="C1891" t="s">
        <v>40</v>
      </c>
      <c r="D1891" t="s">
        <v>18</v>
      </c>
      <c r="E1891" s="1">
        <v>45071</v>
      </c>
      <c r="F1891" s="1">
        <v>45078</v>
      </c>
      <c r="G1891">
        <v>32.799999999999997</v>
      </c>
      <c r="H1891">
        <v>303.32</v>
      </c>
      <c r="I1891" t="s">
        <v>15</v>
      </c>
      <c r="J1891">
        <v>2012</v>
      </c>
      <c r="K1891">
        <v>7</v>
      </c>
      <c r="L1891" t="str">
        <f>IF(logistics_data[[#This Row],[Delivery_Date]]="","In Transit",
 IF(logistics_data[[#This Row],[Status]]="Lost","Lost",
 IF(logistics_data[[#This Row],[Status]]="Returned","Returned",
 IF(logistics_data[[#This Row],[Status]]="Delayed","Delayed",
 "Delivered"))))</f>
        <v>Delivered</v>
      </c>
      <c r="M1891" s="2">
        <f>logistics_data[[#This Row],[Cost]]/logistics_data[[#This Row],[Distance_miles]]</f>
        <v>0.15075546719681909</v>
      </c>
      <c r="N1891" t="str">
        <f>IF(logistics_data[[#This Row],[Orginal staus of shipment]]&lt;&gt;"Delivered","not applicabel", IF(logistics_data[[#This Row],[Transit_Days]]&gt;=5,"slow","fast"))</f>
        <v>slow</v>
      </c>
    </row>
    <row r="1892" spans="1:14" x14ac:dyDescent="0.3">
      <c r="A1892" t="s">
        <v>1938</v>
      </c>
      <c r="B1892" t="s">
        <v>27</v>
      </c>
      <c r="C1892" t="s">
        <v>24</v>
      </c>
      <c r="D1892" t="s">
        <v>18</v>
      </c>
      <c r="E1892" s="1">
        <v>45067</v>
      </c>
      <c r="F1892" s="1">
        <v>45074</v>
      </c>
      <c r="G1892">
        <v>29.5</v>
      </c>
      <c r="H1892">
        <v>326.18</v>
      </c>
      <c r="I1892" t="s">
        <v>15</v>
      </c>
      <c r="J1892">
        <v>2273</v>
      </c>
      <c r="K1892">
        <v>7</v>
      </c>
      <c r="L1892" t="str">
        <f>IF(logistics_data[[#This Row],[Delivery_Date]]="","In Transit",
 IF(logistics_data[[#This Row],[Status]]="Lost","Lost",
 IF(logistics_data[[#This Row],[Status]]="Returned","Returned",
 IF(logistics_data[[#This Row],[Status]]="Delayed","Delayed",
 "Delivered"))))</f>
        <v>Delivered</v>
      </c>
      <c r="M1892" s="2">
        <f>logistics_data[[#This Row],[Cost]]/logistics_data[[#This Row],[Distance_miles]]</f>
        <v>0.14350197976242851</v>
      </c>
      <c r="N1892" t="str">
        <f>IF(logistics_data[[#This Row],[Orginal staus of shipment]]&lt;&gt;"Delivered","not applicabel", IF(logistics_data[[#This Row],[Transit_Days]]&gt;=5,"slow","fast"))</f>
        <v>slow</v>
      </c>
    </row>
    <row r="1893" spans="1:14" x14ac:dyDescent="0.3">
      <c r="A1893" t="s">
        <v>1939</v>
      </c>
      <c r="B1893" t="s">
        <v>20</v>
      </c>
      <c r="C1893" t="s">
        <v>31</v>
      </c>
      <c r="D1893" t="s">
        <v>25</v>
      </c>
      <c r="E1893" s="1">
        <v>45281</v>
      </c>
      <c r="F1893" s="1">
        <v>45286</v>
      </c>
      <c r="G1893">
        <v>66.3</v>
      </c>
      <c r="H1893">
        <v>337.55</v>
      </c>
      <c r="I1893" t="s">
        <v>62</v>
      </c>
      <c r="J1893">
        <v>1743</v>
      </c>
      <c r="K1893">
        <v>5</v>
      </c>
      <c r="L1893" t="str">
        <f>IF(logistics_data[[#This Row],[Delivery_Date]]="","In Transit",
 IF(logistics_data[[#This Row],[Status]]="Lost","Lost",
 IF(logistics_data[[#This Row],[Status]]="Returned","Returned",
 IF(logistics_data[[#This Row],[Status]]="Delayed","Delayed",
 "Delivered"))))</f>
        <v>Delivered</v>
      </c>
      <c r="M1893" s="2">
        <f>logistics_data[[#This Row],[Cost]]/logistics_data[[#This Row],[Distance_miles]]</f>
        <v>0.19366035570854848</v>
      </c>
      <c r="N1893" t="str">
        <f>IF(logistics_data[[#This Row],[Orginal staus of shipment]]&lt;&gt;"Delivered","not applicabel", IF(logistics_data[[#This Row],[Transit_Days]]&gt;=5,"slow","fast"))</f>
        <v>slow</v>
      </c>
    </row>
    <row r="1894" spans="1:14" x14ac:dyDescent="0.3">
      <c r="A1894" t="s">
        <v>1940</v>
      </c>
      <c r="B1894" t="s">
        <v>49</v>
      </c>
      <c r="C1894" t="s">
        <v>17</v>
      </c>
      <c r="D1894" t="s">
        <v>14</v>
      </c>
      <c r="E1894" s="1">
        <v>45101</v>
      </c>
      <c r="F1894" s="1">
        <v>45105</v>
      </c>
      <c r="G1894">
        <v>21.7</v>
      </c>
      <c r="H1894">
        <v>291.81</v>
      </c>
      <c r="I1894" t="s">
        <v>15</v>
      </c>
      <c r="J1894">
        <v>1919</v>
      </c>
      <c r="K1894">
        <v>4</v>
      </c>
      <c r="L1894" t="str">
        <f>IF(logistics_data[[#This Row],[Delivery_Date]]="","In Transit",
 IF(logistics_data[[#This Row],[Status]]="Lost","Lost",
 IF(logistics_data[[#This Row],[Status]]="Returned","Returned",
 IF(logistics_data[[#This Row],[Status]]="Delayed","Delayed",
 "Delivered"))))</f>
        <v>Delivered</v>
      </c>
      <c r="M1894" s="2">
        <f>logistics_data[[#This Row],[Cost]]/logistics_data[[#This Row],[Distance_miles]]</f>
        <v>0.1520635747785305</v>
      </c>
      <c r="N1894" t="str">
        <f>IF(logistics_data[[#This Row],[Orginal staus of shipment]]&lt;&gt;"Delivered","not applicabel", IF(logistics_data[[#This Row],[Transit_Days]]&gt;=5,"slow","fast"))</f>
        <v>fast</v>
      </c>
    </row>
    <row r="1895" spans="1:14" x14ac:dyDescent="0.3">
      <c r="A1895" t="s">
        <v>1941</v>
      </c>
      <c r="B1895" t="s">
        <v>30</v>
      </c>
      <c r="C1895" t="s">
        <v>44</v>
      </c>
      <c r="D1895" t="s">
        <v>18</v>
      </c>
      <c r="E1895" s="1">
        <v>45090</v>
      </c>
      <c r="F1895" s="1">
        <v>45094</v>
      </c>
      <c r="G1895">
        <v>37</v>
      </c>
      <c r="H1895">
        <v>279.2</v>
      </c>
      <c r="I1895" t="s">
        <v>15</v>
      </c>
      <c r="J1895">
        <v>1506</v>
      </c>
      <c r="K1895">
        <v>4</v>
      </c>
      <c r="L1895" t="str">
        <f>IF(logistics_data[[#This Row],[Delivery_Date]]="","In Transit",
 IF(logistics_data[[#This Row],[Status]]="Lost","Lost",
 IF(logistics_data[[#This Row],[Status]]="Returned","Returned",
 IF(logistics_data[[#This Row],[Status]]="Delayed","Delayed",
 "Delivered"))))</f>
        <v>Delivered</v>
      </c>
      <c r="M1895" s="2">
        <f>logistics_data[[#This Row],[Cost]]/logistics_data[[#This Row],[Distance_miles]]</f>
        <v>0.18539176626826029</v>
      </c>
      <c r="N1895" t="str">
        <f>IF(logistics_data[[#This Row],[Orginal staus of shipment]]&lt;&gt;"Delivered","not applicabel", IF(logistics_data[[#This Row],[Transit_Days]]&gt;=5,"slow","fast"))</f>
        <v>fast</v>
      </c>
    </row>
    <row r="1896" spans="1:14" x14ac:dyDescent="0.3">
      <c r="A1896" t="s">
        <v>1942</v>
      </c>
      <c r="B1896" t="s">
        <v>39</v>
      </c>
      <c r="C1896" t="s">
        <v>54</v>
      </c>
      <c r="D1896" t="s">
        <v>18</v>
      </c>
      <c r="E1896" s="1">
        <v>45213</v>
      </c>
      <c r="F1896" s="1">
        <v>45219</v>
      </c>
      <c r="G1896">
        <v>21.6</v>
      </c>
      <c r="H1896">
        <v>334.73</v>
      </c>
      <c r="I1896" t="s">
        <v>15</v>
      </c>
      <c r="J1896">
        <v>2053</v>
      </c>
      <c r="K1896">
        <v>6</v>
      </c>
      <c r="L1896" t="str">
        <f>IF(logistics_data[[#This Row],[Delivery_Date]]="","In Transit",
 IF(logistics_data[[#This Row],[Status]]="Lost","Lost",
 IF(logistics_data[[#This Row],[Status]]="Returned","Returned",
 IF(logistics_data[[#This Row],[Status]]="Delayed","Delayed",
 "Delivered"))))</f>
        <v>Delivered</v>
      </c>
      <c r="M1896" s="2">
        <f>logistics_data[[#This Row],[Cost]]/logistics_data[[#This Row],[Distance_miles]]</f>
        <v>0.16304432537749636</v>
      </c>
      <c r="N1896" t="str">
        <f>IF(logistics_data[[#This Row],[Orginal staus of shipment]]&lt;&gt;"Delivered","not applicabel", IF(logistics_data[[#This Row],[Transit_Days]]&gt;=5,"slow","fast"))</f>
        <v>slow</v>
      </c>
    </row>
    <row r="1897" spans="1:14" x14ac:dyDescent="0.3">
      <c r="A1897" t="s">
        <v>1943</v>
      </c>
      <c r="B1897" t="s">
        <v>35</v>
      </c>
      <c r="C1897" t="s">
        <v>81</v>
      </c>
      <c r="D1897" t="s">
        <v>14</v>
      </c>
      <c r="E1897" s="1">
        <v>45166</v>
      </c>
      <c r="F1897" s="1">
        <v>45169</v>
      </c>
      <c r="G1897">
        <v>40.700000000000003</v>
      </c>
      <c r="H1897">
        <v>175.45</v>
      </c>
      <c r="I1897" t="s">
        <v>15</v>
      </c>
      <c r="J1897">
        <v>1000</v>
      </c>
      <c r="K1897">
        <v>3</v>
      </c>
      <c r="L1897" t="str">
        <f>IF(logistics_data[[#This Row],[Delivery_Date]]="","In Transit",
 IF(logistics_data[[#This Row],[Status]]="Lost","Lost",
 IF(logistics_data[[#This Row],[Status]]="Returned","Returned",
 IF(logistics_data[[#This Row],[Status]]="Delayed","Delayed",
 "Delivered"))))</f>
        <v>Delivered</v>
      </c>
      <c r="M1897" s="2">
        <f>logistics_data[[#This Row],[Cost]]/logistics_data[[#This Row],[Distance_miles]]</f>
        <v>0.17544999999999999</v>
      </c>
      <c r="N1897" t="str">
        <f>IF(logistics_data[[#This Row],[Orginal staus of shipment]]&lt;&gt;"Delivered","not applicabel", IF(logistics_data[[#This Row],[Transit_Days]]&gt;=5,"slow","fast"))</f>
        <v>fast</v>
      </c>
    </row>
    <row r="1898" spans="1:14" x14ac:dyDescent="0.3">
      <c r="A1898" t="s">
        <v>1944</v>
      </c>
      <c r="B1898" t="s">
        <v>51</v>
      </c>
      <c r="C1898" t="s">
        <v>57</v>
      </c>
      <c r="D1898" t="s">
        <v>32</v>
      </c>
      <c r="E1898" s="1">
        <v>45168</v>
      </c>
      <c r="F1898" s="1">
        <v>45176</v>
      </c>
      <c r="G1898">
        <v>84.8</v>
      </c>
      <c r="H1898">
        <v>383.33</v>
      </c>
      <c r="I1898" t="s">
        <v>15</v>
      </c>
      <c r="J1898">
        <v>2141</v>
      </c>
      <c r="K1898">
        <v>8</v>
      </c>
      <c r="L1898" t="str">
        <f>IF(logistics_data[[#This Row],[Delivery_Date]]="","In Transit",
 IF(logistics_data[[#This Row],[Status]]="Lost","Lost",
 IF(logistics_data[[#This Row],[Status]]="Returned","Returned",
 IF(logistics_data[[#This Row],[Status]]="Delayed","Delayed",
 "Delivered"))))</f>
        <v>Delivered</v>
      </c>
      <c r="M1898" s="2">
        <f>logistics_data[[#This Row],[Cost]]/logistics_data[[#This Row],[Distance_miles]]</f>
        <v>0.17904250350303597</v>
      </c>
      <c r="N1898" t="str">
        <f>IF(logistics_data[[#This Row],[Orginal staus of shipment]]&lt;&gt;"Delivered","not applicabel", IF(logistics_data[[#This Row],[Transit_Days]]&gt;=5,"slow","fast"))</f>
        <v>slow</v>
      </c>
    </row>
    <row r="1899" spans="1:14" x14ac:dyDescent="0.3">
      <c r="A1899" t="s">
        <v>1945</v>
      </c>
      <c r="B1899" t="s">
        <v>39</v>
      </c>
      <c r="C1899" t="s">
        <v>24</v>
      </c>
      <c r="D1899" t="s">
        <v>37</v>
      </c>
      <c r="E1899" s="1">
        <v>45284</v>
      </c>
      <c r="F1899" s="1">
        <v>45289</v>
      </c>
      <c r="G1899">
        <v>13.7</v>
      </c>
      <c r="H1899">
        <v>328.21</v>
      </c>
      <c r="I1899" t="s">
        <v>15</v>
      </c>
      <c r="J1899">
        <v>2225</v>
      </c>
      <c r="K1899">
        <v>5</v>
      </c>
      <c r="L1899" t="str">
        <f>IF(logistics_data[[#This Row],[Delivery_Date]]="","In Transit",
 IF(logistics_data[[#This Row],[Status]]="Lost","Lost",
 IF(logistics_data[[#This Row],[Status]]="Returned","Returned",
 IF(logistics_data[[#This Row],[Status]]="Delayed","Delayed",
 "Delivered"))))</f>
        <v>Delivered</v>
      </c>
      <c r="M1899" s="2">
        <f>logistics_data[[#This Row],[Cost]]/logistics_data[[#This Row],[Distance_miles]]</f>
        <v>0.14751011235955055</v>
      </c>
      <c r="N1899" t="str">
        <f>IF(logistics_data[[#This Row],[Orginal staus of shipment]]&lt;&gt;"Delivered","not applicabel", IF(logistics_data[[#This Row],[Transit_Days]]&gt;=5,"slow","fast"))</f>
        <v>slow</v>
      </c>
    </row>
    <row r="1900" spans="1:14" x14ac:dyDescent="0.3">
      <c r="A1900" t="s">
        <v>1946</v>
      </c>
      <c r="B1900" t="s">
        <v>35</v>
      </c>
      <c r="C1900" t="s">
        <v>54</v>
      </c>
      <c r="D1900" t="s">
        <v>42</v>
      </c>
      <c r="E1900" s="1">
        <v>45048</v>
      </c>
      <c r="F1900" s="1">
        <v>45051</v>
      </c>
      <c r="G1900">
        <v>20.5</v>
      </c>
      <c r="H1900">
        <v>171.02</v>
      </c>
      <c r="I1900" t="s">
        <v>15</v>
      </c>
      <c r="J1900">
        <v>1350</v>
      </c>
      <c r="K1900">
        <v>3</v>
      </c>
      <c r="L1900" t="str">
        <f>IF(logistics_data[[#This Row],[Delivery_Date]]="","In Transit",
 IF(logistics_data[[#This Row],[Status]]="Lost","Lost",
 IF(logistics_data[[#This Row],[Status]]="Returned","Returned",
 IF(logistics_data[[#This Row],[Status]]="Delayed","Delayed",
 "Delivered"))))</f>
        <v>Delivered</v>
      </c>
      <c r="M1900" s="2">
        <f>logistics_data[[#This Row],[Cost]]/logistics_data[[#This Row],[Distance_miles]]</f>
        <v>0.12668148148148148</v>
      </c>
      <c r="N1900" t="str">
        <f>IF(logistics_data[[#This Row],[Orginal staus of shipment]]&lt;&gt;"Delivered","not applicabel", IF(logistics_data[[#This Row],[Transit_Days]]&gt;=5,"slow","fast"))</f>
        <v>fast</v>
      </c>
    </row>
    <row r="1901" spans="1:14" x14ac:dyDescent="0.3">
      <c r="A1901" t="s">
        <v>1947</v>
      </c>
      <c r="B1901" t="s">
        <v>49</v>
      </c>
      <c r="C1901" t="s">
        <v>70</v>
      </c>
      <c r="D1901" t="s">
        <v>59</v>
      </c>
      <c r="E1901" s="1">
        <v>45246</v>
      </c>
      <c r="F1901" s="1">
        <v>45252</v>
      </c>
      <c r="G1901">
        <v>9.1999999999999993</v>
      </c>
      <c r="I1901" t="s">
        <v>15</v>
      </c>
      <c r="J1901">
        <v>2393</v>
      </c>
      <c r="K1901">
        <v>6</v>
      </c>
      <c r="L1901" t="str">
        <f>IF(logistics_data[[#This Row],[Delivery_Date]]="","In Transit",
 IF(logistics_data[[#This Row],[Status]]="Lost","Lost",
 IF(logistics_data[[#This Row],[Status]]="Returned","Returned",
 IF(logistics_data[[#This Row],[Status]]="Delayed","Delayed",
 "Delivered"))))</f>
        <v>Delivered</v>
      </c>
      <c r="M1901" s="2">
        <f>logistics_data[[#This Row],[Cost]]/logistics_data[[#This Row],[Distance_miles]]</f>
        <v>0</v>
      </c>
      <c r="N1901" t="str">
        <f>IF(logistics_data[[#This Row],[Orginal staus of shipment]]&lt;&gt;"Delivered","not applicabel", IF(logistics_data[[#This Row],[Transit_Days]]&gt;=5,"slow","fast"))</f>
        <v>slow</v>
      </c>
    </row>
    <row r="1902" spans="1:14" x14ac:dyDescent="0.3">
      <c r="A1902" t="s">
        <v>1948</v>
      </c>
      <c r="B1902" t="s">
        <v>49</v>
      </c>
      <c r="C1902" t="s">
        <v>17</v>
      </c>
      <c r="D1902" t="s">
        <v>18</v>
      </c>
      <c r="E1902" s="1">
        <v>45272</v>
      </c>
      <c r="F1902" s="1">
        <v>45282</v>
      </c>
      <c r="G1902">
        <v>78.2</v>
      </c>
      <c r="H1902">
        <v>211.42</v>
      </c>
      <c r="I1902" t="s">
        <v>47</v>
      </c>
      <c r="J1902">
        <v>620</v>
      </c>
      <c r="K1902">
        <v>2</v>
      </c>
      <c r="L1902" t="str">
        <f>IF(logistics_data[[#This Row],[Delivery_Date]]="","In Transit",
 IF(logistics_data[[#This Row],[Status]]="Lost","Lost",
 IF(logistics_data[[#This Row],[Status]]="Returned","Returned",
 IF(logistics_data[[#This Row],[Status]]="Delayed","Delayed",
 "Delivered"))))</f>
        <v>Delayed</v>
      </c>
      <c r="M1902" s="2">
        <f>logistics_data[[#This Row],[Cost]]/logistics_data[[#This Row],[Distance_miles]]</f>
        <v>0.34099999999999997</v>
      </c>
      <c r="N1902" t="str">
        <f>IF(logistics_data[[#This Row],[Orginal staus of shipment]]&lt;&gt;"Delivered","not applicabel", IF(logistics_data[[#This Row],[Transit_Days]]&gt;=5,"slow","fast"))</f>
        <v>not applicabel</v>
      </c>
    </row>
    <row r="1903" spans="1:14" x14ac:dyDescent="0.3">
      <c r="A1903" t="s">
        <v>1949</v>
      </c>
      <c r="B1903" t="s">
        <v>30</v>
      </c>
      <c r="C1903" t="s">
        <v>24</v>
      </c>
      <c r="D1903" t="s">
        <v>37</v>
      </c>
      <c r="E1903" s="1">
        <v>45059</v>
      </c>
      <c r="F1903" s="1">
        <v>45064</v>
      </c>
      <c r="G1903">
        <v>17.2</v>
      </c>
      <c r="H1903">
        <v>247.67</v>
      </c>
      <c r="I1903" t="s">
        <v>15</v>
      </c>
      <c r="J1903">
        <v>2018</v>
      </c>
      <c r="K1903">
        <v>5</v>
      </c>
      <c r="L1903" t="str">
        <f>IF(logistics_data[[#This Row],[Delivery_Date]]="","In Transit",
 IF(logistics_data[[#This Row],[Status]]="Lost","Lost",
 IF(logistics_data[[#This Row],[Status]]="Returned","Returned",
 IF(logistics_data[[#This Row],[Status]]="Delayed","Delayed",
 "Delivered"))))</f>
        <v>Delivered</v>
      </c>
      <c r="M1903" s="2">
        <f>logistics_data[[#This Row],[Cost]]/logistics_data[[#This Row],[Distance_miles]]</f>
        <v>0.12273042616451932</v>
      </c>
      <c r="N1903" t="str">
        <f>IF(logistics_data[[#This Row],[Orginal staus of shipment]]&lt;&gt;"Delivered","not applicabel", IF(logistics_data[[#This Row],[Transit_Days]]&gt;=5,"slow","fast"))</f>
        <v>slow</v>
      </c>
    </row>
    <row r="1904" spans="1:14" x14ac:dyDescent="0.3">
      <c r="A1904" t="s">
        <v>1950</v>
      </c>
      <c r="B1904" t="s">
        <v>56</v>
      </c>
      <c r="C1904" t="s">
        <v>57</v>
      </c>
      <c r="D1904" t="s">
        <v>37</v>
      </c>
      <c r="E1904" s="1">
        <v>45115</v>
      </c>
      <c r="F1904" s="1">
        <v>45119</v>
      </c>
      <c r="G1904">
        <v>14.7</v>
      </c>
      <c r="H1904">
        <v>243.7</v>
      </c>
      <c r="I1904" t="s">
        <v>15</v>
      </c>
      <c r="J1904">
        <v>1949</v>
      </c>
      <c r="K1904">
        <v>4</v>
      </c>
      <c r="L1904" t="str">
        <f>IF(logistics_data[[#This Row],[Delivery_Date]]="","In Transit",
 IF(logistics_data[[#This Row],[Status]]="Lost","Lost",
 IF(logistics_data[[#This Row],[Status]]="Returned","Returned",
 IF(logistics_data[[#This Row],[Status]]="Delayed","Delayed",
 "Delivered"))))</f>
        <v>Delivered</v>
      </c>
      <c r="M1904" s="2">
        <f>logistics_data[[#This Row],[Cost]]/logistics_data[[#This Row],[Distance_miles]]</f>
        <v>0.1250384812724474</v>
      </c>
      <c r="N1904" t="str">
        <f>IF(logistics_data[[#This Row],[Orginal staus of shipment]]&lt;&gt;"Delivered","not applicabel", IF(logistics_data[[#This Row],[Transit_Days]]&gt;=5,"slow","fast"))</f>
        <v>fast</v>
      </c>
    </row>
    <row r="1905" spans="1:14" x14ac:dyDescent="0.3">
      <c r="A1905" t="s">
        <v>1951</v>
      </c>
      <c r="B1905" t="s">
        <v>39</v>
      </c>
      <c r="C1905" t="s">
        <v>17</v>
      </c>
      <c r="D1905" t="s">
        <v>32</v>
      </c>
      <c r="E1905" s="1">
        <v>45058</v>
      </c>
      <c r="F1905" s="1">
        <v>45061</v>
      </c>
      <c r="G1905">
        <v>18.899999999999999</v>
      </c>
      <c r="H1905">
        <v>122.95</v>
      </c>
      <c r="I1905" t="s">
        <v>15</v>
      </c>
      <c r="J1905">
        <v>800</v>
      </c>
      <c r="K1905">
        <v>3</v>
      </c>
      <c r="L1905" t="str">
        <f>IF(logistics_data[[#This Row],[Delivery_Date]]="","In Transit",
 IF(logistics_data[[#This Row],[Status]]="Lost","Lost",
 IF(logistics_data[[#This Row],[Status]]="Returned","Returned",
 IF(logistics_data[[#This Row],[Status]]="Delayed","Delayed",
 "Delivered"))))</f>
        <v>Delivered</v>
      </c>
      <c r="M1905" s="2">
        <f>logistics_data[[#This Row],[Cost]]/logistics_data[[#This Row],[Distance_miles]]</f>
        <v>0.1536875</v>
      </c>
      <c r="N1905" t="str">
        <f>IF(logistics_data[[#This Row],[Orginal staus of shipment]]&lt;&gt;"Delivered","not applicabel", IF(logistics_data[[#This Row],[Transit_Days]]&gt;=5,"slow","fast"))</f>
        <v>fast</v>
      </c>
    </row>
    <row r="1906" spans="1:14" x14ac:dyDescent="0.3">
      <c r="A1906" t="s">
        <v>1952</v>
      </c>
      <c r="B1906" t="s">
        <v>39</v>
      </c>
      <c r="C1906" t="s">
        <v>40</v>
      </c>
      <c r="D1906" t="s">
        <v>32</v>
      </c>
      <c r="E1906" s="1">
        <v>44993</v>
      </c>
      <c r="F1906" s="1">
        <v>44998</v>
      </c>
      <c r="G1906">
        <v>8.1</v>
      </c>
      <c r="H1906">
        <v>290.02</v>
      </c>
      <c r="I1906" t="s">
        <v>15</v>
      </c>
      <c r="J1906">
        <v>2307</v>
      </c>
      <c r="K1906">
        <v>5</v>
      </c>
      <c r="L1906" t="str">
        <f>IF(logistics_data[[#This Row],[Delivery_Date]]="","In Transit",
 IF(logistics_data[[#This Row],[Status]]="Lost","Lost",
 IF(logistics_data[[#This Row],[Status]]="Returned","Returned",
 IF(logistics_data[[#This Row],[Status]]="Delayed","Delayed",
 "Delivered"))))</f>
        <v>Delivered</v>
      </c>
      <c r="M1906" s="2">
        <f>logistics_data[[#This Row],[Cost]]/logistics_data[[#This Row],[Distance_miles]]</f>
        <v>0.12571304724750756</v>
      </c>
      <c r="N1906" t="str">
        <f>IF(logistics_data[[#This Row],[Orginal staus of shipment]]&lt;&gt;"Delivered","not applicabel", IF(logistics_data[[#This Row],[Transit_Days]]&gt;=5,"slow","fast"))</f>
        <v>slow</v>
      </c>
    </row>
    <row r="1907" spans="1:14" x14ac:dyDescent="0.3">
      <c r="A1907" t="s">
        <v>1953</v>
      </c>
      <c r="B1907" t="s">
        <v>49</v>
      </c>
      <c r="C1907" t="s">
        <v>40</v>
      </c>
      <c r="D1907" t="s">
        <v>42</v>
      </c>
      <c r="E1907" s="1">
        <v>44938</v>
      </c>
      <c r="F1907" s="1">
        <v>44944</v>
      </c>
      <c r="G1907">
        <v>44.3</v>
      </c>
      <c r="H1907">
        <v>311.3</v>
      </c>
      <c r="I1907" t="s">
        <v>15</v>
      </c>
      <c r="J1907">
        <v>2041</v>
      </c>
      <c r="K1907">
        <v>6</v>
      </c>
      <c r="L1907" t="str">
        <f>IF(logistics_data[[#This Row],[Delivery_Date]]="","In Transit",
 IF(logistics_data[[#This Row],[Status]]="Lost","Lost",
 IF(logistics_data[[#This Row],[Status]]="Returned","Returned",
 IF(logistics_data[[#This Row],[Status]]="Delayed","Delayed",
 "Delivered"))))</f>
        <v>Delivered</v>
      </c>
      <c r="M1907" s="2">
        <f>logistics_data[[#This Row],[Cost]]/logistics_data[[#This Row],[Distance_miles]]</f>
        <v>0.15252327290543852</v>
      </c>
      <c r="N1907" t="str">
        <f>IF(logistics_data[[#This Row],[Orginal staus of shipment]]&lt;&gt;"Delivered","not applicabel", IF(logistics_data[[#This Row],[Transit_Days]]&gt;=5,"slow","fast"))</f>
        <v>slow</v>
      </c>
    </row>
    <row r="1908" spans="1:14" x14ac:dyDescent="0.3">
      <c r="A1908" t="s">
        <v>1954</v>
      </c>
      <c r="B1908" t="s">
        <v>35</v>
      </c>
      <c r="C1908" t="s">
        <v>31</v>
      </c>
      <c r="D1908" t="s">
        <v>18</v>
      </c>
      <c r="E1908" s="1">
        <v>45096</v>
      </c>
      <c r="F1908" s="1">
        <v>45099</v>
      </c>
      <c r="G1908">
        <v>59.9</v>
      </c>
      <c r="H1908">
        <v>183.69</v>
      </c>
      <c r="I1908" t="s">
        <v>15</v>
      </c>
      <c r="J1908">
        <v>628</v>
      </c>
      <c r="K1908">
        <v>3</v>
      </c>
      <c r="L1908" t="str">
        <f>IF(logistics_data[[#This Row],[Delivery_Date]]="","In Transit",
 IF(logistics_data[[#This Row],[Status]]="Lost","Lost",
 IF(logistics_data[[#This Row],[Status]]="Returned","Returned",
 IF(logistics_data[[#This Row],[Status]]="Delayed","Delayed",
 "Delivered"))))</f>
        <v>Delivered</v>
      </c>
      <c r="M1908" s="2">
        <f>logistics_data[[#This Row],[Cost]]/logistics_data[[#This Row],[Distance_miles]]</f>
        <v>0.29249999999999998</v>
      </c>
      <c r="N1908" t="str">
        <f>IF(logistics_data[[#This Row],[Orginal staus of shipment]]&lt;&gt;"Delivered","not applicabel", IF(logistics_data[[#This Row],[Transit_Days]]&gt;=5,"slow","fast"))</f>
        <v>fast</v>
      </c>
    </row>
    <row r="1909" spans="1:14" x14ac:dyDescent="0.3">
      <c r="A1909" t="s">
        <v>1955</v>
      </c>
      <c r="B1909" t="s">
        <v>56</v>
      </c>
      <c r="C1909" t="s">
        <v>36</v>
      </c>
      <c r="D1909" t="s">
        <v>42</v>
      </c>
      <c r="E1909" s="1">
        <v>44941</v>
      </c>
      <c r="F1909" s="1">
        <v>44948</v>
      </c>
      <c r="G1909">
        <v>8.8000000000000007</v>
      </c>
      <c r="H1909">
        <v>210.56</v>
      </c>
      <c r="I1909" t="s">
        <v>60</v>
      </c>
      <c r="J1909">
        <v>1852</v>
      </c>
      <c r="K1909">
        <v>7</v>
      </c>
      <c r="L1909" t="str">
        <f>IF(logistics_data[[#This Row],[Delivery_Date]]="","In Transit",
 IF(logistics_data[[#This Row],[Status]]="Lost","Lost",
 IF(logistics_data[[#This Row],[Status]]="Returned","Returned",
 IF(logistics_data[[#This Row],[Status]]="Delayed","Delayed",
 "Delivered"))))</f>
        <v>Lost</v>
      </c>
      <c r="M1909" s="2">
        <f>logistics_data[[#This Row],[Cost]]/logistics_data[[#This Row],[Distance_miles]]</f>
        <v>0.11369330453563715</v>
      </c>
      <c r="N1909" t="str">
        <f>IF(logistics_data[[#This Row],[Orginal staus of shipment]]&lt;&gt;"Delivered","not applicabel", IF(logistics_data[[#This Row],[Transit_Days]]&gt;=5,"slow","fast"))</f>
        <v>not applicabel</v>
      </c>
    </row>
    <row r="1910" spans="1:14" x14ac:dyDescent="0.3">
      <c r="A1910" t="s">
        <v>1956</v>
      </c>
      <c r="B1910" t="s">
        <v>35</v>
      </c>
      <c r="C1910" t="s">
        <v>70</v>
      </c>
      <c r="D1910" t="s">
        <v>32</v>
      </c>
      <c r="E1910" s="1">
        <v>44987</v>
      </c>
      <c r="F1910" s="1">
        <v>44989</v>
      </c>
      <c r="G1910">
        <v>10.5</v>
      </c>
      <c r="H1910">
        <v>33.67</v>
      </c>
      <c r="I1910" t="s">
        <v>15</v>
      </c>
      <c r="J1910">
        <v>162</v>
      </c>
      <c r="K1910">
        <v>2</v>
      </c>
      <c r="L1910" t="str">
        <f>IF(logistics_data[[#This Row],[Delivery_Date]]="","In Transit",
 IF(logistics_data[[#This Row],[Status]]="Lost","Lost",
 IF(logistics_data[[#This Row],[Status]]="Returned","Returned",
 IF(logistics_data[[#This Row],[Status]]="Delayed","Delayed",
 "Delivered"))))</f>
        <v>Delivered</v>
      </c>
      <c r="M1910" s="2">
        <f>logistics_data[[#This Row],[Cost]]/logistics_data[[#This Row],[Distance_miles]]</f>
        <v>0.20783950617283953</v>
      </c>
      <c r="N1910" t="str">
        <f>IF(logistics_data[[#This Row],[Orginal staus of shipment]]&lt;&gt;"Delivered","not applicabel", IF(logistics_data[[#This Row],[Transit_Days]]&gt;=5,"slow","fast"))</f>
        <v>fast</v>
      </c>
    </row>
    <row r="1911" spans="1:14" x14ac:dyDescent="0.3">
      <c r="A1911" t="s">
        <v>1957</v>
      </c>
      <c r="B1911" t="s">
        <v>35</v>
      </c>
      <c r="C1911" t="s">
        <v>44</v>
      </c>
      <c r="D1911" t="s">
        <v>37</v>
      </c>
      <c r="E1911" s="1">
        <v>45063</v>
      </c>
      <c r="F1911" s="1">
        <v>45069</v>
      </c>
      <c r="G1911">
        <v>16.600000000000001</v>
      </c>
      <c r="H1911">
        <v>256.68</v>
      </c>
      <c r="I1911" t="s">
        <v>67</v>
      </c>
      <c r="J1911">
        <v>1995</v>
      </c>
      <c r="K1911">
        <v>6</v>
      </c>
      <c r="L1911" t="str">
        <f>IF(logistics_data[[#This Row],[Delivery_Date]]="","In Transit",
 IF(logistics_data[[#This Row],[Status]]="Lost","Lost",
 IF(logistics_data[[#This Row],[Status]]="Returned","Returned",
 IF(logistics_data[[#This Row],[Status]]="Delayed","Delayed",
 "Delivered"))))</f>
        <v>Returned</v>
      </c>
      <c r="M1911" s="2">
        <f>logistics_data[[#This Row],[Cost]]/logistics_data[[#This Row],[Distance_miles]]</f>
        <v>0.12866165413533834</v>
      </c>
      <c r="N1911" t="str">
        <f>IF(logistics_data[[#This Row],[Orginal staus of shipment]]&lt;&gt;"Delivered","not applicabel", IF(logistics_data[[#This Row],[Transit_Days]]&gt;=5,"slow","fast"))</f>
        <v>not applicabel</v>
      </c>
    </row>
    <row r="1912" spans="1:14" x14ac:dyDescent="0.3">
      <c r="A1912" t="s">
        <v>1958</v>
      </c>
      <c r="B1912" t="s">
        <v>12</v>
      </c>
      <c r="C1912" t="s">
        <v>57</v>
      </c>
      <c r="D1912" t="s">
        <v>18</v>
      </c>
      <c r="E1912" s="1">
        <v>45184</v>
      </c>
      <c r="F1912" s="1">
        <v>45193</v>
      </c>
      <c r="G1912">
        <v>23.5</v>
      </c>
      <c r="H1912">
        <v>213.18</v>
      </c>
      <c r="I1912" t="s">
        <v>15</v>
      </c>
      <c r="J1912">
        <v>1469</v>
      </c>
      <c r="K1912">
        <v>9</v>
      </c>
      <c r="L1912" t="str">
        <f>IF(logistics_data[[#This Row],[Delivery_Date]]="","In Transit",
 IF(logistics_data[[#This Row],[Status]]="Lost","Lost",
 IF(logistics_data[[#This Row],[Status]]="Returned","Returned",
 IF(logistics_data[[#This Row],[Status]]="Delayed","Delayed",
 "Delivered"))))</f>
        <v>Delivered</v>
      </c>
      <c r="M1912" s="2">
        <f>logistics_data[[#This Row],[Cost]]/logistics_data[[#This Row],[Distance_miles]]</f>
        <v>0.14511912865895168</v>
      </c>
      <c r="N1912" t="str">
        <f>IF(logistics_data[[#This Row],[Orginal staus of shipment]]&lt;&gt;"Delivered","not applicabel", IF(logistics_data[[#This Row],[Transit_Days]]&gt;=5,"slow","fast"))</f>
        <v>slow</v>
      </c>
    </row>
    <row r="1913" spans="1:14" x14ac:dyDescent="0.3">
      <c r="A1913" t="s">
        <v>1959</v>
      </c>
      <c r="B1913" t="s">
        <v>35</v>
      </c>
      <c r="C1913" t="s">
        <v>81</v>
      </c>
      <c r="D1913" t="s">
        <v>32</v>
      </c>
      <c r="E1913" s="1">
        <v>44955</v>
      </c>
      <c r="F1913" s="1">
        <v>44959</v>
      </c>
      <c r="G1913">
        <v>34.9</v>
      </c>
      <c r="H1913">
        <v>162.44</v>
      </c>
      <c r="I1913" t="s">
        <v>15</v>
      </c>
      <c r="J1913">
        <v>1000</v>
      </c>
      <c r="K1913">
        <v>4</v>
      </c>
      <c r="L1913" t="str">
        <f>IF(logistics_data[[#This Row],[Delivery_Date]]="","In Transit",
 IF(logistics_data[[#This Row],[Status]]="Lost","Lost",
 IF(logistics_data[[#This Row],[Status]]="Returned","Returned",
 IF(logistics_data[[#This Row],[Status]]="Delayed","Delayed",
 "Delivered"))))</f>
        <v>Delivered</v>
      </c>
      <c r="M1913" s="2">
        <f>logistics_data[[#This Row],[Cost]]/logistics_data[[#This Row],[Distance_miles]]</f>
        <v>0.16244</v>
      </c>
      <c r="N1913" t="str">
        <f>IF(logistics_data[[#This Row],[Orginal staus of shipment]]&lt;&gt;"Delivered","not applicabel", IF(logistics_data[[#This Row],[Transit_Days]]&gt;=5,"slow","fast"))</f>
        <v>fast</v>
      </c>
    </row>
    <row r="1914" spans="1:14" x14ac:dyDescent="0.3">
      <c r="A1914" t="s">
        <v>1960</v>
      </c>
      <c r="B1914" t="s">
        <v>20</v>
      </c>
      <c r="C1914" t="s">
        <v>36</v>
      </c>
      <c r="D1914" t="s">
        <v>14</v>
      </c>
      <c r="E1914" s="1">
        <v>45067</v>
      </c>
      <c r="F1914" s="1">
        <v>45074</v>
      </c>
      <c r="G1914">
        <v>14.6</v>
      </c>
      <c r="H1914">
        <v>1597.99</v>
      </c>
      <c r="I1914" t="s">
        <v>15</v>
      </c>
      <c r="J1914">
        <v>2187</v>
      </c>
      <c r="K1914">
        <v>7</v>
      </c>
      <c r="L1914" t="str">
        <f>IF(logistics_data[[#This Row],[Delivery_Date]]="","In Transit",
 IF(logistics_data[[#This Row],[Status]]="Lost","Lost",
 IF(logistics_data[[#This Row],[Status]]="Returned","Returned",
 IF(logistics_data[[#This Row],[Status]]="Delayed","Delayed",
 "Delivered"))))</f>
        <v>Delivered</v>
      </c>
      <c r="M1914" s="2">
        <f>logistics_data[[#This Row],[Cost]]/logistics_data[[#This Row],[Distance_miles]]</f>
        <v>0.73067672610882484</v>
      </c>
      <c r="N1914" t="str">
        <f>IF(logistics_data[[#This Row],[Orginal staus of shipment]]&lt;&gt;"Delivered","not applicabel", IF(logistics_data[[#This Row],[Transit_Days]]&gt;=5,"slow","fast"))</f>
        <v>slow</v>
      </c>
    </row>
    <row r="1915" spans="1:14" x14ac:dyDescent="0.3">
      <c r="A1915" t="s">
        <v>1961</v>
      </c>
      <c r="B1915" t="s">
        <v>51</v>
      </c>
      <c r="C1915" t="s">
        <v>54</v>
      </c>
      <c r="D1915" t="s">
        <v>42</v>
      </c>
      <c r="E1915" s="1">
        <v>44963</v>
      </c>
      <c r="F1915" s="1">
        <v>44967</v>
      </c>
      <c r="G1915">
        <v>49</v>
      </c>
      <c r="H1915">
        <v>265.52</v>
      </c>
      <c r="I1915" t="s">
        <v>15</v>
      </c>
      <c r="J1915">
        <v>1875</v>
      </c>
      <c r="K1915">
        <v>4</v>
      </c>
      <c r="L1915" t="str">
        <f>IF(logistics_data[[#This Row],[Delivery_Date]]="","In Transit",
 IF(logistics_data[[#This Row],[Status]]="Lost","Lost",
 IF(logistics_data[[#This Row],[Status]]="Returned","Returned",
 IF(logistics_data[[#This Row],[Status]]="Delayed","Delayed",
 "Delivered"))))</f>
        <v>Delivered</v>
      </c>
      <c r="M1915" s="2">
        <f>logistics_data[[#This Row],[Cost]]/logistics_data[[#This Row],[Distance_miles]]</f>
        <v>0.14161066666666666</v>
      </c>
      <c r="N1915" t="str">
        <f>IF(logistics_data[[#This Row],[Orginal staus of shipment]]&lt;&gt;"Delivered","not applicabel", IF(logistics_data[[#This Row],[Transit_Days]]&gt;=5,"slow","fast"))</f>
        <v>fast</v>
      </c>
    </row>
    <row r="1916" spans="1:14" x14ac:dyDescent="0.3">
      <c r="A1916" t="s">
        <v>1962</v>
      </c>
      <c r="B1916" t="s">
        <v>39</v>
      </c>
      <c r="C1916" t="s">
        <v>21</v>
      </c>
      <c r="D1916" t="s">
        <v>37</v>
      </c>
      <c r="E1916" s="1">
        <v>45205</v>
      </c>
      <c r="F1916" s="1">
        <v>45209</v>
      </c>
      <c r="G1916">
        <v>82.4</v>
      </c>
      <c r="H1916">
        <v>279.42</v>
      </c>
      <c r="I1916" t="s">
        <v>15</v>
      </c>
      <c r="J1916">
        <v>1705</v>
      </c>
      <c r="K1916">
        <v>4</v>
      </c>
      <c r="L1916" t="str">
        <f>IF(logistics_data[[#This Row],[Delivery_Date]]="","In Transit",
 IF(logistics_data[[#This Row],[Status]]="Lost","Lost",
 IF(logistics_data[[#This Row],[Status]]="Returned","Returned",
 IF(logistics_data[[#This Row],[Status]]="Delayed","Delayed",
 "Delivered"))))</f>
        <v>Delivered</v>
      </c>
      <c r="M1916" s="2">
        <f>logistics_data[[#This Row],[Cost]]/logistics_data[[#This Row],[Distance_miles]]</f>
        <v>0.16388269794721408</v>
      </c>
      <c r="N1916" t="str">
        <f>IF(logistics_data[[#This Row],[Orginal staus of shipment]]&lt;&gt;"Delivered","not applicabel", IF(logistics_data[[#This Row],[Transit_Days]]&gt;=5,"slow","fast"))</f>
        <v>fast</v>
      </c>
    </row>
    <row r="1917" spans="1:14" x14ac:dyDescent="0.3">
      <c r="A1917" t="s">
        <v>1963</v>
      </c>
      <c r="B1917" t="s">
        <v>27</v>
      </c>
      <c r="C1917" t="s">
        <v>31</v>
      </c>
      <c r="D1917" t="s">
        <v>59</v>
      </c>
      <c r="E1917" s="1">
        <v>45147</v>
      </c>
      <c r="F1917" s="1">
        <v>45151</v>
      </c>
      <c r="G1917">
        <v>23.5</v>
      </c>
      <c r="H1917">
        <v>79.709999999999994</v>
      </c>
      <c r="I1917" t="s">
        <v>15</v>
      </c>
      <c r="J1917">
        <v>409</v>
      </c>
      <c r="K1917">
        <v>4</v>
      </c>
      <c r="L1917" t="str">
        <f>IF(logistics_data[[#This Row],[Delivery_Date]]="","In Transit",
 IF(logistics_data[[#This Row],[Status]]="Lost","Lost",
 IF(logistics_data[[#This Row],[Status]]="Returned","Returned",
 IF(logistics_data[[#This Row],[Status]]="Delayed","Delayed",
 "Delivered"))))</f>
        <v>Delivered</v>
      </c>
      <c r="M1917" s="2">
        <f>logistics_data[[#This Row],[Cost]]/logistics_data[[#This Row],[Distance_miles]]</f>
        <v>0.19488997555012225</v>
      </c>
      <c r="N1917" t="str">
        <f>IF(logistics_data[[#This Row],[Orginal staus of shipment]]&lt;&gt;"Delivered","not applicabel", IF(logistics_data[[#This Row],[Transit_Days]]&gt;=5,"slow","fast"))</f>
        <v>fast</v>
      </c>
    </row>
    <row r="1918" spans="1:14" x14ac:dyDescent="0.3">
      <c r="A1918" t="s">
        <v>1964</v>
      </c>
      <c r="B1918" t="s">
        <v>49</v>
      </c>
      <c r="C1918" t="s">
        <v>24</v>
      </c>
      <c r="D1918" t="s">
        <v>59</v>
      </c>
      <c r="E1918" s="1">
        <v>45092</v>
      </c>
      <c r="F1918" s="1">
        <v>45094</v>
      </c>
      <c r="G1918">
        <v>17.2</v>
      </c>
      <c r="H1918">
        <v>84.6</v>
      </c>
      <c r="I1918" t="s">
        <v>15</v>
      </c>
      <c r="J1918">
        <v>513</v>
      </c>
      <c r="K1918">
        <v>2</v>
      </c>
      <c r="L1918" t="str">
        <f>IF(logistics_data[[#This Row],[Delivery_Date]]="","In Transit",
 IF(logistics_data[[#This Row],[Status]]="Lost","Lost",
 IF(logistics_data[[#This Row],[Status]]="Returned","Returned",
 IF(logistics_data[[#This Row],[Status]]="Delayed","Delayed",
 "Delivered"))))</f>
        <v>Delivered</v>
      </c>
      <c r="M1918" s="2">
        <f>logistics_data[[#This Row],[Cost]]/logistics_data[[#This Row],[Distance_miles]]</f>
        <v>0.16491228070175437</v>
      </c>
      <c r="N1918" t="str">
        <f>IF(logistics_data[[#This Row],[Orginal staus of shipment]]&lt;&gt;"Delivered","not applicabel", IF(logistics_data[[#This Row],[Transit_Days]]&gt;=5,"slow","fast"))</f>
        <v>fast</v>
      </c>
    </row>
    <row r="1919" spans="1:14" x14ac:dyDescent="0.3">
      <c r="A1919" t="s">
        <v>1965</v>
      </c>
      <c r="B1919" t="s">
        <v>23</v>
      </c>
      <c r="C1919" t="s">
        <v>81</v>
      </c>
      <c r="D1919" t="s">
        <v>42</v>
      </c>
      <c r="E1919" s="1">
        <v>45033</v>
      </c>
      <c r="F1919" s="1">
        <v>45040</v>
      </c>
      <c r="G1919">
        <v>21.1</v>
      </c>
      <c r="H1919">
        <v>256.12</v>
      </c>
      <c r="I1919" t="s">
        <v>15</v>
      </c>
      <c r="J1919">
        <v>1974</v>
      </c>
      <c r="K1919">
        <v>7</v>
      </c>
      <c r="L1919" t="str">
        <f>IF(logistics_data[[#This Row],[Delivery_Date]]="","In Transit",
 IF(logistics_data[[#This Row],[Status]]="Lost","Lost",
 IF(logistics_data[[#This Row],[Status]]="Returned","Returned",
 IF(logistics_data[[#This Row],[Status]]="Delayed","Delayed",
 "Delivered"))))</f>
        <v>Delivered</v>
      </c>
      <c r="M1919" s="2">
        <f>logistics_data[[#This Row],[Cost]]/logistics_data[[#This Row],[Distance_miles]]</f>
        <v>0.12974670719351572</v>
      </c>
      <c r="N1919" t="str">
        <f>IF(logistics_data[[#This Row],[Orginal staus of shipment]]&lt;&gt;"Delivered","not applicabel", IF(logistics_data[[#This Row],[Transit_Days]]&gt;=5,"slow","fast"))</f>
        <v>slow</v>
      </c>
    </row>
    <row r="1920" spans="1:14" x14ac:dyDescent="0.3">
      <c r="A1920" t="s">
        <v>1966</v>
      </c>
      <c r="B1920" t="s">
        <v>51</v>
      </c>
      <c r="C1920" t="s">
        <v>46</v>
      </c>
      <c r="D1920" t="s">
        <v>59</v>
      </c>
      <c r="E1920" s="1">
        <v>45268</v>
      </c>
      <c r="F1920" s="1">
        <v>45271</v>
      </c>
      <c r="G1920">
        <v>6.7</v>
      </c>
      <c r="H1920">
        <v>42.11</v>
      </c>
      <c r="I1920" t="s">
        <v>47</v>
      </c>
      <c r="J1920">
        <v>215</v>
      </c>
      <c r="K1920">
        <v>1</v>
      </c>
      <c r="L1920" t="str">
        <f>IF(logistics_data[[#This Row],[Delivery_Date]]="","In Transit",
 IF(logistics_data[[#This Row],[Status]]="Lost","Lost",
 IF(logistics_data[[#This Row],[Status]]="Returned","Returned",
 IF(logistics_data[[#This Row],[Status]]="Delayed","Delayed",
 "Delivered"))))</f>
        <v>Delayed</v>
      </c>
      <c r="M1920" s="2">
        <f>logistics_data[[#This Row],[Cost]]/logistics_data[[#This Row],[Distance_miles]]</f>
        <v>0.19586046511627905</v>
      </c>
      <c r="N1920" t="str">
        <f>IF(logistics_data[[#This Row],[Orginal staus of shipment]]&lt;&gt;"Delivered","not applicabel", IF(logistics_data[[#This Row],[Transit_Days]]&gt;=5,"slow","fast"))</f>
        <v>not applicabel</v>
      </c>
    </row>
    <row r="1921" spans="1:14" x14ac:dyDescent="0.3">
      <c r="A1921" t="s">
        <v>1967</v>
      </c>
      <c r="B1921" t="s">
        <v>56</v>
      </c>
      <c r="C1921" t="s">
        <v>24</v>
      </c>
      <c r="D1921" t="s">
        <v>25</v>
      </c>
      <c r="E1921" s="1">
        <v>45037</v>
      </c>
      <c r="F1921" s="1">
        <v>45039</v>
      </c>
      <c r="G1921">
        <v>17.399999999999999</v>
      </c>
      <c r="H1921">
        <v>59.13</v>
      </c>
      <c r="I1921" t="s">
        <v>15</v>
      </c>
      <c r="J1921">
        <v>284</v>
      </c>
      <c r="K1921">
        <v>2</v>
      </c>
      <c r="L1921" t="str">
        <f>IF(logistics_data[[#This Row],[Delivery_Date]]="","In Transit",
 IF(logistics_data[[#This Row],[Status]]="Lost","Lost",
 IF(logistics_data[[#This Row],[Status]]="Returned","Returned",
 IF(logistics_data[[#This Row],[Status]]="Delayed","Delayed",
 "Delivered"))))</f>
        <v>Delivered</v>
      </c>
      <c r="M1921" s="2">
        <f>logistics_data[[#This Row],[Cost]]/logistics_data[[#This Row],[Distance_miles]]</f>
        <v>0.20820422535211269</v>
      </c>
      <c r="N1921" t="str">
        <f>IF(logistics_data[[#This Row],[Orginal staus of shipment]]&lt;&gt;"Delivered","not applicabel", IF(logistics_data[[#This Row],[Transit_Days]]&gt;=5,"slow","fast"))</f>
        <v>fast</v>
      </c>
    </row>
    <row r="1922" spans="1:14" x14ac:dyDescent="0.3">
      <c r="A1922" t="s">
        <v>1968</v>
      </c>
      <c r="B1922" t="s">
        <v>20</v>
      </c>
      <c r="C1922" t="s">
        <v>36</v>
      </c>
      <c r="D1922" t="s">
        <v>32</v>
      </c>
      <c r="E1922" s="1">
        <v>45231</v>
      </c>
      <c r="F1922" s="1">
        <v>45234</v>
      </c>
      <c r="G1922">
        <v>31.2</v>
      </c>
      <c r="H1922">
        <v>228.61</v>
      </c>
      <c r="I1922" t="s">
        <v>60</v>
      </c>
      <c r="J1922">
        <v>1128</v>
      </c>
      <c r="K1922">
        <v>3</v>
      </c>
      <c r="L1922" t="str">
        <f>IF(logistics_data[[#This Row],[Delivery_Date]]="","In Transit",
 IF(logistics_data[[#This Row],[Status]]="Lost","Lost",
 IF(logistics_data[[#This Row],[Status]]="Returned","Returned",
 IF(logistics_data[[#This Row],[Status]]="Delayed","Delayed",
 "Delivered"))))</f>
        <v>Lost</v>
      </c>
      <c r="M1922" s="2">
        <f>logistics_data[[#This Row],[Cost]]/logistics_data[[#This Row],[Distance_miles]]</f>
        <v>0.20266843971631207</v>
      </c>
      <c r="N1922" t="str">
        <f>IF(logistics_data[[#This Row],[Orginal staus of shipment]]&lt;&gt;"Delivered","not applicabel", IF(logistics_data[[#This Row],[Transit_Days]]&gt;=5,"slow","fast"))</f>
        <v>not applicabel</v>
      </c>
    </row>
    <row r="1923" spans="1:14" x14ac:dyDescent="0.3">
      <c r="A1923" t="s">
        <v>1969</v>
      </c>
      <c r="B1923" t="s">
        <v>39</v>
      </c>
      <c r="C1923" t="s">
        <v>13</v>
      </c>
      <c r="D1923" t="s">
        <v>42</v>
      </c>
      <c r="E1923" s="1">
        <v>45179</v>
      </c>
      <c r="F1923" s="1">
        <v>45180</v>
      </c>
      <c r="G1923">
        <v>25.7</v>
      </c>
      <c r="H1923">
        <v>55.3</v>
      </c>
      <c r="I1923" t="s">
        <v>15</v>
      </c>
      <c r="J1923">
        <v>231</v>
      </c>
      <c r="K1923">
        <v>1</v>
      </c>
      <c r="L1923" t="str">
        <f>IF(logistics_data[[#This Row],[Delivery_Date]]="","In Transit",
 IF(logistics_data[[#This Row],[Status]]="Lost","Lost",
 IF(logistics_data[[#This Row],[Status]]="Returned","Returned",
 IF(logistics_data[[#This Row],[Status]]="Delayed","Delayed",
 "Delivered"))))</f>
        <v>Delivered</v>
      </c>
      <c r="M1923" s="2">
        <f>logistics_data[[#This Row],[Cost]]/logistics_data[[#This Row],[Distance_miles]]</f>
        <v>0.23939393939393938</v>
      </c>
      <c r="N1923" t="str">
        <f>IF(logistics_data[[#This Row],[Orginal staus of shipment]]&lt;&gt;"Delivered","not applicabel", IF(logistics_data[[#This Row],[Transit_Days]]&gt;=5,"slow","fast"))</f>
        <v>fast</v>
      </c>
    </row>
    <row r="1924" spans="1:14" x14ac:dyDescent="0.3">
      <c r="A1924" t="s">
        <v>1970</v>
      </c>
      <c r="B1924" t="s">
        <v>12</v>
      </c>
      <c r="C1924" t="s">
        <v>81</v>
      </c>
      <c r="D1924" t="s">
        <v>25</v>
      </c>
      <c r="E1924" s="1">
        <v>44955</v>
      </c>
      <c r="F1924" s="1">
        <v>44959</v>
      </c>
      <c r="G1924">
        <v>35.6</v>
      </c>
      <c r="H1924">
        <v>107.89</v>
      </c>
      <c r="I1924" t="s">
        <v>15</v>
      </c>
      <c r="J1924">
        <v>542</v>
      </c>
      <c r="K1924">
        <v>4</v>
      </c>
      <c r="L1924" t="str">
        <f>IF(logistics_data[[#This Row],[Delivery_Date]]="","In Transit",
 IF(logistics_data[[#This Row],[Status]]="Lost","Lost",
 IF(logistics_data[[#This Row],[Status]]="Returned","Returned",
 IF(logistics_data[[#This Row],[Status]]="Delayed","Delayed",
 "Delivered"))))</f>
        <v>Delivered</v>
      </c>
      <c r="M1924" s="2">
        <f>logistics_data[[#This Row],[Cost]]/logistics_data[[#This Row],[Distance_miles]]</f>
        <v>0.19905904059040591</v>
      </c>
      <c r="N1924" t="str">
        <f>IF(logistics_data[[#This Row],[Orginal staus of shipment]]&lt;&gt;"Delivered","not applicabel", IF(logistics_data[[#This Row],[Transit_Days]]&gt;=5,"slow","fast"))</f>
        <v>fast</v>
      </c>
    </row>
    <row r="1925" spans="1:14" x14ac:dyDescent="0.3">
      <c r="A1925" t="s">
        <v>1971</v>
      </c>
      <c r="B1925" t="s">
        <v>56</v>
      </c>
      <c r="C1925" t="s">
        <v>31</v>
      </c>
      <c r="D1925" t="s">
        <v>25</v>
      </c>
      <c r="E1925" s="1">
        <v>45092</v>
      </c>
      <c r="F1925" s="1">
        <v>45093</v>
      </c>
      <c r="G1925">
        <v>29.4</v>
      </c>
      <c r="H1925">
        <v>116.46</v>
      </c>
      <c r="I1925" t="s">
        <v>15</v>
      </c>
      <c r="J1925">
        <v>636</v>
      </c>
      <c r="K1925">
        <v>1</v>
      </c>
      <c r="L1925" t="str">
        <f>IF(logistics_data[[#This Row],[Delivery_Date]]="","In Transit",
 IF(logistics_data[[#This Row],[Status]]="Lost","Lost",
 IF(logistics_data[[#This Row],[Status]]="Returned","Returned",
 IF(logistics_data[[#This Row],[Status]]="Delayed","Delayed",
 "Delivered"))))</f>
        <v>Delivered</v>
      </c>
      <c r="M1925" s="2">
        <f>logistics_data[[#This Row],[Cost]]/logistics_data[[#This Row],[Distance_miles]]</f>
        <v>0.18311320754716981</v>
      </c>
      <c r="N1925" t="str">
        <f>IF(logistics_data[[#This Row],[Orginal staus of shipment]]&lt;&gt;"Delivered","not applicabel", IF(logistics_data[[#This Row],[Transit_Days]]&gt;=5,"slow","fast"))</f>
        <v>fast</v>
      </c>
    </row>
    <row r="1926" spans="1:14" x14ac:dyDescent="0.3">
      <c r="A1926" t="s">
        <v>1972</v>
      </c>
      <c r="B1926" t="s">
        <v>51</v>
      </c>
      <c r="C1926" t="s">
        <v>36</v>
      </c>
      <c r="D1926" t="s">
        <v>59</v>
      </c>
      <c r="E1926" s="1">
        <v>45140</v>
      </c>
      <c r="F1926" s="1">
        <v>45145</v>
      </c>
      <c r="G1926">
        <v>16.7</v>
      </c>
      <c r="H1926">
        <v>179.65</v>
      </c>
      <c r="I1926" t="s">
        <v>15</v>
      </c>
      <c r="J1926">
        <v>1438</v>
      </c>
      <c r="K1926">
        <v>5</v>
      </c>
      <c r="L1926" t="str">
        <f>IF(logistics_data[[#This Row],[Delivery_Date]]="","In Transit",
 IF(logistics_data[[#This Row],[Status]]="Lost","Lost",
 IF(logistics_data[[#This Row],[Status]]="Returned","Returned",
 IF(logistics_data[[#This Row],[Status]]="Delayed","Delayed",
 "Delivered"))))</f>
        <v>Delivered</v>
      </c>
      <c r="M1926" s="2">
        <f>logistics_data[[#This Row],[Cost]]/logistics_data[[#This Row],[Distance_miles]]</f>
        <v>0.12493045897079277</v>
      </c>
      <c r="N1926" t="str">
        <f>IF(logistics_data[[#This Row],[Orginal staus of shipment]]&lt;&gt;"Delivered","not applicabel", IF(logistics_data[[#This Row],[Transit_Days]]&gt;=5,"slow","fast"))</f>
        <v>slow</v>
      </c>
    </row>
    <row r="1927" spans="1:14" x14ac:dyDescent="0.3">
      <c r="A1927" t="s">
        <v>1973</v>
      </c>
      <c r="B1927" t="s">
        <v>23</v>
      </c>
      <c r="C1927" t="s">
        <v>52</v>
      </c>
      <c r="D1927" t="s">
        <v>37</v>
      </c>
      <c r="E1927" s="1">
        <v>45100</v>
      </c>
      <c r="F1927" s="1">
        <v>45102</v>
      </c>
      <c r="G1927">
        <v>7.2</v>
      </c>
      <c r="H1927">
        <v>97.04</v>
      </c>
      <c r="I1927" t="s">
        <v>15</v>
      </c>
      <c r="J1927">
        <v>822</v>
      </c>
      <c r="K1927">
        <v>2</v>
      </c>
      <c r="L1927" t="str">
        <f>IF(logistics_data[[#This Row],[Delivery_Date]]="","In Transit",
 IF(logistics_data[[#This Row],[Status]]="Lost","Lost",
 IF(logistics_data[[#This Row],[Status]]="Returned","Returned",
 IF(logistics_data[[#This Row],[Status]]="Delayed","Delayed",
 "Delivered"))))</f>
        <v>Delivered</v>
      </c>
      <c r="M1927" s="2">
        <f>logistics_data[[#This Row],[Cost]]/logistics_data[[#This Row],[Distance_miles]]</f>
        <v>0.11805352798053528</v>
      </c>
      <c r="N1927" t="str">
        <f>IF(logistics_data[[#This Row],[Orginal staus of shipment]]&lt;&gt;"Delivered","not applicabel", IF(logistics_data[[#This Row],[Transit_Days]]&gt;=5,"slow","fast"))</f>
        <v>fast</v>
      </c>
    </row>
    <row r="1928" spans="1:14" x14ac:dyDescent="0.3">
      <c r="A1928" t="s">
        <v>1974</v>
      </c>
      <c r="B1928" t="s">
        <v>39</v>
      </c>
      <c r="C1928" t="s">
        <v>52</v>
      </c>
      <c r="D1928" t="s">
        <v>37</v>
      </c>
      <c r="E1928" s="1">
        <v>45210</v>
      </c>
      <c r="F1928" s="1">
        <v>45213</v>
      </c>
      <c r="G1928">
        <v>11.7</v>
      </c>
      <c r="H1928">
        <v>94.37</v>
      </c>
      <c r="I1928" t="s">
        <v>15</v>
      </c>
      <c r="J1928">
        <v>744</v>
      </c>
      <c r="K1928">
        <v>3</v>
      </c>
      <c r="L1928" t="str">
        <f>IF(logistics_data[[#This Row],[Delivery_Date]]="","In Transit",
 IF(logistics_data[[#This Row],[Status]]="Lost","Lost",
 IF(logistics_data[[#This Row],[Status]]="Returned","Returned",
 IF(logistics_data[[#This Row],[Status]]="Delayed","Delayed",
 "Delivered"))))</f>
        <v>Delivered</v>
      </c>
      <c r="M1928" s="2">
        <f>logistics_data[[#This Row],[Cost]]/logistics_data[[#This Row],[Distance_miles]]</f>
        <v>0.12684139784946238</v>
      </c>
      <c r="N1928" t="str">
        <f>IF(logistics_data[[#This Row],[Orginal staus of shipment]]&lt;&gt;"Delivered","not applicabel", IF(logistics_data[[#This Row],[Transit_Days]]&gt;=5,"slow","fast"))</f>
        <v>fast</v>
      </c>
    </row>
    <row r="1929" spans="1:14" x14ac:dyDescent="0.3">
      <c r="A1929" t="s">
        <v>1975</v>
      </c>
      <c r="B1929" t="s">
        <v>12</v>
      </c>
      <c r="C1929" t="s">
        <v>36</v>
      </c>
      <c r="D1929" t="s">
        <v>14</v>
      </c>
      <c r="E1929" s="1">
        <v>45133</v>
      </c>
      <c r="F1929" s="1">
        <v>45138</v>
      </c>
      <c r="G1929">
        <v>27.6</v>
      </c>
      <c r="H1929">
        <v>242.8</v>
      </c>
      <c r="I1929" t="s">
        <v>15</v>
      </c>
      <c r="J1929">
        <v>1549</v>
      </c>
      <c r="K1929">
        <v>5</v>
      </c>
      <c r="L1929" t="str">
        <f>IF(logistics_data[[#This Row],[Delivery_Date]]="","In Transit",
 IF(logistics_data[[#This Row],[Status]]="Lost","Lost",
 IF(logistics_data[[#This Row],[Status]]="Returned","Returned",
 IF(logistics_data[[#This Row],[Status]]="Delayed","Delayed",
 "Delivered"))))</f>
        <v>Delivered</v>
      </c>
      <c r="M1929" s="2">
        <f>logistics_data[[#This Row],[Cost]]/logistics_data[[#This Row],[Distance_miles]]</f>
        <v>0.15674628792769529</v>
      </c>
      <c r="N1929" t="str">
        <f>IF(logistics_data[[#This Row],[Orginal staus of shipment]]&lt;&gt;"Delivered","not applicabel", IF(logistics_data[[#This Row],[Transit_Days]]&gt;=5,"slow","fast"))</f>
        <v>slow</v>
      </c>
    </row>
    <row r="1930" spans="1:14" x14ac:dyDescent="0.3">
      <c r="A1930" t="s">
        <v>1976</v>
      </c>
      <c r="B1930" t="s">
        <v>20</v>
      </c>
      <c r="C1930" t="s">
        <v>52</v>
      </c>
      <c r="D1930" t="s">
        <v>42</v>
      </c>
      <c r="E1930" s="1">
        <v>44957</v>
      </c>
      <c r="F1930" s="1">
        <v>44960</v>
      </c>
      <c r="G1930">
        <v>20.5</v>
      </c>
      <c r="H1930">
        <v>75.98</v>
      </c>
      <c r="I1930" t="s">
        <v>15</v>
      </c>
      <c r="J1930">
        <v>373</v>
      </c>
      <c r="K1930">
        <v>3</v>
      </c>
      <c r="L1930" t="str">
        <f>IF(logistics_data[[#This Row],[Delivery_Date]]="","In Transit",
 IF(logistics_data[[#This Row],[Status]]="Lost","Lost",
 IF(logistics_data[[#This Row],[Status]]="Returned","Returned",
 IF(logistics_data[[#This Row],[Status]]="Delayed","Delayed",
 "Delivered"))))</f>
        <v>Delivered</v>
      </c>
      <c r="M1930" s="2">
        <f>logistics_data[[#This Row],[Cost]]/logistics_data[[#This Row],[Distance_miles]]</f>
        <v>0.20369973190348525</v>
      </c>
      <c r="N1930" t="str">
        <f>IF(logistics_data[[#This Row],[Orginal staus of shipment]]&lt;&gt;"Delivered","not applicabel", IF(logistics_data[[#This Row],[Transit_Days]]&gt;=5,"slow","fast"))</f>
        <v>fast</v>
      </c>
    </row>
    <row r="1931" spans="1:14" x14ac:dyDescent="0.3">
      <c r="A1931" t="s">
        <v>1977</v>
      </c>
      <c r="B1931" t="s">
        <v>27</v>
      </c>
      <c r="C1931" t="s">
        <v>54</v>
      </c>
      <c r="D1931" t="s">
        <v>42</v>
      </c>
      <c r="E1931" s="1">
        <v>45038</v>
      </c>
      <c r="F1931" s="1">
        <v>45044</v>
      </c>
      <c r="G1931">
        <v>41</v>
      </c>
      <c r="H1931">
        <v>321.14999999999998</v>
      </c>
      <c r="I1931" t="s">
        <v>15</v>
      </c>
      <c r="J1931">
        <v>2478</v>
      </c>
      <c r="K1931">
        <v>6</v>
      </c>
      <c r="L1931" t="str">
        <f>IF(logistics_data[[#This Row],[Delivery_Date]]="","In Transit",
 IF(logistics_data[[#This Row],[Status]]="Lost","Lost",
 IF(logistics_data[[#This Row],[Status]]="Returned","Returned",
 IF(logistics_data[[#This Row],[Status]]="Delayed","Delayed",
 "Delivered"))))</f>
        <v>Delivered</v>
      </c>
      <c r="M1931" s="2">
        <f>logistics_data[[#This Row],[Cost]]/logistics_data[[#This Row],[Distance_miles]]</f>
        <v>0.1296004842615012</v>
      </c>
      <c r="N1931" t="str">
        <f>IF(logistics_data[[#This Row],[Orginal staus of shipment]]&lt;&gt;"Delivered","not applicabel", IF(logistics_data[[#This Row],[Transit_Days]]&gt;=5,"slow","fast"))</f>
        <v>slow</v>
      </c>
    </row>
    <row r="1932" spans="1:14" x14ac:dyDescent="0.3">
      <c r="A1932" t="s">
        <v>1978</v>
      </c>
      <c r="B1932" t="s">
        <v>12</v>
      </c>
      <c r="C1932" t="s">
        <v>24</v>
      </c>
      <c r="D1932" t="s">
        <v>25</v>
      </c>
      <c r="E1932" s="1">
        <v>45020</v>
      </c>
      <c r="F1932" s="1">
        <v>45021</v>
      </c>
      <c r="G1932">
        <v>13.8</v>
      </c>
      <c r="H1932">
        <v>30.2</v>
      </c>
      <c r="I1932" t="s">
        <v>15</v>
      </c>
      <c r="J1932">
        <v>142</v>
      </c>
      <c r="K1932">
        <v>1</v>
      </c>
      <c r="L1932" t="str">
        <f>IF(logistics_data[[#This Row],[Delivery_Date]]="","In Transit",
 IF(logistics_data[[#This Row],[Status]]="Lost","Lost",
 IF(logistics_data[[#This Row],[Status]]="Returned","Returned",
 IF(logistics_data[[#This Row],[Status]]="Delayed","Delayed",
 "Delivered"))))</f>
        <v>Delivered</v>
      </c>
      <c r="M1932" s="2">
        <f>logistics_data[[#This Row],[Cost]]/logistics_data[[#This Row],[Distance_miles]]</f>
        <v>0.21267605633802816</v>
      </c>
      <c r="N1932" t="str">
        <f>IF(logistics_data[[#This Row],[Orginal staus of shipment]]&lt;&gt;"Delivered","not applicabel", IF(logistics_data[[#This Row],[Transit_Days]]&gt;=5,"slow","fast"))</f>
        <v>fast</v>
      </c>
    </row>
    <row r="1933" spans="1:14" x14ac:dyDescent="0.3">
      <c r="A1933" t="s">
        <v>1979</v>
      </c>
      <c r="B1933" t="s">
        <v>20</v>
      </c>
      <c r="C1933" t="s">
        <v>24</v>
      </c>
      <c r="D1933" t="s">
        <v>59</v>
      </c>
      <c r="E1933" s="1">
        <v>45180</v>
      </c>
      <c r="F1933" s="1">
        <v>45183</v>
      </c>
      <c r="G1933">
        <v>34.200000000000003</v>
      </c>
      <c r="H1933">
        <v>156.85</v>
      </c>
      <c r="I1933" t="s">
        <v>15</v>
      </c>
      <c r="J1933">
        <v>1135</v>
      </c>
      <c r="K1933">
        <v>3</v>
      </c>
      <c r="L1933" t="str">
        <f>IF(logistics_data[[#This Row],[Delivery_Date]]="","In Transit",
 IF(logistics_data[[#This Row],[Status]]="Lost","Lost",
 IF(logistics_data[[#This Row],[Status]]="Returned","Returned",
 IF(logistics_data[[#This Row],[Status]]="Delayed","Delayed",
 "Delivered"))))</f>
        <v>Delivered</v>
      </c>
      <c r="M1933" s="2">
        <f>logistics_data[[#This Row],[Cost]]/logistics_data[[#This Row],[Distance_miles]]</f>
        <v>0.13819383259911894</v>
      </c>
      <c r="N1933" t="str">
        <f>IF(logistics_data[[#This Row],[Orginal staus of shipment]]&lt;&gt;"Delivered","not applicabel", IF(logistics_data[[#This Row],[Transit_Days]]&gt;=5,"slow","fast"))</f>
        <v>fast</v>
      </c>
    </row>
    <row r="1934" spans="1:14" x14ac:dyDescent="0.3">
      <c r="A1934" t="s">
        <v>1980</v>
      </c>
      <c r="B1934" t="s">
        <v>23</v>
      </c>
      <c r="C1934" t="s">
        <v>81</v>
      </c>
      <c r="D1934" t="s">
        <v>18</v>
      </c>
      <c r="E1934" s="1">
        <v>45271</v>
      </c>
      <c r="F1934" s="1">
        <v>45274</v>
      </c>
      <c r="G1934">
        <v>10.4</v>
      </c>
      <c r="I1934" t="s">
        <v>15</v>
      </c>
      <c r="J1934">
        <v>1467</v>
      </c>
      <c r="K1934">
        <v>3</v>
      </c>
      <c r="L1934" t="str">
        <f>IF(logistics_data[[#This Row],[Delivery_Date]]="","In Transit",
 IF(logistics_data[[#This Row],[Status]]="Lost","Lost",
 IF(logistics_data[[#This Row],[Status]]="Returned","Returned",
 IF(logistics_data[[#This Row],[Status]]="Delayed","Delayed",
 "Delivered"))))</f>
        <v>Delivered</v>
      </c>
      <c r="M1934" s="2">
        <f>logistics_data[[#This Row],[Cost]]/logistics_data[[#This Row],[Distance_miles]]</f>
        <v>0</v>
      </c>
      <c r="N1934" t="str">
        <f>IF(logistics_data[[#This Row],[Orginal staus of shipment]]&lt;&gt;"Delivered","not applicabel", IF(logistics_data[[#This Row],[Transit_Days]]&gt;=5,"slow","fast"))</f>
        <v>fast</v>
      </c>
    </row>
    <row r="1935" spans="1:14" x14ac:dyDescent="0.3">
      <c r="A1935" t="s">
        <v>1981</v>
      </c>
      <c r="B1935" t="s">
        <v>56</v>
      </c>
      <c r="C1935" t="s">
        <v>54</v>
      </c>
      <c r="D1935" t="s">
        <v>59</v>
      </c>
      <c r="E1935" s="1">
        <v>45142</v>
      </c>
      <c r="F1935" s="1">
        <v>45148</v>
      </c>
      <c r="G1935">
        <v>20.3</v>
      </c>
      <c r="H1935">
        <v>295.36</v>
      </c>
      <c r="I1935" t="s">
        <v>15</v>
      </c>
      <c r="J1935">
        <v>2353</v>
      </c>
      <c r="K1935">
        <v>6</v>
      </c>
      <c r="L1935" t="str">
        <f>IF(logistics_data[[#This Row],[Delivery_Date]]="","In Transit",
 IF(logistics_data[[#This Row],[Status]]="Lost","Lost",
 IF(logistics_data[[#This Row],[Status]]="Returned","Returned",
 IF(logistics_data[[#This Row],[Status]]="Delayed","Delayed",
 "Delivered"))))</f>
        <v>Delivered</v>
      </c>
      <c r="M1935" s="2">
        <f>logistics_data[[#This Row],[Cost]]/logistics_data[[#This Row],[Distance_miles]]</f>
        <v>0.12552486187845305</v>
      </c>
      <c r="N1935" t="str">
        <f>IF(logistics_data[[#This Row],[Orginal staus of shipment]]&lt;&gt;"Delivered","not applicabel", IF(logistics_data[[#This Row],[Transit_Days]]&gt;=5,"slow","fast"))</f>
        <v>slow</v>
      </c>
    </row>
    <row r="1936" spans="1:14" x14ac:dyDescent="0.3">
      <c r="A1936" t="s">
        <v>1982</v>
      </c>
      <c r="B1936" t="s">
        <v>39</v>
      </c>
      <c r="C1936" t="s">
        <v>40</v>
      </c>
      <c r="D1936" t="s">
        <v>42</v>
      </c>
      <c r="E1936" s="1">
        <v>44988</v>
      </c>
      <c r="F1936" s="1">
        <v>44991</v>
      </c>
      <c r="G1936">
        <v>9.9</v>
      </c>
      <c r="H1936">
        <v>161.25</v>
      </c>
      <c r="I1936" t="s">
        <v>15</v>
      </c>
      <c r="J1936">
        <v>1163</v>
      </c>
      <c r="K1936">
        <v>3</v>
      </c>
      <c r="L1936" t="str">
        <f>IF(logistics_data[[#This Row],[Delivery_Date]]="","In Transit",
 IF(logistics_data[[#This Row],[Status]]="Lost","Lost",
 IF(logistics_data[[#This Row],[Status]]="Returned","Returned",
 IF(logistics_data[[#This Row],[Status]]="Delayed","Delayed",
 "Delivered"))))</f>
        <v>Delivered</v>
      </c>
      <c r="M1936" s="2">
        <f>logistics_data[[#This Row],[Cost]]/logistics_data[[#This Row],[Distance_miles]]</f>
        <v>0.13865004299226139</v>
      </c>
      <c r="N1936" t="str">
        <f>IF(logistics_data[[#This Row],[Orginal staus of shipment]]&lt;&gt;"Delivered","not applicabel", IF(logistics_data[[#This Row],[Transit_Days]]&gt;=5,"slow","fast"))</f>
        <v>fast</v>
      </c>
    </row>
    <row r="1937" spans="1:14" x14ac:dyDescent="0.3">
      <c r="A1937" t="s">
        <v>1983</v>
      </c>
      <c r="B1937" t="s">
        <v>35</v>
      </c>
      <c r="C1937" t="s">
        <v>40</v>
      </c>
      <c r="D1937" t="s">
        <v>37</v>
      </c>
      <c r="E1937" s="1">
        <v>45103</v>
      </c>
      <c r="F1937" s="1">
        <v>45104</v>
      </c>
      <c r="G1937">
        <v>9.5</v>
      </c>
      <c r="H1937">
        <v>43.35</v>
      </c>
      <c r="I1937" t="s">
        <v>15</v>
      </c>
      <c r="J1937">
        <v>283</v>
      </c>
      <c r="K1937">
        <v>1</v>
      </c>
      <c r="L1937" t="str">
        <f>IF(logistics_data[[#This Row],[Delivery_Date]]="","In Transit",
 IF(logistics_data[[#This Row],[Status]]="Lost","Lost",
 IF(logistics_data[[#This Row],[Status]]="Returned","Returned",
 IF(logistics_data[[#This Row],[Status]]="Delayed","Delayed",
 "Delivered"))))</f>
        <v>Delivered</v>
      </c>
      <c r="M1937" s="2">
        <f>logistics_data[[#This Row],[Cost]]/logistics_data[[#This Row],[Distance_miles]]</f>
        <v>0.15318021201413429</v>
      </c>
      <c r="N1937" t="str">
        <f>IF(logistics_data[[#This Row],[Orginal staus of shipment]]&lt;&gt;"Delivered","not applicabel", IF(logistics_data[[#This Row],[Transit_Days]]&gt;=5,"slow","fast"))</f>
        <v>fast</v>
      </c>
    </row>
    <row r="1938" spans="1:14" x14ac:dyDescent="0.3">
      <c r="A1938" t="s">
        <v>1984</v>
      </c>
      <c r="B1938" t="s">
        <v>30</v>
      </c>
      <c r="C1938" t="s">
        <v>28</v>
      </c>
      <c r="D1938" t="s">
        <v>37</v>
      </c>
      <c r="E1938" s="1">
        <v>45260</v>
      </c>
      <c r="F1938" s="1">
        <v>45263</v>
      </c>
      <c r="G1938">
        <v>27</v>
      </c>
      <c r="H1938">
        <v>188.63</v>
      </c>
      <c r="I1938" t="s">
        <v>15</v>
      </c>
      <c r="J1938">
        <v>1068</v>
      </c>
      <c r="K1938">
        <v>3</v>
      </c>
      <c r="L1938" t="str">
        <f>IF(logistics_data[[#This Row],[Delivery_Date]]="","In Transit",
 IF(logistics_data[[#This Row],[Status]]="Lost","Lost",
 IF(logistics_data[[#This Row],[Status]]="Returned","Returned",
 IF(logistics_data[[#This Row],[Status]]="Delayed","Delayed",
 "Delivered"))))</f>
        <v>Delivered</v>
      </c>
      <c r="M1938" s="2">
        <f>logistics_data[[#This Row],[Cost]]/logistics_data[[#This Row],[Distance_miles]]</f>
        <v>0.17661985018726592</v>
      </c>
      <c r="N1938" t="str">
        <f>IF(logistics_data[[#This Row],[Orginal staus of shipment]]&lt;&gt;"Delivered","not applicabel", IF(logistics_data[[#This Row],[Transit_Days]]&gt;=5,"slow","fast"))</f>
        <v>fast</v>
      </c>
    </row>
    <row r="1939" spans="1:14" x14ac:dyDescent="0.3">
      <c r="A1939" t="s">
        <v>1985</v>
      </c>
      <c r="B1939" t="s">
        <v>49</v>
      </c>
      <c r="C1939" t="s">
        <v>46</v>
      </c>
      <c r="D1939" t="s">
        <v>37</v>
      </c>
      <c r="E1939" s="1">
        <v>45276</v>
      </c>
      <c r="F1939" s="1">
        <v>45281</v>
      </c>
      <c r="G1939">
        <v>12.9</v>
      </c>
      <c r="H1939">
        <v>305.45</v>
      </c>
      <c r="I1939" t="s">
        <v>15</v>
      </c>
      <c r="J1939">
        <v>1875</v>
      </c>
      <c r="K1939">
        <v>5</v>
      </c>
      <c r="L1939" t="str">
        <f>IF(logistics_data[[#This Row],[Delivery_Date]]="","In Transit",
 IF(logistics_data[[#This Row],[Status]]="Lost","Lost",
 IF(logistics_data[[#This Row],[Status]]="Returned","Returned",
 IF(logistics_data[[#This Row],[Status]]="Delayed","Delayed",
 "Delivered"))))</f>
        <v>Delivered</v>
      </c>
      <c r="M1939" s="2">
        <f>logistics_data[[#This Row],[Cost]]/logistics_data[[#This Row],[Distance_miles]]</f>
        <v>0.16290666666666667</v>
      </c>
      <c r="N1939" t="str">
        <f>IF(logistics_data[[#This Row],[Orginal staus of shipment]]&lt;&gt;"Delivered","not applicabel", IF(logistics_data[[#This Row],[Transit_Days]]&gt;=5,"slow","fast"))</f>
        <v>slow</v>
      </c>
    </row>
    <row r="1940" spans="1:14" x14ac:dyDescent="0.3">
      <c r="A1940" t="s">
        <v>1986</v>
      </c>
      <c r="B1940" t="s">
        <v>20</v>
      </c>
      <c r="C1940" t="s">
        <v>40</v>
      </c>
      <c r="D1940" t="s">
        <v>32</v>
      </c>
      <c r="E1940" s="1">
        <v>45251</v>
      </c>
      <c r="F1940" s="1">
        <v>45258</v>
      </c>
      <c r="G1940">
        <v>61.7</v>
      </c>
      <c r="H1940">
        <v>455.69</v>
      </c>
      <c r="I1940" t="s">
        <v>15</v>
      </c>
      <c r="J1940">
        <v>2430</v>
      </c>
      <c r="K1940">
        <v>7</v>
      </c>
      <c r="L1940" t="str">
        <f>IF(logistics_data[[#This Row],[Delivery_Date]]="","In Transit",
 IF(logistics_data[[#This Row],[Status]]="Lost","Lost",
 IF(logistics_data[[#This Row],[Status]]="Returned","Returned",
 IF(logistics_data[[#This Row],[Status]]="Delayed","Delayed",
 "Delivered"))))</f>
        <v>Delivered</v>
      </c>
      <c r="M1940" s="2">
        <f>logistics_data[[#This Row],[Cost]]/logistics_data[[#This Row],[Distance_miles]]</f>
        <v>0.18752674897119342</v>
      </c>
      <c r="N1940" t="str">
        <f>IF(logistics_data[[#This Row],[Orginal staus of shipment]]&lt;&gt;"Delivered","not applicabel", IF(logistics_data[[#This Row],[Transit_Days]]&gt;=5,"slow","fast"))</f>
        <v>slow</v>
      </c>
    </row>
    <row r="1941" spans="1:14" x14ac:dyDescent="0.3">
      <c r="A1941" t="s">
        <v>1987</v>
      </c>
      <c r="B1941" t="s">
        <v>27</v>
      </c>
      <c r="C1941" t="s">
        <v>36</v>
      </c>
      <c r="D1941" t="s">
        <v>42</v>
      </c>
      <c r="E1941" s="1">
        <v>45030</v>
      </c>
      <c r="F1941" s="1">
        <v>45032</v>
      </c>
      <c r="G1941">
        <v>25.3</v>
      </c>
      <c r="H1941">
        <v>92.95</v>
      </c>
      <c r="I1941" t="s">
        <v>15</v>
      </c>
      <c r="J1941">
        <v>505</v>
      </c>
      <c r="K1941">
        <v>2</v>
      </c>
      <c r="L1941" t="str">
        <f>IF(logistics_data[[#This Row],[Delivery_Date]]="","In Transit",
 IF(logistics_data[[#This Row],[Status]]="Lost","Lost",
 IF(logistics_data[[#This Row],[Status]]="Returned","Returned",
 IF(logistics_data[[#This Row],[Status]]="Delayed","Delayed",
 "Delivered"))))</f>
        <v>Delivered</v>
      </c>
      <c r="M1941" s="2">
        <f>logistics_data[[#This Row],[Cost]]/logistics_data[[#This Row],[Distance_miles]]</f>
        <v>0.18405940594059406</v>
      </c>
      <c r="N1941" t="str">
        <f>IF(logistics_data[[#This Row],[Orginal staus of shipment]]&lt;&gt;"Delivered","not applicabel", IF(logistics_data[[#This Row],[Transit_Days]]&gt;=5,"slow","fast"))</f>
        <v>fast</v>
      </c>
    </row>
    <row r="1942" spans="1:14" x14ac:dyDescent="0.3">
      <c r="A1942" t="s">
        <v>1988</v>
      </c>
      <c r="B1942" t="s">
        <v>20</v>
      </c>
      <c r="C1942" t="s">
        <v>24</v>
      </c>
      <c r="D1942" t="s">
        <v>25</v>
      </c>
      <c r="E1942" s="1">
        <v>45112</v>
      </c>
      <c r="F1942" s="1">
        <v>45117</v>
      </c>
      <c r="G1942">
        <v>26.4</v>
      </c>
      <c r="H1942">
        <v>161.78</v>
      </c>
      <c r="I1942" t="s">
        <v>15</v>
      </c>
      <c r="J1942">
        <v>1135</v>
      </c>
      <c r="K1942">
        <v>5</v>
      </c>
      <c r="L1942" t="str">
        <f>IF(logistics_data[[#This Row],[Delivery_Date]]="","In Transit",
 IF(logistics_data[[#This Row],[Status]]="Lost","Lost",
 IF(logistics_data[[#This Row],[Status]]="Returned","Returned",
 IF(logistics_data[[#This Row],[Status]]="Delayed","Delayed",
 "Delivered"))))</f>
        <v>Delivered</v>
      </c>
      <c r="M1942" s="2">
        <f>logistics_data[[#This Row],[Cost]]/logistics_data[[#This Row],[Distance_miles]]</f>
        <v>0.1425374449339207</v>
      </c>
      <c r="N1942" t="str">
        <f>IF(logistics_data[[#This Row],[Orginal staus of shipment]]&lt;&gt;"Delivered","not applicabel", IF(logistics_data[[#This Row],[Transit_Days]]&gt;=5,"slow","fast"))</f>
        <v>slow</v>
      </c>
    </row>
    <row r="1943" spans="1:14" x14ac:dyDescent="0.3">
      <c r="A1943" t="s">
        <v>1989</v>
      </c>
      <c r="B1943" t="s">
        <v>30</v>
      </c>
      <c r="C1943" t="s">
        <v>57</v>
      </c>
      <c r="D1943" t="s">
        <v>59</v>
      </c>
      <c r="E1943" s="1">
        <v>45095</v>
      </c>
      <c r="F1943" s="1">
        <v>45099</v>
      </c>
      <c r="G1943">
        <v>69</v>
      </c>
      <c r="H1943">
        <v>302.62</v>
      </c>
      <c r="I1943" t="s">
        <v>60</v>
      </c>
      <c r="J1943">
        <v>1868</v>
      </c>
      <c r="K1943">
        <v>4</v>
      </c>
      <c r="L1943" t="str">
        <f>IF(logistics_data[[#This Row],[Delivery_Date]]="","In Transit",
 IF(logistics_data[[#This Row],[Status]]="Lost","Lost",
 IF(logistics_data[[#This Row],[Status]]="Returned","Returned",
 IF(logistics_data[[#This Row],[Status]]="Delayed","Delayed",
 "Delivered"))))</f>
        <v>Lost</v>
      </c>
      <c r="M1943" s="2">
        <f>logistics_data[[#This Row],[Cost]]/logistics_data[[#This Row],[Distance_miles]]</f>
        <v>0.16200214132762314</v>
      </c>
      <c r="N1943" t="str">
        <f>IF(logistics_data[[#This Row],[Orginal staus of shipment]]&lt;&gt;"Delivered","not applicabel", IF(logistics_data[[#This Row],[Transit_Days]]&gt;=5,"slow","fast"))</f>
        <v>not applicabel</v>
      </c>
    </row>
    <row r="1944" spans="1:14" x14ac:dyDescent="0.3">
      <c r="A1944" t="s">
        <v>1990</v>
      </c>
      <c r="B1944" t="s">
        <v>30</v>
      </c>
      <c r="C1944" t="s">
        <v>36</v>
      </c>
      <c r="D1944" t="s">
        <v>59</v>
      </c>
      <c r="E1944" s="1">
        <v>45223</v>
      </c>
      <c r="F1944" s="1">
        <v>45230</v>
      </c>
      <c r="G1944">
        <v>17</v>
      </c>
      <c r="H1944">
        <v>283.07</v>
      </c>
      <c r="I1944" t="s">
        <v>15</v>
      </c>
      <c r="J1944">
        <v>2191</v>
      </c>
      <c r="K1944">
        <v>7</v>
      </c>
      <c r="L1944" t="str">
        <f>IF(logistics_data[[#This Row],[Delivery_Date]]="","In Transit",
 IF(logistics_data[[#This Row],[Status]]="Lost","Lost",
 IF(logistics_data[[#This Row],[Status]]="Returned","Returned",
 IF(logistics_data[[#This Row],[Status]]="Delayed","Delayed",
 "Delivered"))))</f>
        <v>Delivered</v>
      </c>
      <c r="M1944" s="2">
        <f>logistics_data[[#This Row],[Cost]]/logistics_data[[#This Row],[Distance_miles]]</f>
        <v>0.12919671382930167</v>
      </c>
      <c r="N1944" t="str">
        <f>IF(logistics_data[[#This Row],[Orginal staus of shipment]]&lt;&gt;"Delivered","not applicabel", IF(logistics_data[[#This Row],[Transit_Days]]&gt;=5,"slow","fast"))</f>
        <v>slow</v>
      </c>
    </row>
    <row r="1945" spans="1:14" x14ac:dyDescent="0.3">
      <c r="A1945" t="s">
        <v>1991</v>
      </c>
      <c r="B1945" t="s">
        <v>49</v>
      </c>
      <c r="C1945" t="s">
        <v>44</v>
      </c>
      <c r="D1945" t="s">
        <v>59</v>
      </c>
      <c r="E1945" s="1">
        <v>45169</v>
      </c>
      <c r="F1945" s="1">
        <v>45171</v>
      </c>
      <c r="G1945">
        <v>18</v>
      </c>
      <c r="I1945" t="s">
        <v>15</v>
      </c>
      <c r="J1945">
        <v>971</v>
      </c>
      <c r="K1945">
        <v>2</v>
      </c>
      <c r="L1945" t="str">
        <f>IF(logistics_data[[#This Row],[Delivery_Date]]="","In Transit",
 IF(logistics_data[[#This Row],[Status]]="Lost","Lost",
 IF(logistics_data[[#This Row],[Status]]="Returned","Returned",
 IF(logistics_data[[#This Row],[Status]]="Delayed","Delayed",
 "Delivered"))))</f>
        <v>Delivered</v>
      </c>
      <c r="M1945" s="2">
        <f>logistics_data[[#This Row],[Cost]]/logistics_data[[#This Row],[Distance_miles]]</f>
        <v>0</v>
      </c>
      <c r="N1945" t="str">
        <f>IF(logistics_data[[#This Row],[Orginal staus of shipment]]&lt;&gt;"Delivered","not applicabel", IF(logistics_data[[#This Row],[Transit_Days]]&gt;=5,"slow","fast"))</f>
        <v>fast</v>
      </c>
    </row>
    <row r="1946" spans="1:14" x14ac:dyDescent="0.3">
      <c r="A1946" t="s">
        <v>1992</v>
      </c>
      <c r="B1946" t="s">
        <v>20</v>
      </c>
      <c r="C1946" t="s">
        <v>31</v>
      </c>
      <c r="D1946" t="s">
        <v>14</v>
      </c>
      <c r="E1946" s="1">
        <v>45289</v>
      </c>
      <c r="F1946" s="1">
        <v>45295</v>
      </c>
      <c r="G1946">
        <v>15.9</v>
      </c>
      <c r="H1946">
        <v>329.11</v>
      </c>
      <c r="I1946" t="s">
        <v>15</v>
      </c>
      <c r="J1946">
        <v>1899</v>
      </c>
      <c r="K1946">
        <v>6</v>
      </c>
      <c r="L1946" t="str">
        <f>IF(logistics_data[[#This Row],[Delivery_Date]]="","In Transit",
 IF(logistics_data[[#This Row],[Status]]="Lost","Lost",
 IF(logistics_data[[#This Row],[Status]]="Returned","Returned",
 IF(logistics_data[[#This Row],[Status]]="Delayed","Delayed",
 "Delivered"))))</f>
        <v>Delivered</v>
      </c>
      <c r="M1946" s="2">
        <f>logistics_data[[#This Row],[Cost]]/logistics_data[[#This Row],[Distance_miles]]</f>
        <v>0.17330700368615062</v>
      </c>
      <c r="N1946" t="str">
        <f>IF(logistics_data[[#This Row],[Orginal staus of shipment]]&lt;&gt;"Delivered","not applicabel", IF(logistics_data[[#This Row],[Transit_Days]]&gt;=5,"slow","fast"))</f>
        <v>slow</v>
      </c>
    </row>
    <row r="1947" spans="1:14" x14ac:dyDescent="0.3">
      <c r="A1947" t="s">
        <v>1993</v>
      </c>
      <c r="B1947" t="s">
        <v>27</v>
      </c>
      <c r="C1947" t="s">
        <v>44</v>
      </c>
      <c r="D1947" t="s">
        <v>42</v>
      </c>
      <c r="E1947" s="1">
        <v>44983</v>
      </c>
      <c r="F1947" s="1">
        <v>44987</v>
      </c>
      <c r="G1947">
        <v>9.1</v>
      </c>
      <c r="H1947">
        <v>210.06</v>
      </c>
      <c r="I1947" t="s">
        <v>15</v>
      </c>
      <c r="J1947">
        <v>1754</v>
      </c>
      <c r="K1947">
        <v>4</v>
      </c>
      <c r="L1947" t="str">
        <f>IF(logistics_data[[#This Row],[Delivery_Date]]="","In Transit",
 IF(logistics_data[[#This Row],[Status]]="Lost","Lost",
 IF(logistics_data[[#This Row],[Status]]="Returned","Returned",
 IF(logistics_data[[#This Row],[Status]]="Delayed","Delayed",
 "Delivered"))))</f>
        <v>Delivered</v>
      </c>
      <c r="M1947" s="2">
        <f>logistics_data[[#This Row],[Cost]]/logistics_data[[#This Row],[Distance_miles]]</f>
        <v>0.11976054732041048</v>
      </c>
      <c r="N1947" t="str">
        <f>IF(logistics_data[[#This Row],[Orginal staus of shipment]]&lt;&gt;"Delivered","not applicabel", IF(logistics_data[[#This Row],[Transit_Days]]&gt;=5,"slow","fast"))</f>
        <v>fast</v>
      </c>
    </row>
    <row r="1948" spans="1:14" x14ac:dyDescent="0.3">
      <c r="A1948" t="s">
        <v>1994</v>
      </c>
      <c r="B1948" t="s">
        <v>51</v>
      </c>
      <c r="C1948" t="s">
        <v>21</v>
      </c>
      <c r="D1948" t="s">
        <v>25</v>
      </c>
      <c r="E1948" s="1">
        <v>45179</v>
      </c>
      <c r="F1948" s="1">
        <v>45182</v>
      </c>
      <c r="G1948">
        <v>17.5</v>
      </c>
      <c r="H1948">
        <v>138.84</v>
      </c>
      <c r="I1948" t="s">
        <v>62</v>
      </c>
      <c r="J1948">
        <v>956</v>
      </c>
      <c r="K1948">
        <v>3</v>
      </c>
      <c r="L1948" t="str">
        <f>IF(logistics_data[[#This Row],[Delivery_Date]]="","In Transit",
 IF(logistics_data[[#This Row],[Status]]="Lost","Lost",
 IF(logistics_data[[#This Row],[Status]]="Returned","Returned",
 IF(logistics_data[[#This Row],[Status]]="Delayed","Delayed",
 "Delivered"))))</f>
        <v>Delivered</v>
      </c>
      <c r="M1948" s="2">
        <f>logistics_data[[#This Row],[Cost]]/logistics_data[[#This Row],[Distance_miles]]</f>
        <v>0.14523012552301257</v>
      </c>
      <c r="N1948" t="str">
        <f>IF(logistics_data[[#This Row],[Orginal staus of shipment]]&lt;&gt;"Delivered","not applicabel", IF(logistics_data[[#This Row],[Transit_Days]]&gt;=5,"slow","fast"))</f>
        <v>fast</v>
      </c>
    </row>
    <row r="1949" spans="1:14" x14ac:dyDescent="0.3">
      <c r="A1949" t="s">
        <v>1995</v>
      </c>
      <c r="B1949" t="s">
        <v>56</v>
      </c>
      <c r="C1949" t="s">
        <v>70</v>
      </c>
      <c r="D1949" t="s">
        <v>59</v>
      </c>
      <c r="E1949" s="1">
        <v>45134</v>
      </c>
      <c r="F1949" s="1">
        <v>45140</v>
      </c>
      <c r="G1949">
        <v>22.8</v>
      </c>
      <c r="H1949">
        <v>287.52</v>
      </c>
      <c r="I1949" t="s">
        <v>15</v>
      </c>
      <c r="J1949">
        <v>2114</v>
      </c>
      <c r="K1949">
        <v>6</v>
      </c>
      <c r="L1949" t="str">
        <f>IF(logistics_data[[#This Row],[Delivery_Date]]="","In Transit",
 IF(logistics_data[[#This Row],[Status]]="Lost","Lost",
 IF(logistics_data[[#This Row],[Status]]="Returned","Returned",
 IF(logistics_data[[#This Row],[Status]]="Delayed","Delayed",
 "Delivered"))))</f>
        <v>Delivered</v>
      </c>
      <c r="M1949" s="2">
        <f>logistics_data[[#This Row],[Cost]]/logistics_data[[#This Row],[Distance_miles]]</f>
        <v>0.13600756859035004</v>
      </c>
      <c r="N1949" t="str">
        <f>IF(logistics_data[[#This Row],[Orginal staus of shipment]]&lt;&gt;"Delivered","not applicabel", IF(logistics_data[[#This Row],[Transit_Days]]&gt;=5,"slow","fast"))</f>
        <v>slow</v>
      </c>
    </row>
    <row r="1950" spans="1:14" x14ac:dyDescent="0.3">
      <c r="A1950" t="s">
        <v>1996</v>
      </c>
      <c r="B1950" t="s">
        <v>56</v>
      </c>
      <c r="C1950" t="s">
        <v>36</v>
      </c>
      <c r="D1950" t="s">
        <v>42</v>
      </c>
      <c r="E1950" s="1">
        <v>45182</v>
      </c>
      <c r="F1950" s="1">
        <v>45185</v>
      </c>
      <c r="G1950">
        <v>10.1</v>
      </c>
      <c r="H1950">
        <v>138.88999999999999</v>
      </c>
      <c r="I1950" t="s">
        <v>15</v>
      </c>
      <c r="J1950">
        <v>1084</v>
      </c>
      <c r="K1950">
        <v>3</v>
      </c>
      <c r="L1950" t="str">
        <f>IF(logistics_data[[#This Row],[Delivery_Date]]="","In Transit",
 IF(logistics_data[[#This Row],[Status]]="Lost","Lost",
 IF(logistics_data[[#This Row],[Status]]="Returned","Returned",
 IF(logistics_data[[#This Row],[Status]]="Delayed","Delayed",
 "Delivered"))))</f>
        <v>Delivered</v>
      </c>
      <c r="M1950" s="2">
        <f>logistics_data[[#This Row],[Cost]]/logistics_data[[#This Row],[Distance_miles]]</f>
        <v>0.12812730627306271</v>
      </c>
      <c r="N1950" t="str">
        <f>IF(logistics_data[[#This Row],[Orginal staus of shipment]]&lt;&gt;"Delivered","not applicabel", IF(logistics_data[[#This Row],[Transit_Days]]&gt;=5,"slow","fast"))</f>
        <v>fast</v>
      </c>
    </row>
    <row r="1951" spans="1:14" x14ac:dyDescent="0.3">
      <c r="A1951" t="s">
        <v>1997</v>
      </c>
      <c r="B1951" t="s">
        <v>39</v>
      </c>
      <c r="C1951" t="s">
        <v>21</v>
      </c>
      <c r="D1951" t="s">
        <v>25</v>
      </c>
      <c r="E1951" s="1">
        <v>45038</v>
      </c>
      <c r="F1951" s="1">
        <v>45042</v>
      </c>
      <c r="G1951">
        <v>22.6</v>
      </c>
      <c r="H1951">
        <v>208.71</v>
      </c>
      <c r="I1951" t="s">
        <v>15</v>
      </c>
      <c r="J1951">
        <v>1375</v>
      </c>
      <c r="K1951">
        <v>4</v>
      </c>
      <c r="L1951" t="str">
        <f>IF(logistics_data[[#This Row],[Delivery_Date]]="","In Transit",
 IF(logistics_data[[#This Row],[Status]]="Lost","Lost",
 IF(logistics_data[[#This Row],[Status]]="Returned","Returned",
 IF(logistics_data[[#This Row],[Status]]="Delayed","Delayed",
 "Delivered"))))</f>
        <v>Delivered</v>
      </c>
      <c r="M1951" s="2">
        <f>logistics_data[[#This Row],[Cost]]/logistics_data[[#This Row],[Distance_miles]]</f>
        <v>0.1517890909090909</v>
      </c>
      <c r="N1951" t="str">
        <f>IF(logistics_data[[#This Row],[Orginal staus of shipment]]&lt;&gt;"Delivered","not applicabel", IF(logistics_data[[#This Row],[Transit_Days]]&gt;=5,"slow","fast"))</f>
        <v>fast</v>
      </c>
    </row>
    <row r="1952" spans="1:14" x14ac:dyDescent="0.3">
      <c r="A1952" t="s">
        <v>1998</v>
      </c>
      <c r="B1952" t="s">
        <v>39</v>
      </c>
      <c r="C1952" t="s">
        <v>81</v>
      </c>
      <c r="D1952" t="s">
        <v>14</v>
      </c>
      <c r="E1952" s="1">
        <v>45093</v>
      </c>
      <c r="F1952" s="1">
        <v>45096</v>
      </c>
      <c r="G1952">
        <v>6.9</v>
      </c>
      <c r="H1952">
        <v>133.01</v>
      </c>
      <c r="I1952" t="s">
        <v>15</v>
      </c>
      <c r="J1952">
        <v>1030</v>
      </c>
      <c r="K1952">
        <v>3</v>
      </c>
      <c r="L1952" t="str">
        <f>IF(logistics_data[[#This Row],[Delivery_Date]]="","In Transit",
 IF(logistics_data[[#This Row],[Status]]="Lost","Lost",
 IF(logistics_data[[#This Row],[Status]]="Returned","Returned",
 IF(logistics_data[[#This Row],[Status]]="Delayed","Delayed",
 "Delivered"))))</f>
        <v>Delivered</v>
      </c>
      <c r="M1952" s="2">
        <f>logistics_data[[#This Row],[Cost]]/logistics_data[[#This Row],[Distance_miles]]</f>
        <v>0.12913592233009707</v>
      </c>
      <c r="N1952" t="str">
        <f>IF(logistics_data[[#This Row],[Orginal staus of shipment]]&lt;&gt;"Delivered","not applicabel", IF(logistics_data[[#This Row],[Transit_Days]]&gt;=5,"slow","fast"))</f>
        <v>fast</v>
      </c>
    </row>
    <row r="1953" spans="1:14" x14ac:dyDescent="0.3">
      <c r="A1953" t="s">
        <v>1999</v>
      </c>
      <c r="B1953" t="s">
        <v>35</v>
      </c>
      <c r="C1953" t="s">
        <v>70</v>
      </c>
      <c r="D1953" t="s">
        <v>18</v>
      </c>
      <c r="E1953" s="1">
        <v>45279</v>
      </c>
      <c r="F1953" s="1">
        <v>45281</v>
      </c>
      <c r="G1953">
        <v>10.1</v>
      </c>
      <c r="H1953">
        <v>42.45</v>
      </c>
      <c r="I1953" t="s">
        <v>15</v>
      </c>
      <c r="J1953">
        <v>169</v>
      </c>
      <c r="K1953">
        <v>2</v>
      </c>
      <c r="L1953" t="str">
        <f>IF(logistics_data[[#This Row],[Delivery_Date]]="","In Transit",
 IF(logistics_data[[#This Row],[Status]]="Lost","Lost",
 IF(logistics_data[[#This Row],[Status]]="Returned","Returned",
 IF(logistics_data[[#This Row],[Status]]="Delayed","Delayed",
 "Delivered"))))</f>
        <v>Delivered</v>
      </c>
      <c r="M1953" s="2">
        <f>logistics_data[[#This Row],[Cost]]/logistics_data[[#This Row],[Distance_miles]]</f>
        <v>0.25118343195266274</v>
      </c>
      <c r="N1953" t="str">
        <f>IF(logistics_data[[#This Row],[Orginal staus of shipment]]&lt;&gt;"Delivered","not applicabel", IF(logistics_data[[#This Row],[Transit_Days]]&gt;=5,"slow","fast"))</f>
        <v>fast</v>
      </c>
    </row>
    <row r="1954" spans="1:14" x14ac:dyDescent="0.3">
      <c r="A1954" t="s">
        <v>2000</v>
      </c>
      <c r="B1954" t="s">
        <v>35</v>
      </c>
      <c r="C1954" t="s">
        <v>31</v>
      </c>
      <c r="D1954" t="s">
        <v>59</v>
      </c>
      <c r="E1954" s="1">
        <v>44985</v>
      </c>
      <c r="F1954" s="1">
        <v>44988</v>
      </c>
      <c r="G1954">
        <v>39</v>
      </c>
      <c r="H1954">
        <v>112.83</v>
      </c>
      <c r="I1954" t="s">
        <v>15</v>
      </c>
      <c r="J1954">
        <v>706</v>
      </c>
      <c r="K1954">
        <v>3</v>
      </c>
      <c r="L1954" t="str">
        <f>IF(logistics_data[[#This Row],[Delivery_Date]]="","In Transit",
 IF(logistics_data[[#This Row],[Status]]="Lost","Lost",
 IF(logistics_data[[#This Row],[Status]]="Returned","Returned",
 IF(logistics_data[[#This Row],[Status]]="Delayed","Delayed",
 "Delivered"))))</f>
        <v>Delivered</v>
      </c>
      <c r="M1954" s="2">
        <f>logistics_data[[#This Row],[Cost]]/logistics_data[[#This Row],[Distance_miles]]</f>
        <v>0.15981586402266287</v>
      </c>
      <c r="N1954" t="str">
        <f>IF(logistics_data[[#This Row],[Orginal staus of shipment]]&lt;&gt;"Delivered","not applicabel", IF(logistics_data[[#This Row],[Transit_Days]]&gt;=5,"slow","fast"))</f>
        <v>fast</v>
      </c>
    </row>
    <row r="1955" spans="1:14" x14ac:dyDescent="0.3">
      <c r="A1955" t="s">
        <v>2001</v>
      </c>
      <c r="B1955" t="s">
        <v>23</v>
      </c>
      <c r="C1955" t="s">
        <v>70</v>
      </c>
      <c r="D1955" t="s">
        <v>25</v>
      </c>
      <c r="E1955" s="1">
        <v>44975</v>
      </c>
      <c r="F1955" s="1">
        <v>44978</v>
      </c>
      <c r="G1955">
        <v>30</v>
      </c>
      <c r="H1955">
        <v>143.34</v>
      </c>
      <c r="I1955" t="s">
        <v>15</v>
      </c>
      <c r="J1955">
        <v>985</v>
      </c>
      <c r="K1955">
        <v>3</v>
      </c>
      <c r="L1955" t="str">
        <f>IF(logistics_data[[#This Row],[Delivery_Date]]="","In Transit",
 IF(logistics_data[[#This Row],[Status]]="Lost","Lost",
 IF(logistics_data[[#This Row],[Status]]="Returned","Returned",
 IF(logistics_data[[#This Row],[Status]]="Delayed","Delayed",
 "Delivered"))))</f>
        <v>Delivered</v>
      </c>
      <c r="M1955" s="2">
        <f>logistics_data[[#This Row],[Cost]]/logistics_data[[#This Row],[Distance_miles]]</f>
        <v>0.14552284263959392</v>
      </c>
      <c r="N1955" t="str">
        <f>IF(logistics_data[[#This Row],[Orginal staus of shipment]]&lt;&gt;"Delivered","not applicabel", IF(logistics_data[[#This Row],[Transit_Days]]&gt;=5,"slow","fast"))</f>
        <v>fast</v>
      </c>
    </row>
    <row r="1956" spans="1:14" x14ac:dyDescent="0.3">
      <c r="A1956" t="s">
        <v>2002</v>
      </c>
      <c r="B1956" t="s">
        <v>56</v>
      </c>
      <c r="C1956" t="s">
        <v>81</v>
      </c>
      <c r="D1956" t="s">
        <v>32</v>
      </c>
      <c r="E1956" s="1">
        <v>45086</v>
      </c>
      <c r="F1956" s="1">
        <v>45089</v>
      </c>
      <c r="G1956">
        <v>24</v>
      </c>
      <c r="H1956">
        <v>103.6</v>
      </c>
      <c r="I1956" t="s">
        <v>47</v>
      </c>
      <c r="J1956">
        <v>506</v>
      </c>
      <c r="K1956">
        <v>2</v>
      </c>
      <c r="L1956" t="str">
        <f>IF(logistics_data[[#This Row],[Delivery_Date]]="","In Transit",
 IF(logistics_data[[#This Row],[Status]]="Lost","Lost",
 IF(logistics_data[[#This Row],[Status]]="Returned","Returned",
 IF(logistics_data[[#This Row],[Status]]="Delayed","Delayed",
 "Delivered"))))</f>
        <v>Delayed</v>
      </c>
      <c r="M1956" s="2">
        <f>logistics_data[[#This Row],[Cost]]/logistics_data[[#This Row],[Distance_miles]]</f>
        <v>0.20474308300395255</v>
      </c>
      <c r="N1956" t="str">
        <f>IF(logistics_data[[#This Row],[Orginal staus of shipment]]&lt;&gt;"Delivered","not applicabel", IF(logistics_data[[#This Row],[Transit_Days]]&gt;=5,"slow","fast"))</f>
        <v>not applicabel</v>
      </c>
    </row>
    <row r="1957" spans="1:14" x14ac:dyDescent="0.3">
      <c r="A1957" t="s">
        <v>2003</v>
      </c>
      <c r="B1957" t="s">
        <v>23</v>
      </c>
      <c r="C1957" t="s">
        <v>17</v>
      </c>
      <c r="D1957" t="s">
        <v>14</v>
      </c>
      <c r="E1957" s="1">
        <v>44992</v>
      </c>
      <c r="F1957" s="1">
        <v>44996</v>
      </c>
      <c r="G1957">
        <v>47.5</v>
      </c>
      <c r="H1957">
        <v>127.02</v>
      </c>
      <c r="I1957" t="s">
        <v>15</v>
      </c>
      <c r="J1957">
        <v>545</v>
      </c>
      <c r="K1957">
        <v>4</v>
      </c>
      <c r="L1957" t="str">
        <f>IF(logistics_data[[#This Row],[Delivery_Date]]="","In Transit",
 IF(logistics_data[[#This Row],[Status]]="Lost","Lost",
 IF(logistics_data[[#This Row],[Status]]="Returned","Returned",
 IF(logistics_data[[#This Row],[Status]]="Delayed","Delayed",
 "Delivered"))))</f>
        <v>Delivered</v>
      </c>
      <c r="M1957" s="2">
        <f>logistics_data[[#This Row],[Cost]]/logistics_data[[#This Row],[Distance_miles]]</f>
        <v>0.23306422018348624</v>
      </c>
      <c r="N1957" t="str">
        <f>IF(logistics_data[[#This Row],[Orginal staus of shipment]]&lt;&gt;"Delivered","not applicabel", IF(logistics_data[[#This Row],[Transit_Days]]&gt;=5,"slow","fast"))</f>
        <v>fast</v>
      </c>
    </row>
    <row r="1958" spans="1:14" x14ac:dyDescent="0.3">
      <c r="A1958" t="s">
        <v>2004</v>
      </c>
      <c r="B1958" t="s">
        <v>56</v>
      </c>
      <c r="C1958" t="s">
        <v>28</v>
      </c>
      <c r="D1958" t="s">
        <v>32</v>
      </c>
      <c r="E1958" s="1">
        <v>44951</v>
      </c>
      <c r="F1958" s="1">
        <v>44954</v>
      </c>
      <c r="G1958">
        <v>26.5</v>
      </c>
      <c r="H1958">
        <v>181.68</v>
      </c>
      <c r="I1958" t="s">
        <v>15</v>
      </c>
      <c r="J1958">
        <v>1116</v>
      </c>
      <c r="K1958">
        <v>3</v>
      </c>
      <c r="L1958" t="str">
        <f>IF(logistics_data[[#This Row],[Delivery_Date]]="","In Transit",
 IF(logistics_data[[#This Row],[Status]]="Lost","Lost",
 IF(logistics_data[[#This Row],[Status]]="Returned","Returned",
 IF(logistics_data[[#This Row],[Status]]="Delayed","Delayed",
 "Delivered"))))</f>
        <v>Delivered</v>
      </c>
      <c r="M1958" s="2">
        <f>logistics_data[[#This Row],[Cost]]/logistics_data[[#This Row],[Distance_miles]]</f>
        <v>0.1627956989247312</v>
      </c>
      <c r="N1958" t="str">
        <f>IF(logistics_data[[#This Row],[Orginal staus of shipment]]&lt;&gt;"Delivered","not applicabel", IF(logistics_data[[#This Row],[Transit_Days]]&gt;=5,"slow","fast"))</f>
        <v>fast</v>
      </c>
    </row>
    <row r="1959" spans="1:14" x14ac:dyDescent="0.3">
      <c r="A1959" t="s">
        <v>2005</v>
      </c>
      <c r="B1959" t="s">
        <v>12</v>
      </c>
      <c r="C1959" t="s">
        <v>44</v>
      </c>
      <c r="D1959" t="s">
        <v>18</v>
      </c>
      <c r="E1959" s="1">
        <v>44982</v>
      </c>
      <c r="F1959" s="1">
        <v>44985</v>
      </c>
      <c r="G1959">
        <v>9.8000000000000007</v>
      </c>
      <c r="H1959">
        <v>157.80000000000001</v>
      </c>
      <c r="I1959" t="s">
        <v>15</v>
      </c>
      <c r="J1959">
        <v>992</v>
      </c>
      <c r="K1959">
        <v>3</v>
      </c>
      <c r="L1959" t="str">
        <f>IF(logistics_data[[#This Row],[Delivery_Date]]="","In Transit",
 IF(logistics_data[[#This Row],[Status]]="Lost","Lost",
 IF(logistics_data[[#This Row],[Status]]="Returned","Returned",
 IF(logistics_data[[#This Row],[Status]]="Delayed","Delayed",
 "Delivered"))))</f>
        <v>Delivered</v>
      </c>
      <c r="M1959" s="2">
        <f>logistics_data[[#This Row],[Cost]]/logistics_data[[#This Row],[Distance_miles]]</f>
        <v>0.1590725806451613</v>
      </c>
      <c r="N1959" t="str">
        <f>IF(logistics_data[[#This Row],[Orginal staus of shipment]]&lt;&gt;"Delivered","not applicabel", IF(logistics_data[[#This Row],[Transit_Days]]&gt;=5,"slow","fast"))</f>
        <v>fast</v>
      </c>
    </row>
    <row r="1960" spans="1:14" x14ac:dyDescent="0.3">
      <c r="A1960" t="s">
        <v>2006</v>
      </c>
      <c r="B1960" t="s">
        <v>56</v>
      </c>
      <c r="C1960" t="s">
        <v>46</v>
      </c>
      <c r="D1960" t="s">
        <v>59</v>
      </c>
      <c r="E1960" s="1">
        <v>45146</v>
      </c>
      <c r="F1960" s="1">
        <v>45152</v>
      </c>
      <c r="G1960">
        <v>23.4</v>
      </c>
      <c r="H1960">
        <v>226.29</v>
      </c>
      <c r="I1960" t="s">
        <v>62</v>
      </c>
      <c r="J1960">
        <v>1921</v>
      </c>
      <c r="K1960">
        <v>6</v>
      </c>
      <c r="L1960" t="str">
        <f>IF(logistics_data[[#This Row],[Delivery_Date]]="","In Transit",
 IF(logistics_data[[#This Row],[Status]]="Lost","Lost",
 IF(logistics_data[[#This Row],[Status]]="Returned","Returned",
 IF(logistics_data[[#This Row],[Status]]="Delayed","Delayed",
 "Delivered"))))</f>
        <v>Delivered</v>
      </c>
      <c r="M1960" s="2">
        <f>logistics_data[[#This Row],[Cost]]/logistics_data[[#This Row],[Distance_miles]]</f>
        <v>0.1177980218636127</v>
      </c>
      <c r="N1960" t="str">
        <f>IF(logistics_data[[#This Row],[Orginal staus of shipment]]&lt;&gt;"Delivered","not applicabel", IF(logistics_data[[#This Row],[Transit_Days]]&gt;=5,"slow","fast"))</f>
        <v>slow</v>
      </c>
    </row>
    <row r="1961" spans="1:14" x14ac:dyDescent="0.3">
      <c r="A1961" t="s">
        <v>2007</v>
      </c>
      <c r="B1961" t="s">
        <v>49</v>
      </c>
      <c r="C1961" t="s">
        <v>31</v>
      </c>
      <c r="D1961" t="s">
        <v>59</v>
      </c>
      <c r="E1961" s="1">
        <v>44951</v>
      </c>
      <c r="F1961" s="1">
        <v>44952</v>
      </c>
      <c r="G1961">
        <v>6.1</v>
      </c>
      <c r="H1961">
        <v>38.31</v>
      </c>
      <c r="I1961" t="s">
        <v>15</v>
      </c>
      <c r="J1961">
        <v>247</v>
      </c>
      <c r="K1961">
        <v>1</v>
      </c>
      <c r="L1961" t="str">
        <f>IF(logistics_data[[#This Row],[Delivery_Date]]="","In Transit",
 IF(logistics_data[[#This Row],[Status]]="Lost","Lost",
 IF(logistics_data[[#This Row],[Status]]="Returned","Returned",
 IF(logistics_data[[#This Row],[Status]]="Delayed","Delayed",
 "Delivered"))))</f>
        <v>Delivered</v>
      </c>
      <c r="M1961" s="2">
        <f>logistics_data[[#This Row],[Cost]]/logistics_data[[#This Row],[Distance_miles]]</f>
        <v>0.15510121457489878</v>
      </c>
      <c r="N1961" t="str">
        <f>IF(logistics_data[[#This Row],[Orginal staus of shipment]]&lt;&gt;"Delivered","not applicabel", IF(logistics_data[[#This Row],[Transit_Days]]&gt;=5,"slow","fast"))</f>
        <v>fast</v>
      </c>
    </row>
    <row r="1962" spans="1:14" x14ac:dyDescent="0.3">
      <c r="A1962" t="s">
        <v>2008</v>
      </c>
      <c r="B1962" t="s">
        <v>12</v>
      </c>
      <c r="C1962" t="s">
        <v>46</v>
      </c>
      <c r="D1962" t="s">
        <v>32</v>
      </c>
      <c r="E1962" s="1">
        <v>45219</v>
      </c>
      <c r="F1962" s="1">
        <v>45224</v>
      </c>
      <c r="G1962">
        <v>12.9</v>
      </c>
      <c r="H1962">
        <v>245.79</v>
      </c>
      <c r="I1962" t="s">
        <v>15</v>
      </c>
      <c r="J1962">
        <v>1734</v>
      </c>
      <c r="K1962">
        <v>5</v>
      </c>
      <c r="L1962" t="str">
        <f>IF(logistics_data[[#This Row],[Delivery_Date]]="","In Transit",
 IF(logistics_data[[#This Row],[Status]]="Lost","Lost",
 IF(logistics_data[[#This Row],[Status]]="Returned","Returned",
 IF(logistics_data[[#This Row],[Status]]="Delayed","Delayed",
 "Delivered"))))</f>
        <v>Delivered</v>
      </c>
      <c r="M1962" s="2">
        <f>logistics_data[[#This Row],[Cost]]/logistics_data[[#This Row],[Distance_miles]]</f>
        <v>0.14174740484429066</v>
      </c>
      <c r="N1962" t="str">
        <f>IF(logistics_data[[#This Row],[Orginal staus of shipment]]&lt;&gt;"Delivered","not applicabel", IF(logistics_data[[#This Row],[Transit_Days]]&gt;=5,"slow","fast"))</f>
        <v>slow</v>
      </c>
    </row>
    <row r="1963" spans="1:14" x14ac:dyDescent="0.3">
      <c r="A1963" t="s">
        <v>2009</v>
      </c>
      <c r="B1963" t="s">
        <v>49</v>
      </c>
      <c r="C1963" t="s">
        <v>44</v>
      </c>
      <c r="D1963" t="s">
        <v>14</v>
      </c>
      <c r="E1963" s="1">
        <v>45200</v>
      </c>
      <c r="F1963" s="1">
        <v>45204</v>
      </c>
      <c r="G1963">
        <v>25.7</v>
      </c>
      <c r="H1963">
        <v>208.58</v>
      </c>
      <c r="I1963" t="s">
        <v>15</v>
      </c>
      <c r="J1963">
        <v>1515</v>
      </c>
      <c r="K1963">
        <v>4</v>
      </c>
      <c r="L1963" t="str">
        <f>IF(logistics_data[[#This Row],[Delivery_Date]]="","In Transit",
 IF(logistics_data[[#This Row],[Status]]="Lost","Lost",
 IF(logistics_data[[#This Row],[Status]]="Returned","Returned",
 IF(logistics_data[[#This Row],[Status]]="Delayed","Delayed",
 "Delivered"))))</f>
        <v>Delivered</v>
      </c>
      <c r="M1963" s="2">
        <f>logistics_data[[#This Row],[Cost]]/logistics_data[[#This Row],[Distance_miles]]</f>
        <v>0.1376765676567657</v>
      </c>
      <c r="N1963" t="str">
        <f>IF(logistics_data[[#This Row],[Orginal staus of shipment]]&lt;&gt;"Delivered","not applicabel", IF(logistics_data[[#This Row],[Transit_Days]]&gt;=5,"slow","fast"))</f>
        <v>fast</v>
      </c>
    </row>
    <row r="1964" spans="1:14" x14ac:dyDescent="0.3">
      <c r="A1964" t="s">
        <v>2010</v>
      </c>
      <c r="B1964" t="s">
        <v>20</v>
      </c>
      <c r="C1964" t="s">
        <v>52</v>
      </c>
      <c r="D1964" t="s">
        <v>14</v>
      </c>
      <c r="E1964" s="1">
        <v>45044</v>
      </c>
      <c r="F1964" s="1">
        <v>45053</v>
      </c>
      <c r="G1964">
        <v>10.9</v>
      </c>
      <c r="H1964">
        <v>66.58</v>
      </c>
      <c r="I1964" t="s">
        <v>47</v>
      </c>
      <c r="J1964">
        <v>373</v>
      </c>
      <c r="K1964">
        <v>4</v>
      </c>
      <c r="L1964" t="str">
        <f>IF(logistics_data[[#This Row],[Delivery_Date]]="","In Transit",
 IF(logistics_data[[#This Row],[Status]]="Lost","Lost",
 IF(logistics_data[[#This Row],[Status]]="Returned","Returned",
 IF(logistics_data[[#This Row],[Status]]="Delayed","Delayed",
 "Delivered"))))</f>
        <v>Delayed</v>
      </c>
      <c r="M1964" s="2">
        <f>logistics_data[[#This Row],[Cost]]/logistics_data[[#This Row],[Distance_miles]]</f>
        <v>0.17849865951742627</v>
      </c>
      <c r="N1964" t="str">
        <f>IF(logistics_data[[#This Row],[Orginal staus of shipment]]&lt;&gt;"Delivered","not applicabel", IF(logistics_data[[#This Row],[Transit_Days]]&gt;=5,"slow","fast"))</f>
        <v>not applicabel</v>
      </c>
    </row>
    <row r="1965" spans="1:14" x14ac:dyDescent="0.3">
      <c r="A1965" t="s">
        <v>2011</v>
      </c>
      <c r="B1965" t="s">
        <v>12</v>
      </c>
      <c r="C1965" t="s">
        <v>13</v>
      </c>
      <c r="D1965" t="s">
        <v>42</v>
      </c>
      <c r="E1965" s="1">
        <v>45251</v>
      </c>
      <c r="F1965" s="1">
        <v>45257</v>
      </c>
      <c r="G1965">
        <v>31.5</v>
      </c>
      <c r="H1965">
        <v>320.88</v>
      </c>
      <c r="I1965" t="s">
        <v>15</v>
      </c>
      <c r="J1965">
        <v>1900</v>
      </c>
      <c r="K1965">
        <v>6</v>
      </c>
      <c r="L1965" t="str">
        <f>IF(logistics_data[[#This Row],[Delivery_Date]]="","In Transit",
 IF(logistics_data[[#This Row],[Status]]="Lost","Lost",
 IF(logistics_data[[#This Row],[Status]]="Returned","Returned",
 IF(logistics_data[[#This Row],[Status]]="Delayed","Delayed",
 "Delivered"))))</f>
        <v>Delivered</v>
      </c>
      <c r="M1965" s="2">
        <f>logistics_data[[#This Row],[Cost]]/logistics_data[[#This Row],[Distance_miles]]</f>
        <v>0.16888421052631578</v>
      </c>
      <c r="N1965" t="str">
        <f>IF(logistics_data[[#This Row],[Orginal staus of shipment]]&lt;&gt;"Delivered","not applicabel", IF(logistics_data[[#This Row],[Transit_Days]]&gt;=5,"slow","fast"))</f>
        <v>slow</v>
      </c>
    </row>
    <row r="1966" spans="1:14" x14ac:dyDescent="0.3">
      <c r="A1966" t="s">
        <v>2012</v>
      </c>
      <c r="B1966" t="s">
        <v>39</v>
      </c>
      <c r="C1966" t="s">
        <v>70</v>
      </c>
      <c r="D1966" t="s">
        <v>14</v>
      </c>
      <c r="E1966" s="1">
        <v>45176</v>
      </c>
      <c r="F1966" s="1">
        <v>45184</v>
      </c>
      <c r="G1966">
        <v>36.700000000000003</v>
      </c>
      <c r="H1966">
        <v>314.18</v>
      </c>
      <c r="I1966" t="s">
        <v>15</v>
      </c>
      <c r="J1966">
        <v>2317</v>
      </c>
      <c r="K1966">
        <v>8</v>
      </c>
      <c r="L1966" t="str">
        <f>IF(logistics_data[[#This Row],[Delivery_Date]]="","In Transit",
 IF(logistics_data[[#This Row],[Status]]="Lost","Lost",
 IF(logistics_data[[#This Row],[Status]]="Returned","Returned",
 IF(logistics_data[[#This Row],[Status]]="Delayed","Delayed",
 "Delivered"))))</f>
        <v>Delivered</v>
      </c>
      <c r="M1966" s="2">
        <f>logistics_data[[#This Row],[Cost]]/logistics_data[[#This Row],[Distance_miles]]</f>
        <v>0.13559775571860164</v>
      </c>
      <c r="N1966" t="str">
        <f>IF(logistics_data[[#This Row],[Orginal staus of shipment]]&lt;&gt;"Delivered","not applicabel", IF(logistics_data[[#This Row],[Transit_Days]]&gt;=5,"slow","fast"))</f>
        <v>slow</v>
      </c>
    </row>
    <row r="1967" spans="1:14" x14ac:dyDescent="0.3">
      <c r="A1967" t="s">
        <v>2013</v>
      </c>
      <c r="B1967" t="s">
        <v>35</v>
      </c>
      <c r="C1967" t="s">
        <v>21</v>
      </c>
      <c r="D1967" t="s">
        <v>59</v>
      </c>
      <c r="E1967" s="1">
        <v>44929</v>
      </c>
      <c r="F1967" s="1">
        <v>44936</v>
      </c>
      <c r="G1967">
        <v>19.2</v>
      </c>
      <c r="H1967">
        <v>300.32</v>
      </c>
      <c r="I1967" t="s">
        <v>15</v>
      </c>
      <c r="J1967">
        <v>2300</v>
      </c>
      <c r="K1967">
        <v>7</v>
      </c>
      <c r="L1967" t="str">
        <f>IF(logistics_data[[#This Row],[Delivery_Date]]="","In Transit",
 IF(logistics_data[[#This Row],[Status]]="Lost","Lost",
 IF(logistics_data[[#This Row],[Status]]="Returned","Returned",
 IF(logistics_data[[#This Row],[Status]]="Delayed","Delayed",
 "Delivered"))))</f>
        <v>Delivered</v>
      </c>
      <c r="M1967" s="2">
        <f>logistics_data[[#This Row],[Cost]]/logistics_data[[#This Row],[Distance_miles]]</f>
        <v>0.13057391304347826</v>
      </c>
      <c r="N1967" t="str">
        <f>IF(logistics_data[[#This Row],[Orginal staus of shipment]]&lt;&gt;"Delivered","not applicabel", IF(logistics_data[[#This Row],[Transit_Days]]&gt;=5,"slow","fast"))</f>
        <v>slow</v>
      </c>
    </row>
    <row r="1968" spans="1:14" x14ac:dyDescent="0.3">
      <c r="A1968" t="s">
        <v>2014</v>
      </c>
      <c r="B1968" t="s">
        <v>39</v>
      </c>
      <c r="C1968" t="s">
        <v>28</v>
      </c>
      <c r="D1968" t="s">
        <v>14</v>
      </c>
      <c r="E1968" s="1">
        <v>44962</v>
      </c>
      <c r="F1968" s="1">
        <v>44968</v>
      </c>
      <c r="G1968">
        <v>53.9</v>
      </c>
      <c r="H1968">
        <v>377.64</v>
      </c>
      <c r="I1968" t="s">
        <v>15</v>
      </c>
      <c r="J1968">
        <v>2226</v>
      </c>
      <c r="K1968">
        <v>6</v>
      </c>
      <c r="L1968" t="str">
        <f>IF(logistics_data[[#This Row],[Delivery_Date]]="","In Transit",
 IF(logistics_data[[#This Row],[Status]]="Lost","Lost",
 IF(logistics_data[[#This Row],[Status]]="Returned","Returned",
 IF(logistics_data[[#This Row],[Status]]="Delayed","Delayed",
 "Delivered"))))</f>
        <v>Delivered</v>
      </c>
      <c r="M1968" s="2">
        <f>logistics_data[[#This Row],[Cost]]/logistics_data[[#This Row],[Distance_miles]]</f>
        <v>0.16964959568733154</v>
      </c>
      <c r="N1968" t="str">
        <f>IF(logistics_data[[#This Row],[Orginal staus of shipment]]&lt;&gt;"Delivered","not applicabel", IF(logistics_data[[#This Row],[Transit_Days]]&gt;=5,"slow","fast"))</f>
        <v>slow</v>
      </c>
    </row>
    <row r="1969" spans="1:14" x14ac:dyDescent="0.3">
      <c r="A1969" t="s">
        <v>2015</v>
      </c>
      <c r="B1969" t="s">
        <v>49</v>
      </c>
      <c r="C1969" t="s">
        <v>81</v>
      </c>
      <c r="D1969" t="s">
        <v>42</v>
      </c>
      <c r="E1969" s="1">
        <v>45001</v>
      </c>
      <c r="F1969" s="1">
        <v>45006</v>
      </c>
      <c r="G1969">
        <v>39.4</v>
      </c>
      <c r="H1969">
        <v>149.04</v>
      </c>
      <c r="I1969" t="s">
        <v>15</v>
      </c>
      <c r="J1969">
        <v>826</v>
      </c>
      <c r="K1969">
        <v>5</v>
      </c>
      <c r="L1969" t="str">
        <f>IF(logistics_data[[#This Row],[Delivery_Date]]="","In Transit",
 IF(logistics_data[[#This Row],[Status]]="Lost","Lost",
 IF(logistics_data[[#This Row],[Status]]="Returned","Returned",
 IF(logistics_data[[#This Row],[Status]]="Delayed","Delayed",
 "Delivered"))))</f>
        <v>Delivered</v>
      </c>
      <c r="M1969" s="2">
        <f>logistics_data[[#This Row],[Cost]]/logistics_data[[#This Row],[Distance_miles]]</f>
        <v>0.18043583535108959</v>
      </c>
      <c r="N1969" t="str">
        <f>IF(logistics_data[[#This Row],[Orginal staus of shipment]]&lt;&gt;"Delivered","not applicabel", IF(logistics_data[[#This Row],[Transit_Days]]&gt;=5,"slow","fast"))</f>
        <v>slow</v>
      </c>
    </row>
    <row r="1970" spans="1:14" x14ac:dyDescent="0.3">
      <c r="A1970" t="s">
        <v>2016</v>
      </c>
      <c r="B1970" t="s">
        <v>51</v>
      </c>
      <c r="C1970" t="s">
        <v>24</v>
      </c>
      <c r="D1970" t="s">
        <v>42</v>
      </c>
      <c r="E1970" s="1">
        <v>44953</v>
      </c>
      <c r="F1970" s="1">
        <v>44960</v>
      </c>
      <c r="G1970">
        <v>73.2</v>
      </c>
      <c r="H1970">
        <v>294.41000000000003</v>
      </c>
      <c r="I1970" t="s">
        <v>15</v>
      </c>
      <c r="J1970">
        <v>1577</v>
      </c>
      <c r="K1970">
        <v>7</v>
      </c>
      <c r="L1970" t="str">
        <f>IF(logistics_data[[#This Row],[Delivery_Date]]="","In Transit",
 IF(logistics_data[[#This Row],[Status]]="Lost","Lost",
 IF(logistics_data[[#This Row],[Status]]="Returned","Returned",
 IF(logistics_data[[#This Row],[Status]]="Delayed","Delayed",
 "Delivered"))))</f>
        <v>Delivered</v>
      </c>
      <c r="M1970" s="2">
        <f>logistics_data[[#This Row],[Cost]]/logistics_data[[#This Row],[Distance_miles]]</f>
        <v>0.18668991756499684</v>
      </c>
      <c r="N1970" t="str">
        <f>IF(logistics_data[[#This Row],[Orginal staus of shipment]]&lt;&gt;"Delivered","not applicabel", IF(logistics_data[[#This Row],[Transit_Days]]&gt;=5,"slow","fast"))</f>
        <v>slow</v>
      </c>
    </row>
    <row r="1971" spans="1:14" x14ac:dyDescent="0.3">
      <c r="A1971" t="s">
        <v>2017</v>
      </c>
      <c r="B1971" t="s">
        <v>20</v>
      </c>
      <c r="C1971" t="s">
        <v>28</v>
      </c>
      <c r="D1971" t="s">
        <v>37</v>
      </c>
      <c r="E1971" s="1">
        <v>45206</v>
      </c>
      <c r="F1971" s="1">
        <v>45209</v>
      </c>
      <c r="G1971">
        <v>8.3000000000000007</v>
      </c>
      <c r="H1971">
        <v>174.8</v>
      </c>
      <c r="I1971" t="s">
        <v>15</v>
      </c>
      <c r="J1971">
        <v>1435</v>
      </c>
      <c r="K1971">
        <v>3</v>
      </c>
      <c r="L1971" t="str">
        <f>IF(logistics_data[[#This Row],[Delivery_Date]]="","In Transit",
 IF(logistics_data[[#This Row],[Status]]="Lost","Lost",
 IF(logistics_data[[#This Row],[Status]]="Returned","Returned",
 IF(logistics_data[[#This Row],[Status]]="Delayed","Delayed",
 "Delivered"))))</f>
        <v>Delivered</v>
      </c>
      <c r="M1971" s="2">
        <f>logistics_data[[#This Row],[Cost]]/logistics_data[[#This Row],[Distance_miles]]</f>
        <v>0.12181184668989548</v>
      </c>
      <c r="N1971" t="str">
        <f>IF(logistics_data[[#This Row],[Orginal staus of shipment]]&lt;&gt;"Delivered","not applicabel", IF(logistics_data[[#This Row],[Transit_Days]]&gt;=5,"slow","fast"))</f>
        <v>fast</v>
      </c>
    </row>
    <row r="1972" spans="1:14" x14ac:dyDescent="0.3">
      <c r="A1972" t="s">
        <v>2018</v>
      </c>
      <c r="B1972" t="s">
        <v>27</v>
      </c>
      <c r="C1972" t="s">
        <v>28</v>
      </c>
      <c r="D1972" t="s">
        <v>25</v>
      </c>
      <c r="E1972" s="1">
        <v>45240</v>
      </c>
      <c r="F1972" s="1">
        <v>45243</v>
      </c>
      <c r="G1972">
        <v>20.399999999999999</v>
      </c>
      <c r="H1972">
        <v>149.88999999999999</v>
      </c>
      <c r="I1972" t="s">
        <v>15</v>
      </c>
      <c r="J1972">
        <v>943</v>
      </c>
      <c r="K1972">
        <v>3</v>
      </c>
      <c r="L1972" t="str">
        <f>IF(logistics_data[[#This Row],[Delivery_Date]]="","In Transit",
 IF(logistics_data[[#This Row],[Status]]="Lost","Lost",
 IF(logistics_data[[#This Row],[Status]]="Returned","Returned",
 IF(logistics_data[[#This Row],[Status]]="Delayed","Delayed",
 "Delivered"))))</f>
        <v>Delivered</v>
      </c>
      <c r="M1972" s="2">
        <f>logistics_data[[#This Row],[Cost]]/logistics_data[[#This Row],[Distance_miles]]</f>
        <v>0.15895015906680804</v>
      </c>
      <c r="N1972" t="str">
        <f>IF(logistics_data[[#This Row],[Orginal staus of shipment]]&lt;&gt;"Delivered","not applicabel", IF(logistics_data[[#This Row],[Transit_Days]]&gt;=5,"slow","fast"))</f>
        <v>fast</v>
      </c>
    </row>
    <row r="1973" spans="1:14" x14ac:dyDescent="0.3">
      <c r="A1973" t="s">
        <v>2019</v>
      </c>
      <c r="B1973" t="s">
        <v>39</v>
      </c>
      <c r="C1973" t="s">
        <v>44</v>
      </c>
      <c r="D1973" t="s">
        <v>42</v>
      </c>
      <c r="E1973" s="1">
        <v>44995</v>
      </c>
      <c r="F1973" s="1">
        <v>44999</v>
      </c>
      <c r="G1973">
        <v>9.5</v>
      </c>
      <c r="H1973">
        <v>217.11</v>
      </c>
      <c r="I1973" t="s">
        <v>15</v>
      </c>
      <c r="J1973">
        <v>1843</v>
      </c>
      <c r="K1973">
        <v>4</v>
      </c>
      <c r="L1973" t="str">
        <f>IF(logistics_data[[#This Row],[Delivery_Date]]="","In Transit",
 IF(logistics_data[[#This Row],[Status]]="Lost","Lost",
 IF(logistics_data[[#This Row],[Status]]="Returned","Returned",
 IF(logistics_data[[#This Row],[Status]]="Delayed","Delayed",
 "Delivered"))))</f>
        <v>Delivered</v>
      </c>
      <c r="M1973" s="2">
        <f>logistics_data[[#This Row],[Cost]]/logistics_data[[#This Row],[Distance_miles]]</f>
        <v>0.11780249593054802</v>
      </c>
      <c r="N1973" t="str">
        <f>IF(logistics_data[[#This Row],[Orginal staus of shipment]]&lt;&gt;"Delivered","not applicabel", IF(logistics_data[[#This Row],[Transit_Days]]&gt;=5,"slow","fast"))</f>
        <v>fast</v>
      </c>
    </row>
    <row r="1974" spans="1:14" x14ac:dyDescent="0.3">
      <c r="A1974" t="s">
        <v>2020</v>
      </c>
      <c r="B1974" t="s">
        <v>30</v>
      </c>
      <c r="C1974" t="s">
        <v>21</v>
      </c>
      <c r="D1974" t="s">
        <v>59</v>
      </c>
      <c r="E1974" s="1">
        <v>45106</v>
      </c>
      <c r="F1974" s="1">
        <v>45107</v>
      </c>
      <c r="G1974">
        <v>9.5</v>
      </c>
      <c r="H1974">
        <v>31.25</v>
      </c>
      <c r="I1974" t="s">
        <v>15</v>
      </c>
      <c r="J1974">
        <v>209</v>
      </c>
      <c r="K1974">
        <v>1</v>
      </c>
      <c r="L1974" t="str">
        <f>IF(logistics_data[[#This Row],[Delivery_Date]]="","In Transit",
 IF(logistics_data[[#This Row],[Status]]="Lost","Lost",
 IF(logistics_data[[#This Row],[Status]]="Returned","Returned",
 IF(logistics_data[[#This Row],[Status]]="Delayed","Delayed",
 "Delivered"))))</f>
        <v>Delivered</v>
      </c>
      <c r="M1974" s="2">
        <f>logistics_data[[#This Row],[Cost]]/logistics_data[[#This Row],[Distance_miles]]</f>
        <v>0.14952153110047847</v>
      </c>
      <c r="N1974" t="str">
        <f>IF(logistics_data[[#This Row],[Orginal staus of shipment]]&lt;&gt;"Delivered","not applicabel", IF(logistics_data[[#This Row],[Transit_Days]]&gt;=5,"slow","fast"))</f>
        <v>fast</v>
      </c>
    </row>
    <row r="1975" spans="1:14" x14ac:dyDescent="0.3">
      <c r="A1975" t="s">
        <v>2021</v>
      </c>
      <c r="B1975" t="s">
        <v>51</v>
      </c>
      <c r="C1975" t="s">
        <v>21</v>
      </c>
      <c r="D1975" t="s">
        <v>32</v>
      </c>
      <c r="E1975" s="1">
        <v>45069</v>
      </c>
      <c r="F1975" s="1">
        <v>45073</v>
      </c>
      <c r="G1975">
        <v>16.100000000000001</v>
      </c>
      <c r="H1975">
        <v>252.26</v>
      </c>
      <c r="I1975" t="s">
        <v>15</v>
      </c>
      <c r="J1975">
        <v>1711</v>
      </c>
      <c r="K1975">
        <v>4</v>
      </c>
      <c r="L1975" t="str">
        <f>IF(logistics_data[[#This Row],[Delivery_Date]]="","In Transit",
 IF(logistics_data[[#This Row],[Status]]="Lost","Lost",
 IF(logistics_data[[#This Row],[Status]]="Returned","Returned",
 IF(logistics_data[[#This Row],[Status]]="Delayed","Delayed",
 "Delivered"))))</f>
        <v>Delivered</v>
      </c>
      <c r="M1975" s="2">
        <f>logistics_data[[#This Row],[Cost]]/logistics_data[[#This Row],[Distance_miles]]</f>
        <v>0.14743424897720631</v>
      </c>
      <c r="N1975" t="str">
        <f>IF(logistics_data[[#This Row],[Orginal staus of shipment]]&lt;&gt;"Delivered","not applicabel", IF(logistics_data[[#This Row],[Transit_Days]]&gt;=5,"slow","fast"))</f>
        <v>fast</v>
      </c>
    </row>
    <row r="1976" spans="1:14" x14ac:dyDescent="0.3">
      <c r="A1976" t="s">
        <v>2022</v>
      </c>
      <c r="B1976" t="s">
        <v>20</v>
      </c>
      <c r="C1976" t="s">
        <v>21</v>
      </c>
      <c r="D1976" t="s">
        <v>18</v>
      </c>
      <c r="E1976" s="1">
        <v>45147</v>
      </c>
      <c r="F1976" s="1">
        <v>45151</v>
      </c>
      <c r="G1976">
        <v>14.4</v>
      </c>
      <c r="H1976">
        <v>125.69</v>
      </c>
      <c r="I1976" t="s">
        <v>15</v>
      </c>
      <c r="J1976">
        <v>693</v>
      </c>
      <c r="K1976">
        <v>4</v>
      </c>
      <c r="L1976" t="str">
        <f>IF(logistics_data[[#This Row],[Delivery_Date]]="","In Transit",
 IF(logistics_data[[#This Row],[Status]]="Lost","Lost",
 IF(logistics_data[[#This Row],[Status]]="Returned","Returned",
 IF(logistics_data[[#This Row],[Status]]="Delayed","Delayed",
 "Delivered"))))</f>
        <v>Delivered</v>
      </c>
      <c r="M1976" s="2">
        <f>logistics_data[[#This Row],[Cost]]/logistics_data[[#This Row],[Distance_miles]]</f>
        <v>0.18137085137085138</v>
      </c>
      <c r="N1976" t="str">
        <f>IF(logistics_data[[#This Row],[Orginal staus of shipment]]&lt;&gt;"Delivered","not applicabel", IF(logistics_data[[#This Row],[Transit_Days]]&gt;=5,"slow","fast"))</f>
        <v>fast</v>
      </c>
    </row>
    <row r="1977" spans="1:14" x14ac:dyDescent="0.3">
      <c r="A1977" t="s">
        <v>2023</v>
      </c>
      <c r="B1977" t="s">
        <v>30</v>
      </c>
      <c r="C1977" t="s">
        <v>21</v>
      </c>
      <c r="D1977" t="s">
        <v>42</v>
      </c>
      <c r="E1977" s="1">
        <v>45276</v>
      </c>
      <c r="F1977" s="1">
        <v>45278</v>
      </c>
      <c r="G1977">
        <v>18.7</v>
      </c>
      <c r="H1977">
        <v>166.44</v>
      </c>
      <c r="I1977" t="s">
        <v>15</v>
      </c>
      <c r="J1977">
        <v>998</v>
      </c>
      <c r="K1977">
        <v>2</v>
      </c>
      <c r="L1977" t="str">
        <f>IF(logistics_data[[#This Row],[Delivery_Date]]="","In Transit",
 IF(logistics_data[[#This Row],[Status]]="Lost","Lost",
 IF(logistics_data[[#This Row],[Status]]="Returned","Returned",
 IF(logistics_data[[#This Row],[Status]]="Delayed","Delayed",
 "Delivered"))))</f>
        <v>Delivered</v>
      </c>
      <c r="M1977" s="2">
        <f>logistics_data[[#This Row],[Cost]]/logistics_data[[#This Row],[Distance_miles]]</f>
        <v>0.16677354709418837</v>
      </c>
      <c r="N1977" t="str">
        <f>IF(logistics_data[[#This Row],[Orginal staus of shipment]]&lt;&gt;"Delivered","not applicabel", IF(logistics_data[[#This Row],[Transit_Days]]&gt;=5,"slow","fast"))</f>
        <v>fast</v>
      </c>
    </row>
    <row r="1978" spans="1:14" x14ac:dyDescent="0.3">
      <c r="A1978" t="s">
        <v>2024</v>
      </c>
      <c r="B1978" t="s">
        <v>20</v>
      </c>
      <c r="C1978" t="s">
        <v>28</v>
      </c>
      <c r="D1978" t="s">
        <v>37</v>
      </c>
      <c r="E1978" s="1">
        <v>45176</v>
      </c>
      <c r="F1978" s="1">
        <v>45180</v>
      </c>
      <c r="G1978">
        <v>27.8</v>
      </c>
      <c r="H1978">
        <v>198.3</v>
      </c>
      <c r="I1978" t="s">
        <v>15</v>
      </c>
      <c r="J1978">
        <v>1435</v>
      </c>
      <c r="K1978">
        <v>4</v>
      </c>
      <c r="L1978" t="str">
        <f>IF(logistics_data[[#This Row],[Delivery_Date]]="","In Transit",
 IF(logistics_data[[#This Row],[Status]]="Lost","Lost",
 IF(logistics_data[[#This Row],[Status]]="Returned","Returned",
 IF(logistics_data[[#This Row],[Status]]="Delayed","Delayed",
 "Delivered"))))</f>
        <v>Delivered</v>
      </c>
      <c r="M1978" s="2">
        <f>logistics_data[[#This Row],[Cost]]/logistics_data[[#This Row],[Distance_miles]]</f>
        <v>0.13818815331010453</v>
      </c>
      <c r="N1978" t="str">
        <f>IF(logistics_data[[#This Row],[Orginal staus of shipment]]&lt;&gt;"Delivered","not applicabel", IF(logistics_data[[#This Row],[Transit_Days]]&gt;=5,"slow","fast"))</f>
        <v>fast</v>
      </c>
    </row>
    <row r="1979" spans="1:14" x14ac:dyDescent="0.3">
      <c r="A1979" t="s">
        <v>2025</v>
      </c>
      <c r="B1979" t="s">
        <v>35</v>
      </c>
      <c r="C1979" t="s">
        <v>21</v>
      </c>
      <c r="D1979" t="s">
        <v>14</v>
      </c>
      <c r="E1979" s="1">
        <v>45056</v>
      </c>
      <c r="F1979" s="1">
        <v>45069</v>
      </c>
      <c r="G1979">
        <v>29.6</v>
      </c>
      <c r="H1979">
        <v>300.77</v>
      </c>
      <c r="I1979" t="s">
        <v>47</v>
      </c>
      <c r="J1979">
        <v>2345</v>
      </c>
      <c r="K1979">
        <v>6</v>
      </c>
      <c r="L1979" t="str">
        <f>IF(logistics_data[[#This Row],[Delivery_Date]]="","In Transit",
 IF(logistics_data[[#This Row],[Status]]="Lost","Lost",
 IF(logistics_data[[#This Row],[Status]]="Returned","Returned",
 IF(logistics_data[[#This Row],[Status]]="Delayed","Delayed",
 "Delivered"))))</f>
        <v>Delayed</v>
      </c>
      <c r="M1979" s="2">
        <f>logistics_data[[#This Row],[Cost]]/logistics_data[[#This Row],[Distance_miles]]</f>
        <v>0.12826012793176972</v>
      </c>
      <c r="N1979" t="str">
        <f>IF(logistics_data[[#This Row],[Orginal staus of shipment]]&lt;&gt;"Delivered","not applicabel", IF(logistics_data[[#This Row],[Transit_Days]]&gt;=5,"slow","fast"))</f>
        <v>not applicabel</v>
      </c>
    </row>
    <row r="1980" spans="1:14" x14ac:dyDescent="0.3">
      <c r="A1980" t="s">
        <v>2026</v>
      </c>
      <c r="B1980" t="s">
        <v>35</v>
      </c>
      <c r="C1980" t="s">
        <v>17</v>
      </c>
      <c r="D1980" t="s">
        <v>59</v>
      </c>
      <c r="E1980" s="1">
        <v>45040</v>
      </c>
      <c r="F1980" s="1">
        <v>45045</v>
      </c>
      <c r="G1980">
        <v>31.3</v>
      </c>
      <c r="H1980">
        <v>291.05</v>
      </c>
      <c r="I1980" t="s">
        <v>15</v>
      </c>
      <c r="J1980">
        <v>2030</v>
      </c>
      <c r="K1980">
        <v>5</v>
      </c>
      <c r="L1980" t="str">
        <f>IF(logistics_data[[#This Row],[Delivery_Date]]="","In Transit",
 IF(logistics_data[[#This Row],[Status]]="Lost","Lost",
 IF(logistics_data[[#This Row],[Status]]="Returned","Returned",
 IF(logistics_data[[#This Row],[Status]]="Delayed","Delayed",
 "Delivered"))))</f>
        <v>Delivered</v>
      </c>
      <c r="M1980" s="2">
        <f>logistics_data[[#This Row],[Cost]]/logistics_data[[#This Row],[Distance_miles]]</f>
        <v>0.14337438423645321</v>
      </c>
      <c r="N1980" t="str">
        <f>IF(logistics_data[[#This Row],[Orginal staus of shipment]]&lt;&gt;"Delivered","not applicabel", IF(logistics_data[[#This Row],[Transit_Days]]&gt;=5,"slow","fast"))</f>
        <v>slow</v>
      </c>
    </row>
    <row r="1981" spans="1:14" x14ac:dyDescent="0.3">
      <c r="A1981" t="s">
        <v>2027</v>
      </c>
      <c r="B1981" t="s">
        <v>27</v>
      </c>
      <c r="C1981" t="s">
        <v>36</v>
      </c>
      <c r="D1981" t="s">
        <v>32</v>
      </c>
      <c r="E1981" s="1">
        <v>45051</v>
      </c>
      <c r="F1981" s="1">
        <v>45056</v>
      </c>
      <c r="G1981">
        <v>54.6</v>
      </c>
      <c r="H1981">
        <v>307.89999999999998</v>
      </c>
      <c r="I1981" t="s">
        <v>15</v>
      </c>
      <c r="J1981">
        <v>1675</v>
      </c>
      <c r="K1981">
        <v>5</v>
      </c>
      <c r="L1981" t="str">
        <f>IF(logistics_data[[#This Row],[Delivery_Date]]="","In Transit",
 IF(logistics_data[[#This Row],[Status]]="Lost","Lost",
 IF(logistics_data[[#This Row],[Status]]="Returned","Returned",
 IF(logistics_data[[#This Row],[Status]]="Delayed","Delayed",
 "Delivered"))))</f>
        <v>Delivered</v>
      </c>
      <c r="M1981" s="2">
        <f>logistics_data[[#This Row],[Cost]]/logistics_data[[#This Row],[Distance_miles]]</f>
        <v>0.18382089552238803</v>
      </c>
      <c r="N1981" t="str">
        <f>IF(logistics_data[[#This Row],[Orginal staus of shipment]]&lt;&gt;"Delivered","not applicabel", IF(logistics_data[[#This Row],[Transit_Days]]&gt;=5,"slow","fast"))</f>
        <v>slow</v>
      </c>
    </row>
    <row r="1982" spans="1:14" x14ac:dyDescent="0.3">
      <c r="A1982" t="s">
        <v>2028</v>
      </c>
      <c r="B1982" t="s">
        <v>27</v>
      </c>
      <c r="C1982" t="s">
        <v>40</v>
      </c>
      <c r="D1982" t="s">
        <v>18</v>
      </c>
      <c r="E1982" s="1">
        <v>44988</v>
      </c>
      <c r="F1982" s="1">
        <v>44994</v>
      </c>
      <c r="G1982">
        <v>21.5</v>
      </c>
      <c r="H1982">
        <v>264.67</v>
      </c>
      <c r="I1982" t="s">
        <v>15</v>
      </c>
      <c r="J1982">
        <v>1813</v>
      </c>
      <c r="K1982">
        <v>6</v>
      </c>
      <c r="L1982" t="str">
        <f>IF(logistics_data[[#This Row],[Delivery_Date]]="","In Transit",
 IF(logistics_data[[#This Row],[Status]]="Lost","Lost",
 IF(logistics_data[[#This Row],[Status]]="Returned","Returned",
 IF(logistics_data[[#This Row],[Status]]="Delayed","Delayed",
 "Delivered"))))</f>
        <v>Delivered</v>
      </c>
      <c r="M1982" s="2">
        <f>logistics_data[[#This Row],[Cost]]/logistics_data[[#This Row],[Distance_miles]]</f>
        <v>0.14598455598455598</v>
      </c>
      <c r="N1982" t="str">
        <f>IF(logistics_data[[#This Row],[Orginal staus of shipment]]&lt;&gt;"Delivered","not applicabel", IF(logistics_data[[#This Row],[Transit_Days]]&gt;=5,"slow","fast"))</f>
        <v>slow</v>
      </c>
    </row>
    <row r="1983" spans="1:14" x14ac:dyDescent="0.3">
      <c r="A1983" t="s">
        <v>2029</v>
      </c>
      <c r="B1983" t="s">
        <v>27</v>
      </c>
      <c r="C1983" t="s">
        <v>31</v>
      </c>
      <c r="D1983" t="s">
        <v>14</v>
      </c>
      <c r="E1983" s="1">
        <v>44976</v>
      </c>
      <c r="F1983" s="1">
        <v>44978</v>
      </c>
      <c r="G1983">
        <v>20.100000000000001</v>
      </c>
      <c r="H1983">
        <v>100.6</v>
      </c>
      <c r="I1983" t="s">
        <v>15</v>
      </c>
      <c r="J1983">
        <v>596</v>
      </c>
      <c r="K1983">
        <v>2</v>
      </c>
      <c r="L1983" t="str">
        <f>IF(logistics_data[[#This Row],[Delivery_Date]]="","In Transit",
 IF(logistics_data[[#This Row],[Status]]="Lost","Lost",
 IF(logistics_data[[#This Row],[Status]]="Returned","Returned",
 IF(logistics_data[[#This Row],[Status]]="Delayed","Delayed",
 "Delivered"))))</f>
        <v>Delivered</v>
      </c>
      <c r="M1983" s="2">
        <f>logistics_data[[#This Row],[Cost]]/logistics_data[[#This Row],[Distance_miles]]</f>
        <v>0.16879194630872482</v>
      </c>
      <c r="N1983" t="str">
        <f>IF(logistics_data[[#This Row],[Orginal staus of shipment]]&lt;&gt;"Delivered","not applicabel", IF(logistics_data[[#This Row],[Transit_Days]]&gt;=5,"slow","fast"))</f>
        <v>fast</v>
      </c>
    </row>
    <row r="1984" spans="1:14" x14ac:dyDescent="0.3">
      <c r="A1984" t="s">
        <v>2030</v>
      </c>
      <c r="B1984" t="s">
        <v>56</v>
      </c>
      <c r="C1984" t="s">
        <v>57</v>
      </c>
      <c r="D1984" t="s">
        <v>25</v>
      </c>
      <c r="E1984" s="1">
        <v>44996</v>
      </c>
      <c r="F1984" s="1">
        <v>45004</v>
      </c>
      <c r="G1984">
        <v>33.9</v>
      </c>
      <c r="H1984">
        <v>172.51</v>
      </c>
      <c r="I1984" t="s">
        <v>15</v>
      </c>
      <c r="J1984">
        <v>1174</v>
      </c>
      <c r="K1984">
        <v>8</v>
      </c>
      <c r="L1984" t="str">
        <f>IF(logistics_data[[#This Row],[Delivery_Date]]="","In Transit",
 IF(logistics_data[[#This Row],[Status]]="Lost","Lost",
 IF(logistics_data[[#This Row],[Status]]="Returned","Returned",
 IF(logistics_data[[#This Row],[Status]]="Delayed","Delayed",
 "Delivered"))))</f>
        <v>Delivered</v>
      </c>
      <c r="M1984" s="2">
        <f>logistics_data[[#This Row],[Cost]]/logistics_data[[#This Row],[Distance_miles]]</f>
        <v>0.14694207836456558</v>
      </c>
      <c r="N1984" t="str">
        <f>IF(logistics_data[[#This Row],[Orginal staus of shipment]]&lt;&gt;"Delivered","not applicabel", IF(logistics_data[[#This Row],[Transit_Days]]&gt;=5,"slow","fast"))</f>
        <v>slow</v>
      </c>
    </row>
    <row r="1985" spans="1:14" x14ac:dyDescent="0.3">
      <c r="A1985" t="s">
        <v>2031</v>
      </c>
      <c r="B1985" t="s">
        <v>49</v>
      </c>
      <c r="C1985" t="s">
        <v>17</v>
      </c>
      <c r="D1985" t="s">
        <v>37</v>
      </c>
      <c r="E1985" s="1">
        <v>45062</v>
      </c>
      <c r="F1985" s="1">
        <v>45063</v>
      </c>
      <c r="G1985">
        <v>36.5</v>
      </c>
      <c r="H1985">
        <v>58.02</v>
      </c>
      <c r="I1985" t="s">
        <v>15</v>
      </c>
      <c r="J1985">
        <v>145</v>
      </c>
      <c r="K1985">
        <v>1</v>
      </c>
      <c r="L1985" t="str">
        <f>IF(logistics_data[[#This Row],[Delivery_Date]]="","In Transit",
 IF(logistics_data[[#This Row],[Status]]="Lost","Lost",
 IF(logistics_data[[#This Row],[Status]]="Returned","Returned",
 IF(logistics_data[[#This Row],[Status]]="Delayed","Delayed",
 "Delivered"))))</f>
        <v>Delivered</v>
      </c>
      <c r="M1985" s="2">
        <f>logistics_data[[#This Row],[Cost]]/logistics_data[[#This Row],[Distance_miles]]</f>
        <v>0.40013793103448281</v>
      </c>
      <c r="N1985" t="str">
        <f>IF(logistics_data[[#This Row],[Orginal staus of shipment]]&lt;&gt;"Delivered","not applicabel", IF(logistics_data[[#This Row],[Transit_Days]]&gt;=5,"slow","fast"))</f>
        <v>fast</v>
      </c>
    </row>
    <row r="1986" spans="1:14" x14ac:dyDescent="0.3">
      <c r="A1986" t="s">
        <v>2032</v>
      </c>
      <c r="B1986" t="s">
        <v>20</v>
      </c>
      <c r="C1986" t="s">
        <v>81</v>
      </c>
      <c r="D1986" t="s">
        <v>14</v>
      </c>
      <c r="E1986" s="1">
        <v>45228</v>
      </c>
      <c r="F1986" s="1">
        <v>45229</v>
      </c>
      <c r="G1986">
        <v>33</v>
      </c>
      <c r="H1986">
        <v>58.45</v>
      </c>
      <c r="I1986" t="s">
        <v>15</v>
      </c>
      <c r="J1986">
        <v>111</v>
      </c>
      <c r="K1986">
        <v>1</v>
      </c>
      <c r="L1986" t="str">
        <f>IF(logistics_data[[#This Row],[Delivery_Date]]="","In Transit",
 IF(logistics_data[[#This Row],[Status]]="Lost","Lost",
 IF(logistics_data[[#This Row],[Status]]="Returned","Returned",
 IF(logistics_data[[#This Row],[Status]]="Delayed","Delayed",
 "Delivered"))))</f>
        <v>Delivered</v>
      </c>
      <c r="M1986" s="2">
        <f>logistics_data[[#This Row],[Cost]]/logistics_data[[#This Row],[Distance_miles]]</f>
        <v>0.52657657657657664</v>
      </c>
      <c r="N1986" t="str">
        <f>IF(logistics_data[[#This Row],[Orginal staus of shipment]]&lt;&gt;"Delivered","not applicabel", IF(logistics_data[[#This Row],[Transit_Days]]&gt;=5,"slow","fast"))</f>
        <v>fast</v>
      </c>
    </row>
    <row r="1987" spans="1:14" x14ac:dyDescent="0.3">
      <c r="A1987" t="s">
        <v>2033</v>
      </c>
      <c r="B1987" t="s">
        <v>51</v>
      </c>
      <c r="C1987" t="s">
        <v>31</v>
      </c>
      <c r="D1987" t="s">
        <v>18</v>
      </c>
      <c r="E1987" s="1">
        <v>45197</v>
      </c>
      <c r="F1987" s="1">
        <v>45202</v>
      </c>
      <c r="G1987">
        <v>40</v>
      </c>
      <c r="H1987">
        <v>308.58999999999997</v>
      </c>
      <c r="I1987" t="s">
        <v>15</v>
      </c>
      <c r="J1987">
        <v>2018</v>
      </c>
      <c r="K1987">
        <v>5</v>
      </c>
      <c r="L1987" t="str">
        <f>IF(logistics_data[[#This Row],[Delivery_Date]]="","In Transit",
 IF(logistics_data[[#This Row],[Status]]="Lost","Lost",
 IF(logistics_data[[#This Row],[Status]]="Returned","Returned",
 IF(logistics_data[[#This Row],[Status]]="Delayed","Delayed",
 "Delivered"))))</f>
        <v>Delivered</v>
      </c>
      <c r="M1987" s="2">
        <f>logistics_data[[#This Row],[Cost]]/logistics_data[[#This Row],[Distance_miles]]</f>
        <v>0.1529187314172448</v>
      </c>
      <c r="N1987" t="str">
        <f>IF(logistics_data[[#This Row],[Orginal staus of shipment]]&lt;&gt;"Delivered","not applicabel", IF(logistics_data[[#This Row],[Transit_Days]]&gt;=5,"slow","fast"))</f>
        <v>slow</v>
      </c>
    </row>
    <row r="1988" spans="1:14" x14ac:dyDescent="0.3">
      <c r="A1988" t="s">
        <v>2034</v>
      </c>
      <c r="B1988" t="s">
        <v>12</v>
      </c>
      <c r="C1988" t="s">
        <v>40</v>
      </c>
      <c r="D1988" t="s">
        <v>25</v>
      </c>
      <c r="E1988" s="1">
        <v>45211</v>
      </c>
      <c r="F1988" s="1">
        <v>45216</v>
      </c>
      <c r="G1988">
        <v>4.8</v>
      </c>
      <c r="H1988">
        <v>31.95</v>
      </c>
      <c r="I1988" t="s">
        <v>47</v>
      </c>
      <c r="J1988">
        <v>236</v>
      </c>
      <c r="K1988">
        <v>3</v>
      </c>
      <c r="L1988" t="str">
        <f>IF(logistics_data[[#This Row],[Delivery_Date]]="","In Transit",
 IF(logistics_data[[#This Row],[Status]]="Lost","Lost",
 IF(logistics_data[[#This Row],[Status]]="Returned","Returned",
 IF(logistics_data[[#This Row],[Status]]="Delayed","Delayed",
 "Delivered"))))</f>
        <v>Delayed</v>
      </c>
      <c r="M1988" s="2">
        <f>logistics_data[[#This Row],[Cost]]/logistics_data[[#This Row],[Distance_miles]]</f>
        <v>0.13538135593220338</v>
      </c>
      <c r="N1988" t="str">
        <f>IF(logistics_data[[#This Row],[Orginal staus of shipment]]&lt;&gt;"Delivered","not applicabel", IF(logistics_data[[#This Row],[Transit_Days]]&gt;=5,"slow","fast"))</f>
        <v>not applicabel</v>
      </c>
    </row>
    <row r="1989" spans="1:14" x14ac:dyDescent="0.3">
      <c r="A1989" t="s">
        <v>2035</v>
      </c>
      <c r="B1989" t="s">
        <v>39</v>
      </c>
      <c r="C1989" t="s">
        <v>54</v>
      </c>
      <c r="D1989" t="s">
        <v>42</v>
      </c>
      <c r="E1989" s="1">
        <v>45139</v>
      </c>
      <c r="F1989" s="1">
        <v>45142</v>
      </c>
      <c r="G1989">
        <v>6.5</v>
      </c>
      <c r="H1989">
        <v>115.78</v>
      </c>
      <c r="I1989" t="s">
        <v>15</v>
      </c>
      <c r="J1989">
        <v>948</v>
      </c>
      <c r="K1989">
        <v>3</v>
      </c>
      <c r="L1989" t="str">
        <f>IF(logistics_data[[#This Row],[Delivery_Date]]="","In Transit",
 IF(logistics_data[[#This Row],[Status]]="Lost","Lost",
 IF(logistics_data[[#This Row],[Status]]="Returned","Returned",
 IF(logistics_data[[#This Row],[Status]]="Delayed","Delayed",
 "Delivered"))))</f>
        <v>Delivered</v>
      </c>
      <c r="M1989" s="2">
        <f>logistics_data[[#This Row],[Cost]]/logistics_data[[#This Row],[Distance_miles]]</f>
        <v>0.12213080168776372</v>
      </c>
      <c r="N1989" t="str">
        <f>IF(logistics_data[[#This Row],[Orginal staus of shipment]]&lt;&gt;"Delivered","not applicabel", IF(logistics_data[[#This Row],[Transit_Days]]&gt;=5,"slow","fast"))</f>
        <v>fast</v>
      </c>
    </row>
    <row r="1990" spans="1:14" x14ac:dyDescent="0.3">
      <c r="A1990" t="s">
        <v>2036</v>
      </c>
      <c r="B1990" t="s">
        <v>20</v>
      </c>
      <c r="C1990" t="s">
        <v>17</v>
      </c>
      <c r="D1990" t="s">
        <v>37</v>
      </c>
      <c r="E1990" s="1">
        <v>44944</v>
      </c>
      <c r="F1990" s="1">
        <v>44952</v>
      </c>
      <c r="G1990">
        <v>78.2</v>
      </c>
      <c r="H1990">
        <v>392</v>
      </c>
      <c r="I1990" t="s">
        <v>15</v>
      </c>
      <c r="J1990">
        <v>2309</v>
      </c>
      <c r="K1990">
        <v>8</v>
      </c>
      <c r="L1990" t="str">
        <f>IF(logistics_data[[#This Row],[Delivery_Date]]="","In Transit",
 IF(logistics_data[[#This Row],[Status]]="Lost","Lost",
 IF(logistics_data[[#This Row],[Status]]="Returned","Returned",
 IF(logistics_data[[#This Row],[Status]]="Delayed","Delayed",
 "Delivered"))))</f>
        <v>Delivered</v>
      </c>
      <c r="M1990" s="2">
        <f>logistics_data[[#This Row],[Cost]]/logistics_data[[#This Row],[Distance_miles]]</f>
        <v>0.16977046340407104</v>
      </c>
      <c r="N1990" t="str">
        <f>IF(logistics_data[[#This Row],[Orginal staus of shipment]]&lt;&gt;"Delivered","not applicabel", IF(logistics_data[[#This Row],[Transit_Days]]&gt;=5,"slow","fast"))</f>
        <v>slow</v>
      </c>
    </row>
    <row r="1991" spans="1:14" x14ac:dyDescent="0.3">
      <c r="A1991" t="s">
        <v>2037</v>
      </c>
      <c r="B1991" t="s">
        <v>35</v>
      </c>
      <c r="C1991" t="s">
        <v>54</v>
      </c>
      <c r="D1991" t="s">
        <v>32</v>
      </c>
      <c r="E1991" s="1">
        <v>45267</v>
      </c>
      <c r="F1991" s="1">
        <v>45272</v>
      </c>
      <c r="G1991">
        <v>29.1</v>
      </c>
      <c r="H1991">
        <v>240.47</v>
      </c>
      <c r="I1991" t="s">
        <v>15</v>
      </c>
      <c r="J1991">
        <v>1350</v>
      </c>
      <c r="K1991">
        <v>5</v>
      </c>
      <c r="L1991" t="str">
        <f>IF(logistics_data[[#This Row],[Delivery_Date]]="","In Transit",
 IF(logistics_data[[#This Row],[Status]]="Lost","Lost",
 IF(logistics_data[[#This Row],[Status]]="Returned","Returned",
 IF(logistics_data[[#This Row],[Status]]="Delayed","Delayed",
 "Delivered"))))</f>
        <v>Delivered</v>
      </c>
      <c r="M1991" s="2">
        <f>logistics_data[[#This Row],[Cost]]/logistics_data[[#This Row],[Distance_miles]]</f>
        <v>0.17812592592592594</v>
      </c>
      <c r="N1991" t="str">
        <f>IF(logistics_data[[#This Row],[Orginal staus of shipment]]&lt;&gt;"Delivered","not applicabel", IF(logistics_data[[#This Row],[Transit_Days]]&gt;=5,"slow","fast"))</f>
        <v>slow</v>
      </c>
    </row>
    <row r="1992" spans="1:14" x14ac:dyDescent="0.3">
      <c r="A1992" t="s">
        <v>2038</v>
      </c>
      <c r="B1992" t="s">
        <v>39</v>
      </c>
      <c r="C1992" t="s">
        <v>44</v>
      </c>
      <c r="D1992" t="s">
        <v>25</v>
      </c>
      <c r="E1992" s="1">
        <v>44970</v>
      </c>
      <c r="F1992" s="1">
        <v>44975</v>
      </c>
      <c r="G1992">
        <v>38.799999999999997</v>
      </c>
      <c r="H1992">
        <v>248.5</v>
      </c>
      <c r="I1992" t="s">
        <v>15</v>
      </c>
      <c r="J1992">
        <v>1877</v>
      </c>
      <c r="K1992">
        <v>5</v>
      </c>
      <c r="L1992" t="str">
        <f>IF(logistics_data[[#This Row],[Delivery_Date]]="","In Transit",
 IF(logistics_data[[#This Row],[Status]]="Lost","Lost",
 IF(logistics_data[[#This Row],[Status]]="Returned","Returned",
 IF(logistics_data[[#This Row],[Status]]="Delayed","Delayed",
 "Delivered"))))</f>
        <v>Delivered</v>
      </c>
      <c r="M1992" s="2">
        <f>logistics_data[[#This Row],[Cost]]/logistics_data[[#This Row],[Distance_miles]]</f>
        <v>0.13239211507725093</v>
      </c>
      <c r="N1992" t="str">
        <f>IF(logistics_data[[#This Row],[Orginal staus of shipment]]&lt;&gt;"Delivered","not applicabel", IF(logistics_data[[#This Row],[Transit_Days]]&gt;=5,"slow","fast"))</f>
        <v>slow</v>
      </c>
    </row>
    <row r="1993" spans="1:14" x14ac:dyDescent="0.3">
      <c r="A1993" t="s">
        <v>2039</v>
      </c>
      <c r="B1993" t="s">
        <v>49</v>
      </c>
      <c r="C1993" t="s">
        <v>24</v>
      </c>
      <c r="D1993" t="s">
        <v>18</v>
      </c>
      <c r="E1993" s="1">
        <v>45104</v>
      </c>
      <c r="F1993" s="1">
        <v>45110</v>
      </c>
      <c r="G1993">
        <v>17.7</v>
      </c>
      <c r="H1993">
        <v>368.38</v>
      </c>
      <c r="I1993" t="s">
        <v>15</v>
      </c>
      <c r="J1993">
        <v>2300</v>
      </c>
      <c r="K1993">
        <v>6</v>
      </c>
      <c r="L1993" t="str">
        <f>IF(logistics_data[[#This Row],[Delivery_Date]]="","In Transit",
 IF(logistics_data[[#This Row],[Status]]="Lost","Lost",
 IF(logistics_data[[#This Row],[Status]]="Returned","Returned",
 IF(logistics_data[[#This Row],[Status]]="Delayed","Delayed",
 "Delivered"))))</f>
        <v>Delivered</v>
      </c>
      <c r="M1993" s="2">
        <f>logistics_data[[#This Row],[Cost]]/logistics_data[[#This Row],[Distance_miles]]</f>
        <v>0.16016521739130435</v>
      </c>
      <c r="N1993" t="str">
        <f>IF(logistics_data[[#This Row],[Orginal staus of shipment]]&lt;&gt;"Delivered","not applicabel", IF(logistics_data[[#This Row],[Transit_Days]]&gt;=5,"slow","fast"))</f>
        <v>slow</v>
      </c>
    </row>
    <row r="1994" spans="1:14" x14ac:dyDescent="0.3">
      <c r="A1994" t="s">
        <v>2040</v>
      </c>
      <c r="B1994" t="s">
        <v>30</v>
      </c>
      <c r="C1994" t="s">
        <v>36</v>
      </c>
      <c r="D1994" t="s">
        <v>25</v>
      </c>
      <c r="E1994" s="1">
        <v>45203</v>
      </c>
      <c r="F1994" s="1">
        <v>45204</v>
      </c>
      <c r="G1994">
        <v>43.2</v>
      </c>
      <c r="H1994">
        <v>73.03</v>
      </c>
      <c r="I1994" t="s">
        <v>15</v>
      </c>
      <c r="J1994">
        <v>177</v>
      </c>
      <c r="K1994">
        <v>1</v>
      </c>
      <c r="L1994" t="str">
        <f>IF(logistics_data[[#This Row],[Delivery_Date]]="","In Transit",
 IF(logistics_data[[#This Row],[Status]]="Lost","Lost",
 IF(logistics_data[[#This Row],[Status]]="Returned","Returned",
 IF(logistics_data[[#This Row],[Status]]="Delayed","Delayed",
 "Delivered"))))</f>
        <v>Delivered</v>
      </c>
      <c r="M1994" s="2">
        <f>logistics_data[[#This Row],[Cost]]/logistics_data[[#This Row],[Distance_miles]]</f>
        <v>0.4125988700564972</v>
      </c>
      <c r="N1994" t="str">
        <f>IF(logistics_data[[#This Row],[Orginal staus of shipment]]&lt;&gt;"Delivered","not applicabel", IF(logistics_data[[#This Row],[Transit_Days]]&gt;=5,"slow","fast"))</f>
        <v>fast</v>
      </c>
    </row>
    <row r="1995" spans="1:14" x14ac:dyDescent="0.3">
      <c r="A1995" t="s">
        <v>2041</v>
      </c>
      <c r="B1995" t="s">
        <v>35</v>
      </c>
      <c r="C1995" t="s">
        <v>46</v>
      </c>
      <c r="D1995" t="s">
        <v>18</v>
      </c>
      <c r="E1995" s="1">
        <v>45086</v>
      </c>
      <c r="F1995" s="1">
        <v>45092</v>
      </c>
      <c r="G1995">
        <v>10.3</v>
      </c>
      <c r="H1995">
        <v>355.32</v>
      </c>
      <c r="I1995" t="s">
        <v>15</v>
      </c>
      <c r="J1995">
        <v>2350</v>
      </c>
      <c r="K1995">
        <v>6</v>
      </c>
      <c r="L1995" t="str">
        <f>IF(logistics_data[[#This Row],[Delivery_Date]]="","In Transit",
 IF(logistics_data[[#This Row],[Status]]="Lost","Lost",
 IF(logistics_data[[#This Row],[Status]]="Returned","Returned",
 IF(logistics_data[[#This Row],[Status]]="Delayed","Delayed",
 "Delivered"))))</f>
        <v>Delivered</v>
      </c>
      <c r="M1995" s="2">
        <f>logistics_data[[#This Row],[Cost]]/logistics_data[[#This Row],[Distance_miles]]</f>
        <v>0.1512</v>
      </c>
      <c r="N1995" t="str">
        <f>IF(logistics_data[[#This Row],[Orginal staus of shipment]]&lt;&gt;"Delivered","not applicabel", IF(logistics_data[[#This Row],[Transit_Days]]&gt;=5,"slow","fast"))</f>
        <v>slow</v>
      </c>
    </row>
    <row r="1996" spans="1:14" x14ac:dyDescent="0.3">
      <c r="A1996" t="s">
        <v>2042</v>
      </c>
      <c r="B1996" t="s">
        <v>27</v>
      </c>
      <c r="C1996" t="s">
        <v>24</v>
      </c>
      <c r="D1996" t="s">
        <v>37</v>
      </c>
      <c r="E1996" s="1">
        <v>45240</v>
      </c>
      <c r="F1996" s="1">
        <v>45242</v>
      </c>
      <c r="G1996">
        <v>59.7</v>
      </c>
      <c r="H1996">
        <v>130</v>
      </c>
      <c r="I1996" t="s">
        <v>15</v>
      </c>
      <c r="J1996">
        <v>237</v>
      </c>
      <c r="K1996">
        <v>2</v>
      </c>
      <c r="L1996" t="str">
        <f>IF(logistics_data[[#This Row],[Delivery_Date]]="","In Transit",
 IF(logistics_data[[#This Row],[Status]]="Lost","Lost",
 IF(logistics_data[[#This Row],[Status]]="Returned","Returned",
 IF(logistics_data[[#This Row],[Status]]="Delayed","Delayed",
 "Delivered"))))</f>
        <v>Delivered</v>
      </c>
      <c r="M1996" s="2">
        <f>logistics_data[[#This Row],[Cost]]/logistics_data[[#This Row],[Distance_miles]]</f>
        <v>0.54852320675105481</v>
      </c>
      <c r="N1996" t="str">
        <f>IF(logistics_data[[#This Row],[Orginal staus of shipment]]&lt;&gt;"Delivered","not applicabel", IF(logistics_data[[#This Row],[Transit_Days]]&gt;=5,"slow","fast"))</f>
        <v>fast</v>
      </c>
    </row>
    <row r="1997" spans="1:14" x14ac:dyDescent="0.3">
      <c r="A1997" t="s">
        <v>2043</v>
      </c>
      <c r="B1997" t="s">
        <v>23</v>
      </c>
      <c r="C1997" t="s">
        <v>13</v>
      </c>
      <c r="D1997" t="s">
        <v>32</v>
      </c>
      <c r="E1997" s="1">
        <v>44944</v>
      </c>
      <c r="F1997" s="1">
        <v>44949</v>
      </c>
      <c r="G1997">
        <v>7.9</v>
      </c>
      <c r="H1997">
        <v>217.78</v>
      </c>
      <c r="I1997" t="s">
        <v>15</v>
      </c>
      <c r="J1997">
        <v>1616</v>
      </c>
      <c r="K1997">
        <v>5</v>
      </c>
      <c r="L1997" t="str">
        <f>IF(logistics_data[[#This Row],[Delivery_Date]]="","In Transit",
 IF(logistics_data[[#This Row],[Status]]="Lost","Lost",
 IF(logistics_data[[#This Row],[Status]]="Returned","Returned",
 IF(logistics_data[[#This Row],[Status]]="Delayed","Delayed",
 "Delivered"))))</f>
        <v>Delivered</v>
      </c>
      <c r="M1997" s="2">
        <f>logistics_data[[#This Row],[Cost]]/logistics_data[[#This Row],[Distance_miles]]</f>
        <v>0.13476485148514852</v>
      </c>
      <c r="N1997" t="str">
        <f>IF(logistics_data[[#This Row],[Orginal staus of shipment]]&lt;&gt;"Delivered","not applicabel", IF(logistics_data[[#This Row],[Transit_Days]]&gt;=5,"slow","fast"))</f>
        <v>slow</v>
      </c>
    </row>
    <row r="1998" spans="1:14" x14ac:dyDescent="0.3">
      <c r="A1998" t="s">
        <v>2044</v>
      </c>
      <c r="B1998" t="s">
        <v>39</v>
      </c>
      <c r="C1998" t="s">
        <v>52</v>
      </c>
      <c r="D1998" t="s">
        <v>14</v>
      </c>
      <c r="E1998" s="1">
        <v>45226</v>
      </c>
      <c r="F1998" s="1">
        <v>45231</v>
      </c>
      <c r="G1998">
        <v>36.5</v>
      </c>
      <c r="H1998">
        <v>279.47000000000003</v>
      </c>
      <c r="I1998" t="s">
        <v>15</v>
      </c>
      <c r="J1998">
        <v>1708</v>
      </c>
      <c r="K1998">
        <v>5</v>
      </c>
      <c r="L1998" t="str">
        <f>IF(logistics_data[[#This Row],[Delivery_Date]]="","In Transit",
 IF(logistics_data[[#This Row],[Status]]="Lost","Lost",
 IF(logistics_data[[#This Row],[Status]]="Returned","Returned",
 IF(logistics_data[[#This Row],[Status]]="Delayed","Delayed",
 "Delivered"))))</f>
        <v>Delivered</v>
      </c>
      <c r="M1998" s="2">
        <f>logistics_data[[#This Row],[Cost]]/logistics_data[[#This Row],[Distance_miles]]</f>
        <v>0.16362412177985949</v>
      </c>
      <c r="N1998" t="str">
        <f>IF(logistics_data[[#This Row],[Orginal staus of shipment]]&lt;&gt;"Delivered","not applicabel", IF(logistics_data[[#This Row],[Transit_Days]]&gt;=5,"slow","fast"))</f>
        <v>slow</v>
      </c>
    </row>
    <row r="1999" spans="1:14" x14ac:dyDescent="0.3">
      <c r="A1999" t="s">
        <v>2045</v>
      </c>
      <c r="B1999" t="s">
        <v>39</v>
      </c>
      <c r="C1999" t="s">
        <v>36</v>
      </c>
      <c r="D1999" t="s">
        <v>42</v>
      </c>
      <c r="E1999" s="1">
        <v>44970</v>
      </c>
      <c r="F1999" s="1">
        <v>44976</v>
      </c>
      <c r="G1999">
        <v>11.4</v>
      </c>
      <c r="H1999">
        <v>250.32</v>
      </c>
      <c r="I1999" t="s">
        <v>15</v>
      </c>
      <c r="J1999">
        <v>1912</v>
      </c>
      <c r="K1999">
        <v>6</v>
      </c>
      <c r="L1999" t="str">
        <f>IF(logistics_data[[#This Row],[Delivery_Date]]="","In Transit",
 IF(logistics_data[[#This Row],[Status]]="Lost","Lost",
 IF(logistics_data[[#This Row],[Status]]="Returned","Returned",
 IF(logistics_data[[#This Row],[Status]]="Delayed","Delayed",
 "Delivered"))))</f>
        <v>Delivered</v>
      </c>
      <c r="M1999" s="2">
        <f>logistics_data[[#This Row],[Cost]]/logistics_data[[#This Row],[Distance_miles]]</f>
        <v>0.13092050209205019</v>
      </c>
      <c r="N1999" t="str">
        <f>IF(logistics_data[[#This Row],[Orginal staus of shipment]]&lt;&gt;"Delivered","not applicabel", IF(logistics_data[[#This Row],[Transit_Days]]&gt;=5,"slow","fast"))</f>
        <v>slow</v>
      </c>
    </row>
    <row r="2000" spans="1:14" x14ac:dyDescent="0.3">
      <c r="A2000" t="s">
        <v>2046</v>
      </c>
      <c r="B2000" t="s">
        <v>49</v>
      </c>
      <c r="C2000" t="s">
        <v>40</v>
      </c>
      <c r="D2000" t="s">
        <v>59</v>
      </c>
      <c r="E2000" s="1">
        <v>45216</v>
      </c>
      <c r="F2000" s="1">
        <v>45221</v>
      </c>
      <c r="G2000">
        <v>10.9</v>
      </c>
      <c r="H2000">
        <v>272.31</v>
      </c>
      <c r="I2000" t="s">
        <v>15</v>
      </c>
      <c r="J2000">
        <v>2188</v>
      </c>
      <c r="K2000">
        <v>5</v>
      </c>
      <c r="L2000" t="str">
        <f>IF(logistics_data[[#This Row],[Delivery_Date]]="","In Transit",
 IF(logistics_data[[#This Row],[Status]]="Lost","Lost",
 IF(logistics_data[[#This Row],[Status]]="Returned","Returned",
 IF(logistics_data[[#This Row],[Status]]="Delayed","Delayed",
 "Delivered"))))</f>
        <v>Delivered</v>
      </c>
      <c r="M2000" s="2">
        <f>logistics_data[[#This Row],[Cost]]/logistics_data[[#This Row],[Distance_miles]]</f>
        <v>0.12445612431444242</v>
      </c>
      <c r="N2000" t="str">
        <f>IF(logistics_data[[#This Row],[Orginal staus of shipment]]&lt;&gt;"Delivered","not applicabel", IF(logistics_data[[#This Row],[Transit_Days]]&gt;=5,"slow","fast"))</f>
        <v>slow</v>
      </c>
    </row>
    <row r="2001" spans="1:14" x14ac:dyDescent="0.3">
      <c r="A2001" t="s">
        <v>2047</v>
      </c>
      <c r="B2001" t="s">
        <v>12</v>
      </c>
      <c r="C2001" t="s">
        <v>36</v>
      </c>
      <c r="D2001" t="s">
        <v>25</v>
      </c>
      <c r="E2001" s="1">
        <v>45115</v>
      </c>
      <c r="G2001">
        <v>49.5</v>
      </c>
      <c r="H2001">
        <v>360.74</v>
      </c>
      <c r="I2001" t="s">
        <v>15</v>
      </c>
      <c r="J2001">
        <v>2321</v>
      </c>
      <c r="K2001">
        <v>7</v>
      </c>
      <c r="L2001" t="str">
        <f>IF(logistics_data[[#This Row],[Delivery_Date]]="","In Transit",
 IF(logistics_data[[#This Row],[Status]]="Lost","Lost",
 IF(logistics_data[[#This Row],[Status]]="Returned","Returned",
 IF(logistics_data[[#This Row],[Status]]="Delayed","Delayed",
 "Delivered"))))</f>
        <v>In Transit</v>
      </c>
      <c r="M2001" s="2">
        <f>logistics_data[[#This Row],[Cost]]/logistics_data[[#This Row],[Distance_miles]]</f>
        <v>0.1554243860404998</v>
      </c>
      <c r="N2001" t="str">
        <f>IF(logistics_data[[#This Row],[Orginal staus of shipment]]&lt;&gt;"Delivered","not applicabel", IF(logistics_data[[#This Row],[Transit_Days]]&gt;=5,"slow","fast"))</f>
        <v>not applicabel</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3571-659C-4E56-8918-176291A5A02C}">
  <dimension ref="A1"/>
  <sheetViews>
    <sheetView topLeftCell="C1" zoomScale="46" zoomScaleNormal="70" workbookViewId="0">
      <selection activeCell="Y55" sqref="Y55"/>
    </sheetView>
  </sheetViews>
  <sheetFormatPr defaultRowHeight="14.4" x14ac:dyDescent="0.3"/>
  <cols>
    <col min="1" max="1" width="15" bestFit="1" customWidth="1"/>
    <col min="2" max="2" width="31.44140625" bestFit="1" customWidth="1"/>
    <col min="6" max="6" width="15" bestFit="1" customWidth="1"/>
    <col min="7" max="7" width="19.88671875" bestFit="1" customWidth="1"/>
    <col min="10" max="10" width="8.88671875" customWidth="1"/>
    <col min="11" max="11" width="15.44140625" customWidth="1"/>
    <col min="12" max="12" width="19.88671875" bestFit="1" customWidth="1"/>
    <col min="15" max="15" width="12.5546875" bestFit="1" customWidth="1"/>
    <col min="16" max="16" width="19.886718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ADC4-A181-4938-8E2A-49424068432E}">
  <dimension ref="A3:B11"/>
  <sheetViews>
    <sheetView workbookViewId="0">
      <selection activeCell="A3" sqref="A3"/>
    </sheetView>
  </sheetViews>
  <sheetFormatPr defaultRowHeight="14.4" x14ac:dyDescent="0.3"/>
  <cols>
    <col min="1" max="1" width="15" bestFit="1" customWidth="1"/>
    <col min="2" max="2" width="21.5546875" bestFit="1" customWidth="1"/>
  </cols>
  <sheetData>
    <row r="3" spans="1:2" x14ac:dyDescent="0.3">
      <c r="A3" s="5" t="s">
        <v>2051</v>
      </c>
      <c r="B3" t="s">
        <v>2055</v>
      </c>
    </row>
    <row r="4" spans="1:2" x14ac:dyDescent="0.3">
      <c r="A4" s="6" t="s">
        <v>37</v>
      </c>
      <c r="B4" s="3">
        <v>4.3248175182481754</v>
      </c>
    </row>
    <row r="5" spans="1:2" x14ac:dyDescent="0.3">
      <c r="A5" s="6" t="s">
        <v>18</v>
      </c>
      <c r="B5" s="3">
        <v>4.2704626334519569</v>
      </c>
    </row>
    <row r="6" spans="1:2" x14ac:dyDescent="0.3">
      <c r="A6" s="6" t="s">
        <v>32</v>
      </c>
      <c r="B6" s="3">
        <v>4.3016949152542372</v>
      </c>
    </row>
    <row r="7" spans="1:2" x14ac:dyDescent="0.3">
      <c r="A7" s="6" t="s">
        <v>42</v>
      </c>
      <c r="B7" s="3">
        <v>4.0363036303630366</v>
      </c>
    </row>
    <row r="8" spans="1:2" x14ac:dyDescent="0.3">
      <c r="A8" s="6" t="s">
        <v>25</v>
      </c>
      <c r="B8" s="3">
        <v>4.1170568561872907</v>
      </c>
    </row>
    <row r="9" spans="1:2" x14ac:dyDescent="0.3">
      <c r="A9" s="6" t="s">
        <v>14</v>
      </c>
      <c r="B9" s="3">
        <v>4.19921875</v>
      </c>
    </row>
    <row r="10" spans="1:2" x14ac:dyDescent="0.3">
      <c r="A10" s="6" t="s">
        <v>59</v>
      </c>
      <c r="B10" s="3">
        <v>4.0479452054794525</v>
      </c>
    </row>
    <row r="11" spans="1:2" x14ac:dyDescent="0.3">
      <c r="A11" s="6" t="s">
        <v>2052</v>
      </c>
      <c r="B11" s="4">
        <v>4.1825000000000001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E85E-559D-48B8-A376-0525C502B996}">
  <dimension ref="A3:B9"/>
  <sheetViews>
    <sheetView workbookViewId="0">
      <selection activeCell="C22" sqref="C22"/>
    </sheetView>
  </sheetViews>
  <sheetFormatPr defaultRowHeight="14.4" x14ac:dyDescent="0.3"/>
  <cols>
    <col min="1" max="1" width="12.5546875" bestFit="1" customWidth="1"/>
    <col min="2" max="2" width="19.88671875" bestFit="1" customWidth="1"/>
  </cols>
  <sheetData>
    <row r="3" spans="1:2" x14ac:dyDescent="0.3">
      <c r="A3" s="5" t="s">
        <v>2051</v>
      </c>
      <c r="B3" t="s">
        <v>2053</v>
      </c>
    </row>
    <row r="4" spans="1:2" x14ac:dyDescent="0.3">
      <c r="A4" s="6" t="s">
        <v>47</v>
      </c>
      <c r="B4" s="4">
        <v>194</v>
      </c>
    </row>
    <row r="5" spans="1:2" x14ac:dyDescent="0.3">
      <c r="A5" s="6" t="s">
        <v>15</v>
      </c>
      <c r="B5" s="4">
        <v>1697</v>
      </c>
    </row>
    <row r="6" spans="1:2" x14ac:dyDescent="0.3">
      <c r="A6" s="6" t="s">
        <v>62</v>
      </c>
      <c r="B6" s="4">
        <v>32</v>
      </c>
    </row>
    <row r="7" spans="1:2" x14ac:dyDescent="0.3">
      <c r="A7" s="6" t="s">
        <v>60</v>
      </c>
      <c r="B7" s="4">
        <v>45</v>
      </c>
    </row>
    <row r="8" spans="1:2" x14ac:dyDescent="0.3">
      <c r="A8" s="6" t="s">
        <v>67</v>
      </c>
      <c r="B8" s="4">
        <v>32</v>
      </c>
    </row>
    <row r="9" spans="1:2" x14ac:dyDescent="0.3">
      <c r="A9" s="6" t="s">
        <v>2052</v>
      </c>
      <c r="B9" s="4">
        <v>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174C-54A3-4D72-80D8-CDC3CDD75B4E}">
  <dimension ref="A3:B11"/>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x14ac:dyDescent="0.3"/>
  <cols>
    <col min="1" max="1" width="15" bestFit="1" customWidth="1"/>
    <col min="2" max="2" width="19.88671875" bestFit="1" customWidth="1"/>
  </cols>
  <sheetData>
    <row r="3" spans="1:2" x14ac:dyDescent="0.3">
      <c r="A3" s="5" t="s">
        <v>2051</v>
      </c>
      <c r="B3" t="s">
        <v>2053</v>
      </c>
    </row>
    <row r="4" spans="1:2" x14ac:dyDescent="0.3">
      <c r="A4" s="6" t="s">
        <v>37</v>
      </c>
      <c r="B4" s="4">
        <v>274</v>
      </c>
    </row>
    <row r="5" spans="1:2" x14ac:dyDescent="0.3">
      <c r="A5" s="6" t="s">
        <v>18</v>
      </c>
      <c r="B5" s="4">
        <v>281</v>
      </c>
    </row>
    <row r="6" spans="1:2" x14ac:dyDescent="0.3">
      <c r="A6" s="6" t="s">
        <v>32</v>
      </c>
      <c r="B6" s="4">
        <v>295</v>
      </c>
    </row>
    <row r="7" spans="1:2" x14ac:dyDescent="0.3">
      <c r="A7" s="6" t="s">
        <v>42</v>
      </c>
      <c r="B7" s="4">
        <v>303</v>
      </c>
    </row>
    <row r="8" spans="1:2" x14ac:dyDescent="0.3">
      <c r="A8" s="6" t="s">
        <v>25</v>
      </c>
      <c r="B8" s="4">
        <v>299</v>
      </c>
    </row>
    <row r="9" spans="1:2" x14ac:dyDescent="0.3">
      <c r="A9" s="6" t="s">
        <v>14</v>
      </c>
      <c r="B9" s="4">
        <v>256</v>
      </c>
    </row>
    <row r="10" spans="1:2" x14ac:dyDescent="0.3">
      <c r="A10" s="6" t="s">
        <v>59</v>
      </c>
      <c r="B10" s="4">
        <v>292</v>
      </c>
    </row>
    <row r="11" spans="1:2" x14ac:dyDescent="0.3">
      <c r="A11" s="6" t="s">
        <v>2052</v>
      </c>
      <c r="B11" s="4">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6114-8E49-4EFB-90D2-31EAD8FB7047}">
  <dimension ref="A3:B19"/>
  <sheetViews>
    <sheetView tabSelected="1" workbookViewId="0">
      <selection activeCell="A3" sqref="A3:B19"/>
    </sheetView>
  </sheetViews>
  <sheetFormatPr defaultRowHeight="14.4" x14ac:dyDescent="0.3"/>
  <cols>
    <col min="1" max="1" width="12.5546875" bestFit="1" customWidth="1"/>
    <col min="2" max="2" width="11.109375" bestFit="1" customWidth="1"/>
  </cols>
  <sheetData>
    <row r="3" spans="1:2" x14ac:dyDescent="0.3">
      <c r="A3" s="5" t="s">
        <v>2051</v>
      </c>
      <c r="B3" t="s">
        <v>2054</v>
      </c>
    </row>
    <row r="4" spans="1:2" x14ac:dyDescent="0.3">
      <c r="A4" s="6" t="s">
        <v>17</v>
      </c>
      <c r="B4" s="4">
        <v>24708.849999999991</v>
      </c>
    </row>
    <row r="5" spans="1:2" x14ac:dyDescent="0.3">
      <c r="A5" s="6" t="s">
        <v>46</v>
      </c>
      <c r="B5" s="4">
        <v>26534.290000000005</v>
      </c>
    </row>
    <row r="6" spans="1:2" x14ac:dyDescent="0.3">
      <c r="A6" s="6" t="s">
        <v>44</v>
      </c>
      <c r="B6" s="4">
        <v>29633.420000000009</v>
      </c>
    </row>
    <row r="7" spans="1:2" x14ac:dyDescent="0.3">
      <c r="A7" s="6" t="s">
        <v>28</v>
      </c>
      <c r="B7" s="4">
        <v>26859.59</v>
      </c>
    </row>
    <row r="8" spans="1:2" x14ac:dyDescent="0.3">
      <c r="A8" s="6" t="s">
        <v>81</v>
      </c>
      <c r="B8" s="4">
        <v>24703.249999999993</v>
      </c>
    </row>
    <row r="9" spans="1:2" x14ac:dyDescent="0.3">
      <c r="A9" s="6" t="s">
        <v>40</v>
      </c>
      <c r="B9" s="4">
        <v>32129.200000000004</v>
      </c>
    </row>
    <row r="10" spans="1:2" x14ac:dyDescent="0.3">
      <c r="A10" s="6" t="s">
        <v>21</v>
      </c>
      <c r="B10" s="4">
        <v>25566.819999999989</v>
      </c>
    </row>
    <row r="11" spans="1:2" x14ac:dyDescent="0.3">
      <c r="A11" s="6" t="s">
        <v>70</v>
      </c>
      <c r="B11" s="4">
        <v>24638.689999999995</v>
      </c>
    </row>
    <row r="12" spans="1:2" x14ac:dyDescent="0.3">
      <c r="A12" s="6" t="s">
        <v>54</v>
      </c>
      <c r="B12" s="4">
        <v>24231.160000000003</v>
      </c>
    </row>
    <row r="13" spans="1:2" x14ac:dyDescent="0.3">
      <c r="A13" s="6" t="s">
        <v>57</v>
      </c>
      <c r="B13" s="4">
        <v>28788.770000000011</v>
      </c>
    </row>
    <row r="14" spans="1:2" x14ac:dyDescent="0.3">
      <c r="A14" s="6" t="s">
        <v>31</v>
      </c>
      <c r="B14" s="4">
        <v>23244.549999999992</v>
      </c>
    </row>
    <row r="15" spans="1:2" x14ac:dyDescent="0.3">
      <c r="A15" s="6" t="s">
        <v>52</v>
      </c>
      <c r="B15" s="4">
        <v>27353.96999999999</v>
      </c>
    </row>
    <row r="16" spans="1:2" x14ac:dyDescent="0.3">
      <c r="A16" s="6" t="s">
        <v>36</v>
      </c>
      <c r="B16" s="4">
        <v>30190.39</v>
      </c>
    </row>
    <row r="17" spans="1:2" x14ac:dyDescent="0.3">
      <c r="A17" s="6" t="s">
        <v>13</v>
      </c>
      <c r="B17" s="4">
        <v>31443.86</v>
      </c>
    </row>
    <row r="18" spans="1:2" x14ac:dyDescent="0.3">
      <c r="A18" s="6" t="s">
        <v>24</v>
      </c>
      <c r="B18" s="4">
        <v>21884.759999999991</v>
      </c>
    </row>
    <row r="19" spans="1:2" x14ac:dyDescent="0.3">
      <c r="A19" s="6" t="s">
        <v>2052</v>
      </c>
      <c r="B19" s="4">
        <v>401911.56999999995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logistics_shipments_dataset (m)</vt:lpstr>
      <vt:lpstr>Dashboard</vt:lpstr>
      <vt:lpstr>average days taken to delivery</vt:lpstr>
      <vt:lpstr>count of og status</vt:lpstr>
      <vt:lpstr>Courrier comapany</vt:lpstr>
      <vt:lpstr>Location_wise_cost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ABISHEK</dc:creator>
  <cp:lastModifiedBy>abishek kolanjiappan</cp:lastModifiedBy>
  <dcterms:created xsi:type="dcterms:W3CDTF">2026-03-22T16:05:40Z</dcterms:created>
  <dcterms:modified xsi:type="dcterms:W3CDTF">2026-03-23T03:06:52Z</dcterms:modified>
</cp:coreProperties>
</file>